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Dashboard" sheetId="1" state="visible" r:id="rId1"/>
    <sheet name="📦 Inventory" sheetId="2" state="visible" r:id="rId2"/>
    <sheet name="📈 Daily Sales" sheetId="3" state="visible" r:id="rId3"/>
    <sheet name="👥 Staff Schedule" sheetId="4" state="visible" r:id="rId4"/>
    <sheet name="📊 Reports" sheetId="5" state="visible" r:id="rId5"/>
  </sheets>
  <definedNames/>
  <calcPr calcId="124519" fullCalcOnLoad="1"/>
</workbook>
</file>

<file path=xl/styles.xml><?xml version="1.0" encoding="utf-8"?>
<styleSheet xmlns="http://schemas.openxmlformats.org/spreadsheetml/2006/main">
  <numFmts count="2">
    <numFmt numFmtId="164" formatCode="&quot;$&quot;#,##0.00"/>
    <numFmt numFmtId="165" formatCode="0.00&quot;%&quot;"/>
  </numFmts>
  <fonts count="24">
    <font>
      <name val="Calibri"/>
      <family val="2"/>
      <color theme="1"/>
      <sz val="11"/>
      <scheme val="minor"/>
    </font>
    <font>
      <name val="Calibri"/>
      <b val="1"/>
      <color rgb="00FFD700"/>
      <sz val="22"/>
    </font>
    <font>
      <name val="Calibri"/>
      <i val="1"/>
      <color rgb="00AAAAAA"/>
      <sz val="11"/>
    </font>
    <font>
      <name val="Calibri"/>
      <b val="1"/>
      <color rgb="00FFFFFF"/>
      <sz val="9"/>
    </font>
    <font>
      <name val="Calibri"/>
      <b val="1"/>
      <color rgb="00FFFFFF"/>
      <sz val="26"/>
    </font>
    <font>
      <name val="Calibri"/>
      <b val="1"/>
      <color rgb="00FFFFFF"/>
      <sz val="13"/>
    </font>
    <font>
      <name val="Calibri"/>
      <b val="1"/>
      <color rgb="00FFFFFF"/>
      <sz val="12"/>
    </font>
    <font>
      <name val="Calibri"/>
      <b val="1"/>
      <color rgb="00000000"/>
      <sz val="11"/>
    </font>
    <font>
      <name val="Calibri"/>
      <color rgb="00000000"/>
      <sz val="11"/>
    </font>
    <font>
      <name val="Calibri"/>
      <b val="1"/>
      <color rgb="000F9B58"/>
      <sz val="11"/>
    </font>
    <font>
      <name val="Calibri"/>
      <b val="1"/>
      <color rgb="00FFFFFF"/>
      <sz val="11"/>
    </font>
    <font>
      <name val="Calibri"/>
      <b val="1"/>
      <color rgb="00FFD700"/>
      <sz val="11"/>
    </font>
    <font>
      <name val="Calibri"/>
      <i val="1"/>
      <color rgb="007B6000"/>
      <sz val="10"/>
    </font>
    <font>
      <name val="Calibri"/>
      <b val="1"/>
      <color rgb="00FFFFFF"/>
      <sz val="18"/>
    </font>
    <font>
      <name val="Calibri"/>
      <color rgb="00FFFFFF"/>
      <sz val="1"/>
    </font>
    <font>
      <name val="Calibri"/>
      <b val="1"/>
      <color rgb="00FFD700"/>
      <sz val="14"/>
    </font>
    <font>
      <name val="Calibri"/>
      <b val="1"/>
      <color rgb="004A90D9"/>
      <sz val="11"/>
    </font>
    <font>
      <name val="Calibri"/>
      <b val="1"/>
      <color rgb="00FFD700"/>
      <sz val="12"/>
    </font>
    <font>
      <name val="Calibri"/>
      <b val="1"/>
      <color rgb="000F9B58"/>
      <sz val="13"/>
    </font>
    <font>
      <name val="Calibri"/>
      <b val="1"/>
      <color rgb="00E94560"/>
      <sz val="13"/>
    </font>
    <font>
      <name val="Calibri"/>
      <b val="1"/>
      <color rgb="004A90D9"/>
      <sz val="13"/>
    </font>
    <font>
      <name val="Calibri"/>
      <b val="1"/>
      <color rgb="00FF6B35"/>
      <sz val="13"/>
    </font>
    <font>
      <name val="Calibri"/>
      <b val="1"/>
      <color rgb="0016213E"/>
      <sz val="12"/>
    </font>
    <font>
      <name val="Calibri"/>
      <color rgb="005D4037"/>
      <sz val="10"/>
    </font>
  </fonts>
  <fills count="14">
    <fill>
      <patternFill/>
    </fill>
    <fill>
      <patternFill patternType="gray125"/>
    </fill>
    <fill>
      <patternFill patternType="solid">
        <fgColor rgb="001A1A2E"/>
      </patternFill>
    </fill>
    <fill>
      <patternFill patternType="solid">
        <fgColor rgb="000F9B58"/>
      </patternFill>
    </fill>
    <fill>
      <patternFill patternType="solid">
        <fgColor rgb="00E94560"/>
      </patternFill>
    </fill>
    <fill>
      <patternFill patternType="solid">
        <fgColor rgb="004A90D9"/>
      </patternFill>
    </fill>
    <fill>
      <patternFill patternType="solid">
        <fgColor rgb="0016213E"/>
      </patternFill>
    </fill>
    <fill>
      <patternFill patternType="solid">
        <fgColor rgb="000D3B66"/>
      </patternFill>
    </fill>
    <fill>
      <patternFill patternType="solid">
        <fgColor rgb="00F5F5F5"/>
      </patternFill>
    </fill>
    <fill>
      <patternFill patternType="solid">
        <fgColor rgb="00FFD700"/>
      </patternFill>
    </fill>
    <fill>
      <patternFill patternType="solid">
        <fgColor rgb="00FFFFFF"/>
      </patternFill>
    </fill>
    <fill>
      <patternFill patternType="solid">
        <fgColor rgb="00FFF9C4"/>
      </patternFill>
    </fill>
    <fill>
      <patternFill patternType="solid">
        <fgColor rgb="00FF6B35"/>
      </patternFill>
    </fill>
    <fill>
      <patternFill patternType="solid">
        <fgColor rgb="00FFFDE7"/>
      </patternFill>
    </fill>
  </fills>
  <borders count="3">
    <border>
      <left/>
      <right/>
      <top/>
      <bottom/>
      <diagonal/>
    </border>
    <border>
      <left style="thin">
        <color rgb="00CCCCCC"/>
      </left>
      <right style="thin">
        <color rgb="00CCCCCC"/>
      </right>
      <top style="thin">
        <color rgb="00CCCCCC"/>
      </top>
      <bottom style="thin">
        <color rgb="00CCCCCC"/>
      </bottom>
    </border>
    <border>
      <left style="medium">
        <color rgb="00888888"/>
      </left>
      <right style="medium">
        <color rgb="00888888"/>
      </right>
      <top style="medium">
        <color rgb="00888888"/>
      </top>
      <bottom style="medium">
        <color rgb="00888888"/>
      </bottom>
    </border>
  </borders>
  <cellStyleXfs count="1">
    <xf numFmtId="0" fontId="0" fillId="0" borderId="0"/>
  </cellStyleXfs>
  <cellXfs count="52">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3" fillId="4" borderId="0" applyAlignment="1" pivotButton="0" quotePrefix="0" xfId="0">
      <alignment horizontal="center" vertical="center"/>
    </xf>
    <xf numFmtId="0" fontId="3" fillId="5" borderId="0" applyAlignment="1" pivotButton="0" quotePrefix="0" xfId="0">
      <alignment horizontal="center" vertical="center"/>
    </xf>
    <xf numFmtId="0" fontId="0" fillId="3" borderId="0" pivotButton="0" quotePrefix="0" xfId="0"/>
    <xf numFmtId="0" fontId="0" fillId="4" borderId="0" pivotButton="0" quotePrefix="0" xfId="0"/>
    <xf numFmtId="0" fontId="0" fillId="5" borderId="0" pivotButton="0" quotePrefix="0" xfId="0"/>
    <xf numFmtId="0" fontId="4" fillId="3" borderId="0" applyAlignment="1" pivotButton="0" quotePrefix="0" xfId="0">
      <alignment horizontal="center" vertical="center"/>
    </xf>
    <xf numFmtId="0" fontId="4" fillId="4" borderId="0" applyAlignment="1" pivotButton="0" quotePrefix="0" xfId="0">
      <alignment horizontal="center" vertical="center"/>
    </xf>
    <xf numFmtId="0" fontId="4" fillId="5" borderId="0" applyAlignment="1" pivotButton="0" quotePrefix="0" xfId="0">
      <alignment horizontal="center" vertical="center"/>
    </xf>
    <xf numFmtId="0" fontId="5" fillId="6" borderId="0" applyAlignment="1" pivotButton="0" quotePrefix="0" xfId="0">
      <alignment horizontal="center" vertical="center"/>
    </xf>
    <xf numFmtId="0" fontId="6" fillId="7" borderId="1" applyAlignment="1" pivotButton="0" quotePrefix="0" xfId="0">
      <alignment horizontal="center" vertical="center"/>
    </xf>
    <xf numFmtId="0" fontId="7" fillId="8" borderId="1" applyAlignment="1" pivotButton="0" quotePrefix="0" xfId="0">
      <alignment horizontal="center" vertical="center"/>
    </xf>
    <xf numFmtId="164" fontId="8" fillId="9" borderId="2" applyAlignment="1" pivotButton="0" quotePrefix="0" xfId="0">
      <alignment horizontal="center" vertical="center"/>
    </xf>
    <xf numFmtId="164" fontId="9" fillId="8" borderId="1" applyAlignment="1" pivotButton="0" quotePrefix="0" xfId="0">
      <alignment horizontal="center" vertical="center"/>
    </xf>
    <xf numFmtId="1" fontId="8" fillId="9" borderId="2" applyAlignment="1" pivotButton="0" quotePrefix="0" xfId="0">
      <alignment horizontal="center" vertical="center"/>
    </xf>
    <xf numFmtId="164" fontId="8" fillId="8" borderId="1" applyAlignment="1" pivotButton="0" quotePrefix="0" xfId="0">
      <alignment horizontal="center" vertical="center"/>
    </xf>
    <xf numFmtId="0" fontId="7" fillId="10" borderId="1" applyAlignment="1" pivotButton="0" quotePrefix="0" xfId="0">
      <alignment horizontal="center" vertical="center"/>
    </xf>
    <xf numFmtId="164" fontId="9" fillId="10" borderId="1" applyAlignment="1" pivotButton="0" quotePrefix="0" xfId="0">
      <alignment horizontal="center" vertical="center"/>
    </xf>
    <xf numFmtId="164" fontId="8" fillId="10" borderId="1" applyAlignment="1" pivotButton="0" quotePrefix="0" xfId="0">
      <alignment horizontal="center" vertical="center"/>
    </xf>
    <xf numFmtId="0" fontId="10" fillId="2" borderId="1" applyAlignment="1" pivotButton="0" quotePrefix="0" xfId="0">
      <alignment horizontal="center" vertical="center"/>
    </xf>
    <xf numFmtId="164" fontId="11" fillId="2" borderId="1" applyAlignment="1" pivotButton="0" quotePrefix="0" xfId="0">
      <alignment horizontal="center" vertical="center"/>
    </xf>
    <xf numFmtId="0" fontId="11" fillId="2" borderId="1" applyAlignment="1" pivotButton="0" quotePrefix="0" xfId="0">
      <alignment horizontal="center" vertical="center"/>
    </xf>
    <xf numFmtId="0" fontId="12" fillId="11" borderId="0" applyAlignment="1" pivotButton="0" quotePrefix="0" xfId="0">
      <alignment horizontal="left" vertical="center"/>
    </xf>
    <xf numFmtId="0" fontId="13" fillId="3" borderId="0" applyAlignment="1" pivotButton="0" quotePrefix="0" xfId="0">
      <alignment horizontal="center" vertical="center"/>
    </xf>
    <xf numFmtId="0" fontId="14" fillId="0" borderId="0" pivotButton="0" quotePrefix="0" xfId="0"/>
    <xf numFmtId="0" fontId="7" fillId="8" borderId="1" applyAlignment="1" pivotButton="0" quotePrefix="0" xfId="0">
      <alignment horizontal="left" vertical="center"/>
    </xf>
    <xf numFmtId="0" fontId="8" fillId="8" borderId="1" applyAlignment="1" pivotButton="0" quotePrefix="0" xfId="0">
      <alignment horizontal="center" vertical="center"/>
    </xf>
    <xf numFmtId="0" fontId="8" fillId="9" borderId="2" applyAlignment="1" pivotButton="0" quotePrefix="0" xfId="0">
      <alignment horizontal="center" vertical="center"/>
    </xf>
    <xf numFmtId="0" fontId="7" fillId="10" borderId="1" applyAlignment="1" pivotButton="0" quotePrefix="0" xfId="0">
      <alignment horizontal="left" vertical="center"/>
    </xf>
    <xf numFmtId="0" fontId="8" fillId="10" borderId="1" applyAlignment="1" pivotButton="0" quotePrefix="0" xfId="0">
      <alignment horizontal="center" vertical="center"/>
    </xf>
    <xf numFmtId="164" fontId="15" fillId="2" borderId="0" applyAlignment="1" pivotButton="0" quotePrefix="0" xfId="0">
      <alignment horizontal="center" vertical="center"/>
    </xf>
    <xf numFmtId="0" fontId="13" fillId="5" borderId="0" applyAlignment="1" pivotButton="0" quotePrefix="0" xfId="0">
      <alignment horizontal="center" vertical="center"/>
    </xf>
    <xf numFmtId="0" fontId="8" fillId="2" borderId="1" applyAlignment="1" pivotButton="0" quotePrefix="0" xfId="0">
      <alignment horizontal="center" vertical="center"/>
    </xf>
    <xf numFmtId="0" fontId="13" fillId="12" borderId="0" applyAlignment="1" pivotButton="0" quotePrefix="0" xfId="0">
      <alignment horizontal="center" vertical="center"/>
    </xf>
    <xf numFmtId="0" fontId="16" fillId="8" borderId="1" applyAlignment="1" pivotButton="0" quotePrefix="0" xfId="0">
      <alignment horizontal="center" vertical="center"/>
    </xf>
    <xf numFmtId="0" fontId="16" fillId="10" borderId="1" applyAlignment="1" pivotButton="0" quotePrefix="0" xfId="0">
      <alignment horizontal="center" vertical="center"/>
    </xf>
    <xf numFmtId="0" fontId="17" fillId="2" borderId="0" applyAlignment="1" pivotButton="0" quotePrefix="0" xfId="0">
      <alignment horizontal="center" vertical="center"/>
    </xf>
    <xf numFmtId="0" fontId="13" fillId="4" borderId="0" applyAlignment="1" pivotButton="0" quotePrefix="0" xfId="0">
      <alignment horizontal="center" vertical="center"/>
    </xf>
    <xf numFmtId="0" fontId="6" fillId="6" borderId="1" applyAlignment="1" pivotButton="0" quotePrefix="0" xfId="0">
      <alignment horizontal="center" vertical="center"/>
    </xf>
    <xf numFmtId="164" fontId="18" fillId="8" borderId="1" applyAlignment="1" pivotButton="0" quotePrefix="0" xfId="0">
      <alignment horizontal="center" vertical="center"/>
    </xf>
    <xf numFmtId="164" fontId="19" fillId="10" borderId="1" applyAlignment="1" pivotButton="0" quotePrefix="0" xfId="0">
      <alignment horizontal="center" vertical="center"/>
    </xf>
    <xf numFmtId="164" fontId="20" fillId="8" borderId="1" applyAlignment="1" pivotButton="0" quotePrefix="0" xfId="0">
      <alignment horizontal="center" vertical="center"/>
    </xf>
    <xf numFmtId="164" fontId="20" fillId="10" borderId="1" applyAlignment="1" pivotButton="0" quotePrefix="0" xfId="0">
      <alignment horizontal="center" vertical="center"/>
    </xf>
    <xf numFmtId="165" fontId="21" fillId="10" borderId="1" applyAlignment="1" pivotButton="0" quotePrefix="0" xfId="0">
      <alignment horizontal="center" vertical="center"/>
    </xf>
    <xf numFmtId="164" fontId="22" fillId="8" borderId="1" applyAlignment="1" pivotButton="0" quotePrefix="0" xfId="0">
      <alignment horizontal="center" vertical="center"/>
    </xf>
    <xf numFmtId="164" fontId="22" fillId="10" borderId="1" applyAlignment="1" pivotButton="0" quotePrefix="0" xfId="0">
      <alignment horizontal="center" vertical="center"/>
    </xf>
    <xf numFmtId="0" fontId="6" fillId="2" borderId="1" applyAlignment="1" pivotButton="0" quotePrefix="0" xfId="0">
      <alignment horizontal="center" vertical="center"/>
    </xf>
    <xf numFmtId="0" fontId="23" fillId="11" borderId="1" applyAlignment="1" pivotButton="0" quotePrefix="0" xfId="0">
      <alignment horizontal="left" vertical="center"/>
    </xf>
    <xf numFmtId="0" fontId="23" fillId="13"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94560"/>
    <outlinePr summaryBelow="1" summaryRight="1"/>
    <pageSetUpPr/>
  </sheetPr>
  <dimension ref="B2:G21"/>
  <sheetViews>
    <sheetView showGridLines="0" workbookViewId="0">
      <selection activeCell="A1" sqref="A1"/>
    </sheetView>
  </sheetViews>
  <sheetFormatPr baseColWidth="8" defaultRowHeight="15"/>
  <cols>
    <col width="2" customWidth="1" min="1" max="1"/>
    <col width="20" customWidth="1" min="2" max="2"/>
    <col width="18" customWidth="1" min="3" max="3"/>
    <col width="18" customWidth="1" min="4" max="4"/>
    <col width="18" customWidth="1" min="5" max="5"/>
    <col width="18" customWidth="1" min="6" max="6"/>
    <col width="18" customWidth="1" min="7" max="7"/>
    <col width="2" customWidth="1" min="8" max="8"/>
  </cols>
  <sheetData>
    <row r="1" ht="10" customHeight="1"/>
    <row r="2" ht="50" customHeight="1">
      <c r="B2" s="1" t="inlineStr">
        <is>
          <t>🍽️  RESTAURANT &amp; CAFE MANAGER</t>
        </is>
      </c>
    </row>
    <row r="3" ht="15" customHeight="1">
      <c r="B3" s="2" t="inlineStr">
        <is>
          <t>Smart Business Automation Template</t>
        </is>
      </c>
    </row>
    <row r="5" ht="20" customHeight="1">
      <c r="B5" s="3" t="inlineStr">
        <is>
          <t>💰 TODAY'S SALES</t>
        </is>
      </c>
      <c r="D5" s="4" t="inlineStr">
        <is>
          <t>📦 LOW STOCK ITEMS</t>
        </is>
      </c>
      <c r="F5" s="5" t="inlineStr">
        <is>
          <t>👥 STAFF TODAY</t>
        </is>
      </c>
    </row>
    <row r="6" ht="35" customHeight="1">
      <c r="B6" s="6" t="n"/>
      <c r="D6" s="7" t="n"/>
      <c r="F6" s="8" t="n"/>
    </row>
    <row r="7" ht="40" customHeight="1">
      <c r="B7" s="9">
        <f>'📈 Daily Sales'!C32</f>
        <v/>
      </c>
      <c r="D7" s="10">
        <f>'📦 Inventory'!H2</f>
        <v/>
      </c>
      <c r="F7" s="11">
        <f>'👥 Staff Schedule'!H2</f>
        <v/>
      </c>
    </row>
    <row r="8" ht="25" customHeight="1">
      <c r="B8" s="6" t="n"/>
      <c r="D8" s="7" t="n"/>
      <c r="F8" s="8" t="n"/>
    </row>
    <row r="10" ht="25" customHeight="1">
      <c r="B10" s="12" t="inlineStr">
        <is>
          <t>📅  WEEKLY SALES SUMMARY</t>
        </is>
      </c>
    </row>
    <row r="11">
      <c r="B11" s="13" t="inlineStr">
        <is>
          <t>Day</t>
        </is>
      </c>
      <c r="C11" s="13" t="inlineStr">
        <is>
          <t>Sales ($)</t>
        </is>
      </c>
      <c r="D11" s="13" t="inlineStr">
        <is>
          <t>Expenses ($)</t>
        </is>
      </c>
      <c r="E11" s="13" t="inlineStr">
        <is>
          <t>Profit ($)</t>
        </is>
      </c>
      <c r="F11" s="13" t="inlineStr">
        <is>
          <t>Orders</t>
        </is>
      </c>
      <c r="G11" s="13" t="inlineStr">
        <is>
          <t>Avg Order ($)</t>
        </is>
      </c>
    </row>
    <row r="12" ht="22" customHeight="1">
      <c r="B12" s="14" t="inlineStr">
        <is>
          <t>Monday</t>
        </is>
      </c>
      <c r="C12" s="15" t="n">
        <v>0</v>
      </c>
      <c r="D12" s="15" t="n">
        <v>0</v>
      </c>
      <c r="E12" s="16">
        <f>C12-D12</f>
        <v/>
      </c>
      <c r="F12" s="17" t="n">
        <v>0</v>
      </c>
      <c r="G12" s="18">
        <f>IF(F12=0,0,C12/F12)</f>
        <v/>
      </c>
    </row>
    <row r="13" ht="22" customHeight="1">
      <c r="B13" s="19" t="inlineStr">
        <is>
          <t>Tuesday</t>
        </is>
      </c>
      <c r="C13" s="15" t="n">
        <v>0</v>
      </c>
      <c r="D13" s="15" t="n">
        <v>0</v>
      </c>
      <c r="E13" s="20">
        <f>C13-D13</f>
        <v/>
      </c>
      <c r="F13" s="17" t="n">
        <v>0</v>
      </c>
      <c r="G13" s="21">
        <f>IF(F13=0,0,C13/F13)</f>
        <v/>
      </c>
    </row>
    <row r="14" ht="22" customHeight="1">
      <c r="B14" s="14" t="inlineStr">
        <is>
          <t>Wednesday</t>
        </is>
      </c>
      <c r="C14" s="15" t="n">
        <v>0</v>
      </c>
      <c r="D14" s="15" t="n">
        <v>0</v>
      </c>
      <c r="E14" s="16">
        <f>C14-D14</f>
        <v/>
      </c>
      <c r="F14" s="17" t="n">
        <v>0</v>
      </c>
      <c r="G14" s="18">
        <f>IF(F14=0,0,C14/F14)</f>
        <v/>
      </c>
    </row>
    <row r="15" ht="22" customHeight="1">
      <c r="B15" s="19" t="inlineStr">
        <is>
          <t>Thursday</t>
        </is>
      </c>
      <c r="C15" s="15" t="n">
        <v>0</v>
      </c>
      <c r="D15" s="15" t="n">
        <v>0</v>
      </c>
      <c r="E15" s="20">
        <f>C15-D15</f>
        <v/>
      </c>
      <c r="F15" s="17" t="n">
        <v>0</v>
      </c>
      <c r="G15" s="21">
        <f>IF(F15=0,0,C15/F15)</f>
        <v/>
      </c>
    </row>
    <row r="16" ht="22" customHeight="1">
      <c r="B16" s="14" t="inlineStr">
        <is>
          <t>Friday</t>
        </is>
      </c>
      <c r="C16" s="15" t="n">
        <v>0</v>
      </c>
      <c r="D16" s="15" t="n">
        <v>0</v>
      </c>
      <c r="E16" s="16">
        <f>C16-D16</f>
        <v/>
      </c>
      <c r="F16" s="17" t="n">
        <v>0</v>
      </c>
      <c r="G16" s="18">
        <f>IF(F16=0,0,C16/F16)</f>
        <v/>
      </c>
    </row>
    <row r="17" ht="22" customHeight="1">
      <c r="B17" s="19" t="inlineStr">
        <is>
          <t>Saturday</t>
        </is>
      </c>
      <c r="C17" s="15" t="n">
        <v>0</v>
      </c>
      <c r="D17" s="15" t="n">
        <v>0</v>
      </c>
      <c r="E17" s="20">
        <f>C17-D17</f>
        <v/>
      </c>
      <c r="F17" s="17" t="n">
        <v>0</v>
      </c>
      <c r="G17" s="21">
        <f>IF(F17=0,0,C17/F17)</f>
        <v/>
      </c>
    </row>
    <row r="18" ht="22" customHeight="1">
      <c r="B18" s="14" t="inlineStr">
        <is>
          <t>Sunday</t>
        </is>
      </c>
      <c r="C18" s="15" t="n">
        <v>0</v>
      </c>
      <c r="D18" s="15" t="n">
        <v>0</v>
      </c>
      <c r="E18" s="16">
        <f>C18-D18</f>
        <v/>
      </c>
      <c r="F18" s="17" t="n">
        <v>0</v>
      </c>
      <c r="G18" s="18">
        <f>IF(F18=0,0,C18/F18)</f>
        <v/>
      </c>
    </row>
    <row r="19" ht="28" customHeight="1">
      <c r="B19" s="22" t="inlineStr">
        <is>
          <t>TOTAL</t>
        </is>
      </c>
      <c r="C19" s="23">
        <f>SUM(C12:C18)</f>
        <v/>
      </c>
      <c r="D19" s="23">
        <f>SUM(D12:D18)</f>
        <v/>
      </c>
      <c r="E19" s="23">
        <f>SUM(E12:E18)</f>
        <v/>
      </c>
      <c r="F19" s="24">
        <f>SUM(F12:F18)</f>
        <v/>
      </c>
      <c r="G19" s="23">
        <f>SUM(G12:G18)</f>
        <v/>
      </c>
    </row>
    <row r="21" ht="20" customHeight="1">
      <c r="B21" s="25" t="inlineStr">
        <is>
          <t>💡  TIP: Fill yellow cells with your daily data. Green cells calculate automatically.</t>
        </is>
      </c>
    </row>
  </sheetData>
  <mergeCells count="16">
    <mergeCell ref="B3:G3"/>
    <mergeCell ref="B2:G2"/>
    <mergeCell ref="B6:C6"/>
    <mergeCell ref="D6:E6"/>
    <mergeCell ref="D8:E8"/>
    <mergeCell ref="B10:G10"/>
    <mergeCell ref="D7:E7"/>
    <mergeCell ref="B7:C7"/>
    <mergeCell ref="B5:C5"/>
    <mergeCell ref="F5:G5"/>
    <mergeCell ref="D5:E5"/>
    <mergeCell ref="F6:G6"/>
    <mergeCell ref="B21:G21"/>
    <mergeCell ref="B8:C8"/>
    <mergeCell ref="F7:G7"/>
    <mergeCell ref="F8:G8"/>
  </mergeCells>
  <pageMargins left="0.75" right="0.75" top="1" bottom="1" header="0.5" footer="0.5"/>
</worksheet>
</file>

<file path=xl/worksheets/sheet2.xml><?xml version="1.0" encoding="utf-8"?>
<worksheet xmlns="http://schemas.openxmlformats.org/spreadsheetml/2006/main">
  <sheetPr>
    <tabColor rgb="000F9B58"/>
    <outlinePr summaryBelow="1" summaryRight="1"/>
    <pageSetUpPr/>
  </sheetPr>
  <dimension ref="B1:I54"/>
  <sheetViews>
    <sheetView showGridLines="0" workbookViewId="0">
      <selection activeCell="A1" sqref="A1"/>
    </sheetView>
  </sheetViews>
  <sheetFormatPr baseColWidth="8" defaultRowHeight="15"/>
  <cols>
    <col width="2" customWidth="1" min="1" max="1"/>
    <col width="25" customWidth="1" min="2" max="2"/>
    <col width="15" customWidth="1" min="3" max="3"/>
    <col width="12" customWidth="1" min="4" max="4"/>
    <col width="12" customWidth="1" min="5" max="5"/>
    <col width="12" customWidth="1" min="6" max="6"/>
    <col width="15" customWidth="1" min="7" max="7"/>
    <col width="15" customWidth="1" min="8" max="8"/>
    <col width="15" customWidth="1" min="9" max="9"/>
    <col width="2" customWidth="1" min="10" max="10"/>
  </cols>
  <sheetData>
    <row r="1" ht="40" customHeight="1">
      <c r="B1" s="26" t="inlineStr">
        <is>
          <t>📦  INVENTORY TRACKER</t>
        </is>
      </c>
    </row>
    <row r="2">
      <c r="H2" s="27">
        <f>COUNTIF(F3:F52,"&lt;="&amp;G3:G52)</f>
        <v/>
      </c>
    </row>
    <row r="3">
      <c r="B3" s="13" t="inlineStr">
        <is>
          <t>Item Name</t>
        </is>
      </c>
      <c r="C3" s="13" t="inlineStr">
        <is>
          <t>Category</t>
        </is>
      </c>
      <c r="D3" s="13" t="inlineStr">
        <is>
          <t>Unit</t>
        </is>
      </c>
      <c r="E3" s="13" t="inlineStr">
        <is>
          <t>Current Stock</t>
        </is>
      </c>
      <c r="F3" s="13" t="inlineStr">
        <is>
          <t>Min Stock</t>
        </is>
      </c>
      <c r="G3" s="13" t="inlineStr">
        <is>
          <t>Status</t>
        </is>
      </c>
      <c r="H3" s="13" t="inlineStr">
        <is>
          <t>Unit Cost ($)</t>
        </is>
      </c>
      <c r="I3" s="13" t="inlineStr">
        <is>
          <t>Total Value ($)</t>
        </is>
      </c>
    </row>
    <row r="4" ht="22" customHeight="1">
      <c r="B4" s="28" t="inlineStr">
        <is>
          <t>Coffee Beans</t>
        </is>
      </c>
      <c r="C4" s="29" t="inlineStr">
        <is>
          <t>Beverages</t>
        </is>
      </c>
      <c r="D4" s="29" t="inlineStr">
        <is>
          <t>kg</t>
        </is>
      </c>
      <c r="E4" s="30" t="n">
        <v>50</v>
      </c>
      <c r="F4" s="30" t="n">
        <v>10</v>
      </c>
      <c r="G4" s="14">
        <f>IF(E4&lt;=F4,"⚠️ LOW","✅ OK")</f>
        <v/>
      </c>
      <c r="H4" s="15" t="n">
        <v>0</v>
      </c>
      <c r="I4" s="16">
        <f>E4*H4</f>
        <v/>
      </c>
    </row>
    <row r="5" ht="22" customHeight="1">
      <c r="B5" s="31" t="inlineStr">
        <is>
          <t>Milk</t>
        </is>
      </c>
      <c r="C5" s="32" t="inlineStr">
        <is>
          <t>Beverages</t>
        </is>
      </c>
      <c r="D5" s="32" t="inlineStr">
        <is>
          <t>L</t>
        </is>
      </c>
      <c r="E5" s="30" t="n">
        <v>30</v>
      </c>
      <c r="F5" s="30" t="n">
        <v>10</v>
      </c>
      <c r="G5" s="19">
        <f>IF(E5&lt;=F5,"⚠️ LOW","✅ OK")</f>
        <v/>
      </c>
      <c r="H5" s="15" t="n">
        <v>0</v>
      </c>
      <c r="I5" s="20">
        <f>E5*H5</f>
        <v/>
      </c>
    </row>
    <row r="6" ht="22" customHeight="1">
      <c r="B6" s="28" t="inlineStr">
        <is>
          <t>Sugar</t>
        </is>
      </c>
      <c r="C6" s="29" t="inlineStr">
        <is>
          <t>Dry Goods</t>
        </is>
      </c>
      <c r="D6" s="29" t="inlineStr">
        <is>
          <t>kg</t>
        </is>
      </c>
      <c r="E6" s="30" t="n">
        <v>20</v>
      </c>
      <c r="F6" s="30" t="n">
        <v>5</v>
      </c>
      <c r="G6" s="14">
        <f>IF(E6&lt;=F6,"⚠️ LOW","✅ OK")</f>
        <v/>
      </c>
      <c r="H6" s="15" t="n">
        <v>0</v>
      </c>
      <c r="I6" s="16">
        <f>E6*H6</f>
        <v/>
      </c>
    </row>
    <row r="7" ht="22" customHeight="1">
      <c r="B7" s="31" t="inlineStr">
        <is>
          <t>Flour</t>
        </is>
      </c>
      <c r="C7" s="32" t="inlineStr">
        <is>
          <t>Dry Goods</t>
        </is>
      </c>
      <c r="D7" s="32" t="inlineStr">
        <is>
          <t>kg</t>
        </is>
      </c>
      <c r="E7" s="30" t="n">
        <v>15</v>
      </c>
      <c r="F7" s="30" t="n">
        <v>5</v>
      </c>
      <c r="G7" s="19">
        <f>IF(E7&lt;=F7,"⚠️ LOW","✅ OK")</f>
        <v/>
      </c>
      <c r="H7" s="15" t="n">
        <v>0</v>
      </c>
      <c r="I7" s="20">
        <f>E7*H7</f>
        <v/>
      </c>
    </row>
    <row r="8" ht="22" customHeight="1">
      <c r="B8" s="28" t="inlineStr">
        <is>
          <t>Chicken</t>
        </is>
      </c>
      <c r="C8" s="29" t="inlineStr">
        <is>
          <t>Proteins</t>
        </is>
      </c>
      <c r="D8" s="29" t="inlineStr">
        <is>
          <t>kg</t>
        </is>
      </c>
      <c r="E8" s="30" t="n">
        <v>10</v>
      </c>
      <c r="F8" s="30" t="n">
        <v>3</v>
      </c>
      <c r="G8" s="14">
        <f>IF(E8&lt;=F8,"⚠️ LOW","✅ OK")</f>
        <v/>
      </c>
      <c r="H8" s="15" t="n">
        <v>0</v>
      </c>
      <c r="I8" s="16">
        <f>E8*H8</f>
        <v/>
      </c>
    </row>
    <row r="9" ht="22" customHeight="1">
      <c r="B9" s="31" t="inlineStr">
        <is>
          <t>Tomatoes</t>
        </is>
      </c>
      <c r="C9" s="32" t="inlineStr">
        <is>
          <t>Vegetables</t>
        </is>
      </c>
      <c r="D9" s="32" t="inlineStr">
        <is>
          <t>kg</t>
        </is>
      </c>
      <c r="E9" s="30" t="n">
        <v>8</v>
      </c>
      <c r="F9" s="30" t="n">
        <v>3</v>
      </c>
      <c r="G9" s="19">
        <f>IF(E9&lt;=F9,"⚠️ LOW","✅ OK")</f>
        <v/>
      </c>
      <c r="H9" s="15" t="n">
        <v>0</v>
      </c>
      <c r="I9" s="20">
        <f>E9*H9</f>
        <v/>
      </c>
    </row>
    <row r="10" ht="22" customHeight="1">
      <c r="B10" s="28" t="inlineStr">
        <is>
          <t>Olive Oil</t>
        </is>
      </c>
      <c r="C10" s="29" t="inlineStr">
        <is>
          <t>Condiments</t>
        </is>
      </c>
      <c r="D10" s="29" t="inlineStr">
        <is>
          <t>L</t>
        </is>
      </c>
      <c r="E10" s="30" t="n">
        <v>5</v>
      </c>
      <c r="F10" s="30" t="n">
        <v>2</v>
      </c>
      <c r="G10" s="14">
        <f>IF(E10&lt;=F10,"⚠️ LOW","✅ OK")</f>
        <v/>
      </c>
      <c r="H10" s="15" t="n">
        <v>0</v>
      </c>
      <c r="I10" s="16">
        <f>E10*H10</f>
        <v/>
      </c>
    </row>
    <row r="11" ht="22" customHeight="1">
      <c r="B11" s="31" t="inlineStr">
        <is>
          <t>Cheese</t>
        </is>
      </c>
      <c r="C11" s="32" t="inlineStr">
        <is>
          <t>Dairy</t>
        </is>
      </c>
      <c r="D11" s="32" t="inlineStr">
        <is>
          <t>kg</t>
        </is>
      </c>
      <c r="E11" s="30" t="n">
        <v>6</v>
      </c>
      <c r="F11" s="30" t="n">
        <v>2</v>
      </c>
      <c r="G11" s="19">
        <f>IF(E11&lt;=F11,"⚠️ LOW","✅ OK")</f>
        <v/>
      </c>
      <c r="H11" s="15" t="n">
        <v>0</v>
      </c>
      <c r="I11" s="20">
        <f>E11*H11</f>
        <v/>
      </c>
    </row>
    <row r="12" ht="22" customHeight="1">
      <c r="B12" s="28" t="inlineStr">
        <is>
          <t>Bread Loaves</t>
        </is>
      </c>
      <c r="C12" s="29" t="inlineStr">
        <is>
          <t>Bakery</t>
        </is>
      </c>
      <c r="D12" s="29" t="inlineStr">
        <is>
          <t>pcs</t>
        </is>
      </c>
      <c r="E12" s="30" t="n">
        <v>20</v>
      </c>
      <c r="F12" s="30" t="n">
        <v>5</v>
      </c>
      <c r="G12" s="14">
        <f>IF(E12&lt;=F12,"⚠️ LOW","✅ OK")</f>
        <v/>
      </c>
      <c r="H12" s="15" t="n">
        <v>0</v>
      </c>
      <c r="I12" s="16">
        <f>E12*H12</f>
        <v/>
      </c>
    </row>
    <row r="13" ht="22" customHeight="1">
      <c r="B13" s="31" t="inlineStr">
        <is>
          <t>Disposable Cups</t>
        </is>
      </c>
      <c r="C13" s="32" t="inlineStr">
        <is>
          <t>Supplies</t>
        </is>
      </c>
      <c r="D13" s="32" t="inlineStr">
        <is>
          <t>pcs</t>
        </is>
      </c>
      <c r="E13" s="30" t="n">
        <v>200</v>
      </c>
      <c r="F13" s="30" t="n">
        <v>50</v>
      </c>
      <c r="G13" s="19">
        <f>IF(E13&lt;=F13,"⚠️ LOW","✅ OK")</f>
        <v/>
      </c>
      <c r="H13" s="15" t="n">
        <v>0</v>
      </c>
      <c r="I13" s="20">
        <f>E13*H13</f>
        <v/>
      </c>
    </row>
    <row r="14" ht="22" customHeight="1">
      <c r="B14" s="29" t="n"/>
      <c r="C14" s="29" t="n"/>
      <c r="D14" s="29" t="n"/>
      <c r="E14" s="30" t="n"/>
      <c r="F14" s="30" t="n"/>
      <c r="G14" s="29">
        <f>IF(E14="","",IF(E14&lt;=F14,"⚠️ LOW","✅ OK"))</f>
        <v/>
      </c>
      <c r="H14" s="30" t="n"/>
      <c r="I14" s="29">
        <f>IF(E14="","",E14*H14)</f>
        <v/>
      </c>
    </row>
    <row r="15" ht="22" customHeight="1">
      <c r="B15" s="32" t="n"/>
      <c r="C15" s="32" t="n"/>
      <c r="D15" s="32" t="n"/>
      <c r="E15" s="30" t="n"/>
      <c r="F15" s="30" t="n"/>
      <c r="G15" s="32">
        <f>IF(E15="","",IF(E15&lt;=F15,"⚠️ LOW","✅ OK"))</f>
        <v/>
      </c>
      <c r="H15" s="30" t="n"/>
      <c r="I15" s="32">
        <f>IF(E15="","",E15*H15)</f>
        <v/>
      </c>
    </row>
    <row r="16" ht="22" customHeight="1">
      <c r="B16" s="29" t="n"/>
      <c r="C16" s="29" t="n"/>
      <c r="D16" s="29" t="n"/>
      <c r="E16" s="30" t="n"/>
      <c r="F16" s="30" t="n"/>
      <c r="G16" s="29">
        <f>IF(E16="","",IF(E16&lt;=F16,"⚠️ LOW","✅ OK"))</f>
        <v/>
      </c>
      <c r="H16" s="30" t="n"/>
      <c r="I16" s="29">
        <f>IF(E16="","",E16*H16)</f>
        <v/>
      </c>
    </row>
    <row r="17" ht="22" customHeight="1">
      <c r="B17" s="32" t="n"/>
      <c r="C17" s="32" t="n"/>
      <c r="D17" s="32" t="n"/>
      <c r="E17" s="30" t="n"/>
      <c r="F17" s="30" t="n"/>
      <c r="G17" s="32">
        <f>IF(E17="","",IF(E17&lt;=F17,"⚠️ LOW","✅ OK"))</f>
        <v/>
      </c>
      <c r="H17" s="30" t="n"/>
      <c r="I17" s="32">
        <f>IF(E17="","",E17*H17)</f>
        <v/>
      </c>
    </row>
    <row r="18" ht="22" customHeight="1">
      <c r="B18" s="29" t="n"/>
      <c r="C18" s="29" t="n"/>
      <c r="D18" s="29" t="n"/>
      <c r="E18" s="30" t="n"/>
      <c r="F18" s="30" t="n"/>
      <c r="G18" s="29">
        <f>IF(E18="","",IF(E18&lt;=F18,"⚠️ LOW","✅ OK"))</f>
        <v/>
      </c>
      <c r="H18" s="30" t="n"/>
      <c r="I18" s="29">
        <f>IF(E18="","",E18*H18)</f>
        <v/>
      </c>
    </row>
    <row r="19" ht="22" customHeight="1">
      <c r="B19" s="32" t="n"/>
      <c r="C19" s="32" t="n"/>
      <c r="D19" s="32" t="n"/>
      <c r="E19" s="30" t="n"/>
      <c r="F19" s="30" t="n"/>
      <c r="G19" s="32">
        <f>IF(E19="","",IF(E19&lt;=F19,"⚠️ LOW","✅ OK"))</f>
        <v/>
      </c>
      <c r="H19" s="30" t="n"/>
      <c r="I19" s="32">
        <f>IF(E19="","",E19*H19)</f>
        <v/>
      </c>
    </row>
    <row r="20" ht="22" customHeight="1">
      <c r="B20" s="29" t="n"/>
      <c r="C20" s="29" t="n"/>
      <c r="D20" s="29" t="n"/>
      <c r="E20" s="30" t="n"/>
      <c r="F20" s="30" t="n"/>
      <c r="G20" s="29">
        <f>IF(E20="","",IF(E20&lt;=F20,"⚠️ LOW","✅ OK"))</f>
        <v/>
      </c>
      <c r="H20" s="30" t="n"/>
      <c r="I20" s="29">
        <f>IF(E20="","",E20*H20)</f>
        <v/>
      </c>
    </row>
    <row r="21" ht="22" customHeight="1">
      <c r="B21" s="32" t="n"/>
      <c r="C21" s="32" t="n"/>
      <c r="D21" s="32" t="n"/>
      <c r="E21" s="30" t="n"/>
      <c r="F21" s="30" t="n"/>
      <c r="G21" s="32">
        <f>IF(E21="","",IF(E21&lt;=F21,"⚠️ LOW","✅ OK"))</f>
        <v/>
      </c>
      <c r="H21" s="30" t="n"/>
      <c r="I21" s="32">
        <f>IF(E21="","",E21*H21)</f>
        <v/>
      </c>
    </row>
    <row r="22" ht="22" customHeight="1">
      <c r="B22" s="29" t="n"/>
      <c r="C22" s="29" t="n"/>
      <c r="D22" s="29" t="n"/>
      <c r="E22" s="30" t="n"/>
      <c r="F22" s="30" t="n"/>
      <c r="G22" s="29">
        <f>IF(E22="","",IF(E22&lt;=F22,"⚠️ LOW","✅ OK"))</f>
        <v/>
      </c>
      <c r="H22" s="30" t="n"/>
      <c r="I22" s="29">
        <f>IF(E22="","",E22*H22)</f>
        <v/>
      </c>
    </row>
    <row r="23" ht="22" customHeight="1">
      <c r="B23" s="32" t="n"/>
      <c r="C23" s="32" t="n"/>
      <c r="D23" s="32" t="n"/>
      <c r="E23" s="30" t="n"/>
      <c r="F23" s="30" t="n"/>
      <c r="G23" s="32">
        <f>IF(E23="","",IF(E23&lt;=F23,"⚠️ LOW","✅ OK"))</f>
        <v/>
      </c>
      <c r="H23" s="30" t="n"/>
      <c r="I23" s="32">
        <f>IF(E23="","",E23*H23)</f>
        <v/>
      </c>
    </row>
    <row r="24" ht="22" customHeight="1">
      <c r="B24" s="29" t="n"/>
      <c r="C24" s="29" t="n"/>
      <c r="D24" s="29" t="n"/>
      <c r="E24" s="30" t="n"/>
      <c r="F24" s="30" t="n"/>
      <c r="G24" s="29">
        <f>IF(E24="","",IF(E24&lt;=F24,"⚠️ LOW","✅ OK"))</f>
        <v/>
      </c>
      <c r="H24" s="30" t="n"/>
      <c r="I24" s="29">
        <f>IF(E24="","",E24*H24)</f>
        <v/>
      </c>
    </row>
    <row r="25" ht="22" customHeight="1">
      <c r="B25" s="32" t="n"/>
      <c r="C25" s="32" t="n"/>
      <c r="D25" s="32" t="n"/>
      <c r="E25" s="30" t="n"/>
      <c r="F25" s="30" t="n"/>
      <c r="G25" s="32">
        <f>IF(E25="","",IF(E25&lt;=F25,"⚠️ LOW","✅ OK"))</f>
        <v/>
      </c>
      <c r="H25" s="30" t="n"/>
      <c r="I25" s="32">
        <f>IF(E25="","",E25*H25)</f>
        <v/>
      </c>
    </row>
    <row r="26" ht="22" customHeight="1">
      <c r="B26" s="29" t="n"/>
      <c r="C26" s="29" t="n"/>
      <c r="D26" s="29" t="n"/>
      <c r="E26" s="30" t="n"/>
      <c r="F26" s="30" t="n"/>
      <c r="G26" s="29">
        <f>IF(E26="","",IF(E26&lt;=F26,"⚠️ LOW","✅ OK"))</f>
        <v/>
      </c>
      <c r="H26" s="30" t="n"/>
      <c r="I26" s="29">
        <f>IF(E26="","",E26*H26)</f>
        <v/>
      </c>
    </row>
    <row r="27" ht="22" customHeight="1">
      <c r="B27" s="32" t="n"/>
      <c r="C27" s="32" t="n"/>
      <c r="D27" s="32" t="n"/>
      <c r="E27" s="30" t="n"/>
      <c r="F27" s="30" t="n"/>
      <c r="G27" s="32">
        <f>IF(E27="","",IF(E27&lt;=F27,"⚠️ LOW","✅ OK"))</f>
        <v/>
      </c>
      <c r="H27" s="30" t="n"/>
      <c r="I27" s="32">
        <f>IF(E27="","",E27*H27)</f>
        <v/>
      </c>
    </row>
    <row r="28" ht="22" customHeight="1">
      <c r="B28" s="29" t="n"/>
      <c r="C28" s="29" t="n"/>
      <c r="D28" s="29" t="n"/>
      <c r="E28" s="30" t="n"/>
      <c r="F28" s="30" t="n"/>
      <c r="G28" s="29">
        <f>IF(E28="","",IF(E28&lt;=F28,"⚠️ LOW","✅ OK"))</f>
        <v/>
      </c>
      <c r="H28" s="30" t="n"/>
      <c r="I28" s="29">
        <f>IF(E28="","",E28*H28)</f>
        <v/>
      </c>
    </row>
    <row r="29" ht="22" customHeight="1">
      <c r="B29" s="32" t="n"/>
      <c r="C29" s="32" t="n"/>
      <c r="D29" s="32" t="n"/>
      <c r="E29" s="30" t="n"/>
      <c r="F29" s="30" t="n"/>
      <c r="G29" s="32">
        <f>IF(E29="","",IF(E29&lt;=F29,"⚠️ LOW","✅ OK"))</f>
        <v/>
      </c>
      <c r="H29" s="30" t="n"/>
      <c r="I29" s="32">
        <f>IF(E29="","",E29*H29)</f>
        <v/>
      </c>
    </row>
    <row r="30" ht="22" customHeight="1">
      <c r="B30" s="29" t="n"/>
      <c r="C30" s="29" t="n"/>
      <c r="D30" s="29" t="n"/>
      <c r="E30" s="30" t="n"/>
      <c r="F30" s="30" t="n"/>
      <c r="G30" s="29">
        <f>IF(E30="","",IF(E30&lt;=F30,"⚠️ LOW","✅ OK"))</f>
        <v/>
      </c>
      <c r="H30" s="30" t="n"/>
      <c r="I30" s="29">
        <f>IF(E30="","",E30*H30)</f>
        <v/>
      </c>
    </row>
    <row r="31" ht="22" customHeight="1">
      <c r="B31" s="32" t="n"/>
      <c r="C31" s="32" t="n"/>
      <c r="D31" s="32" t="n"/>
      <c r="E31" s="30" t="n"/>
      <c r="F31" s="30" t="n"/>
      <c r="G31" s="32">
        <f>IF(E31="","",IF(E31&lt;=F31,"⚠️ LOW","✅ OK"))</f>
        <v/>
      </c>
      <c r="H31" s="30" t="n"/>
      <c r="I31" s="32">
        <f>IF(E31="","",E31*H31)</f>
        <v/>
      </c>
    </row>
    <row r="32" ht="22" customHeight="1">
      <c r="B32" s="29" t="n"/>
      <c r="C32" s="29" t="n"/>
      <c r="D32" s="29" t="n"/>
      <c r="E32" s="30" t="n"/>
      <c r="F32" s="30" t="n"/>
      <c r="G32" s="29">
        <f>IF(E32="","",IF(E32&lt;=F32,"⚠️ LOW","✅ OK"))</f>
        <v/>
      </c>
      <c r="H32" s="30" t="n"/>
      <c r="I32" s="29">
        <f>IF(E32="","",E32*H32)</f>
        <v/>
      </c>
    </row>
    <row r="33" ht="22" customHeight="1">
      <c r="B33" s="32" t="n"/>
      <c r="C33" s="32" t="n"/>
      <c r="D33" s="32" t="n"/>
      <c r="E33" s="30" t="n"/>
      <c r="F33" s="30" t="n"/>
      <c r="G33" s="32">
        <f>IF(E33="","",IF(E33&lt;=F33,"⚠️ LOW","✅ OK"))</f>
        <v/>
      </c>
      <c r="H33" s="30" t="n"/>
      <c r="I33" s="32">
        <f>IF(E33="","",E33*H33)</f>
        <v/>
      </c>
    </row>
    <row r="34" ht="22" customHeight="1">
      <c r="B34" s="29" t="n"/>
      <c r="C34" s="29" t="n"/>
      <c r="D34" s="29" t="n"/>
      <c r="E34" s="30" t="n"/>
      <c r="F34" s="30" t="n"/>
      <c r="G34" s="29">
        <f>IF(E34="","",IF(E34&lt;=F34,"⚠️ LOW","✅ OK"))</f>
        <v/>
      </c>
      <c r="H34" s="30" t="n"/>
      <c r="I34" s="29">
        <f>IF(E34="","",E34*H34)</f>
        <v/>
      </c>
    </row>
    <row r="35" ht="22" customHeight="1">
      <c r="B35" s="32" t="n"/>
      <c r="C35" s="32" t="n"/>
      <c r="D35" s="32" t="n"/>
      <c r="E35" s="30" t="n"/>
      <c r="F35" s="30" t="n"/>
      <c r="G35" s="32">
        <f>IF(E35="","",IF(E35&lt;=F35,"⚠️ LOW","✅ OK"))</f>
        <v/>
      </c>
      <c r="H35" s="30" t="n"/>
      <c r="I35" s="32">
        <f>IF(E35="","",E35*H35)</f>
        <v/>
      </c>
    </row>
    <row r="36" ht="22" customHeight="1">
      <c r="B36" s="29" t="n"/>
      <c r="C36" s="29" t="n"/>
      <c r="D36" s="29" t="n"/>
      <c r="E36" s="30" t="n"/>
      <c r="F36" s="30" t="n"/>
      <c r="G36" s="29">
        <f>IF(E36="","",IF(E36&lt;=F36,"⚠️ LOW","✅ OK"))</f>
        <v/>
      </c>
      <c r="H36" s="30" t="n"/>
      <c r="I36" s="29">
        <f>IF(E36="","",E36*H36)</f>
        <v/>
      </c>
    </row>
    <row r="37" ht="22" customHeight="1">
      <c r="B37" s="32" t="n"/>
      <c r="C37" s="32" t="n"/>
      <c r="D37" s="32" t="n"/>
      <c r="E37" s="30" t="n"/>
      <c r="F37" s="30" t="n"/>
      <c r="G37" s="32">
        <f>IF(E37="","",IF(E37&lt;=F37,"⚠️ LOW","✅ OK"))</f>
        <v/>
      </c>
      <c r="H37" s="30" t="n"/>
      <c r="I37" s="32">
        <f>IF(E37="","",E37*H37)</f>
        <v/>
      </c>
    </row>
    <row r="38" ht="22" customHeight="1">
      <c r="B38" s="29" t="n"/>
      <c r="C38" s="29" t="n"/>
      <c r="D38" s="29" t="n"/>
      <c r="E38" s="30" t="n"/>
      <c r="F38" s="30" t="n"/>
      <c r="G38" s="29">
        <f>IF(E38="","",IF(E38&lt;=F38,"⚠️ LOW","✅ OK"))</f>
        <v/>
      </c>
      <c r="H38" s="30" t="n"/>
      <c r="I38" s="29">
        <f>IF(E38="","",E38*H38)</f>
        <v/>
      </c>
    </row>
    <row r="39" ht="22" customHeight="1">
      <c r="B39" s="32" t="n"/>
      <c r="C39" s="32" t="n"/>
      <c r="D39" s="32" t="n"/>
      <c r="E39" s="30" t="n"/>
      <c r="F39" s="30" t="n"/>
      <c r="G39" s="32">
        <f>IF(E39="","",IF(E39&lt;=F39,"⚠️ LOW","✅ OK"))</f>
        <v/>
      </c>
      <c r="H39" s="30" t="n"/>
      <c r="I39" s="32">
        <f>IF(E39="","",E39*H39)</f>
        <v/>
      </c>
    </row>
    <row r="40" ht="22" customHeight="1">
      <c r="B40" s="29" t="n"/>
      <c r="C40" s="29" t="n"/>
      <c r="D40" s="29" t="n"/>
      <c r="E40" s="30" t="n"/>
      <c r="F40" s="30" t="n"/>
      <c r="G40" s="29">
        <f>IF(E40="","",IF(E40&lt;=F40,"⚠️ LOW","✅ OK"))</f>
        <v/>
      </c>
      <c r="H40" s="30" t="n"/>
      <c r="I40" s="29">
        <f>IF(E40="","",E40*H40)</f>
        <v/>
      </c>
    </row>
    <row r="41" ht="22" customHeight="1">
      <c r="B41" s="32" t="n"/>
      <c r="C41" s="32" t="n"/>
      <c r="D41" s="32" t="n"/>
      <c r="E41" s="30" t="n"/>
      <c r="F41" s="30" t="n"/>
      <c r="G41" s="32">
        <f>IF(E41="","",IF(E41&lt;=F41,"⚠️ LOW","✅ OK"))</f>
        <v/>
      </c>
      <c r="H41" s="30" t="n"/>
      <c r="I41" s="32">
        <f>IF(E41="","",E41*H41)</f>
        <v/>
      </c>
    </row>
    <row r="42" ht="22" customHeight="1">
      <c r="B42" s="29" t="n"/>
      <c r="C42" s="29" t="n"/>
      <c r="D42" s="29" t="n"/>
      <c r="E42" s="30" t="n"/>
      <c r="F42" s="30" t="n"/>
      <c r="G42" s="29">
        <f>IF(E42="","",IF(E42&lt;=F42,"⚠️ LOW","✅ OK"))</f>
        <v/>
      </c>
      <c r="H42" s="30" t="n"/>
      <c r="I42" s="29">
        <f>IF(E42="","",E42*H42)</f>
        <v/>
      </c>
    </row>
    <row r="43" ht="22" customHeight="1">
      <c r="B43" s="32" t="n"/>
      <c r="C43" s="32" t="n"/>
      <c r="D43" s="32" t="n"/>
      <c r="E43" s="30" t="n"/>
      <c r="F43" s="30" t="n"/>
      <c r="G43" s="32">
        <f>IF(E43="","",IF(E43&lt;=F43,"⚠️ LOW","✅ OK"))</f>
        <v/>
      </c>
      <c r="H43" s="30" t="n"/>
      <c r="I43" s="32">
        <f>IF(E43="","",E43*H43)</f>
        <v/>
      </c>
    </row>
    <row r="44" ht="22" customHeight="1">
      <c r="B44" s="29" t="n"/>
      <c r="C44" s="29" t="n"/>
      <c r="D44" s="29" t="n"/>
      <c r="E44" s="30" t="n"/>
      <c r="F44" s="30" t="n"/>
      <c r="G44" s="29">
        <f>IF(E44="","",IF(E44&lt;=F44,"⚠️ LOW","✅ OK"))</f>
        <v/>
      </c>
      <c r="H44" s="30" t="n"/>
      <c r="I44" s="29">
        <f>IF(E44="","",E44*H44)</f>
        <v/>
      </c>
    </row>
    <row r="45" ht="22" customHeight="1">
      <c r="B45" s="32" t="n"/>
      <c r="C45" s="32" t="n"/>
      <c r="D45" s="32" t="n"/>
      <c r="E45" s="30" t="n"/>
      <c r="F45" s="30" t="n"/>
      <c r="G45" s="32">
        <f>IF(E45="","",IF(E45&lt;=F45,"⚠️ LOW","✅ OK"))</f>
        <v/>
      </c>
      <c r="H45" s="30" t="n"/>
      <c r="I45" s="32">
        <f>IF(E45="","",E45*H45)</f>
        <v/>
      </c>
    </row>
    <row r="46" ht="22" customHeight="1">
      <c r="B46" s="29" t="n"/>
      <c r="C46" s="29" t="n"/>
      <c r="D46" s="29" t="n"/>
      <c r="E46" s="30" t="n"/>
      <c r="F46" s="30" t="n"/>
      <c r="G46" s="29">
        <f>IF(E46="","",IF(E46&lt;=F46,"⚠️ LOW","✅ OK"))</f>
        <v/>
      </c>
      <c r="H46" s="30" t="n"/>
      <c r="I46" s="29">
        <f>IF(E46="","",E46*H46)</f>
        <v/>
      </c>
    </row>
    <row r="47" ht="22" customHeight="1">
      <c r="B47" s="32" t="n"/>
      <c r="C47" s="32" t="n"/>
      <c r="D47" s="32" t="n"/>
      <c r="E47" s="30" t="n"/>
      <c r="F47" s="30" t="n"/>
      <c r="G47" s="32">
        <f>IF(E47="","",IF(E47&lt;=F47,"⚠️ LOW","✅ OK"))</f>
        <v/>
      </c>
      <c r="H47" s="30" t="n"/>
      <c r="I47" s="32">
        <f>IF(E47="","",E47*H47)</f>
        <v/>
      </c>
    </row>
    <row r="48" ht="22" customHeight="1">
      <c r="B48" s="29" t="n"/>
      <c r="C48" s="29" t="n"/>
      <c r="D48" s="29" t="n"/>
      <c r="E48" s="30" t="n"/>
      <c r="F48" s="30" t="n"/>
      <c r="G48" s="29">
        <f>IF(E48="","",IF(E48&lt;=F48,"⚠️ LOW","✅ OK"))</f>
        <v/>
      </c>
      <c r="H48" s="30" t="n"/>
      <c r="I48" s="29">
        <f>IF(E48="","",E48*H48)</f>
        <v/>
      </c>
    </row>
    <row r="49" ht="22" customHeight="1">
      <c r="B49" s="32" t="n"/>
      <c r="C49" s="32" t="n"/>
      <c r="D49" s="32" t="n"/>
      <c r="E49" s="30" t="n"/>
      <c r="F49" s="30" t="n"/>
      <c r="G49" s="32">
        <f>IF(E49="","",IF(E49&lt;=F49,"⚠️ LOW","✅ OK"))</f>
        <v/>
      </c>
      <c r="H49" s="30" t="n"/>
      <c r="I49" s="32">
        <f>IF(E49="","",E49*H49)</f>
        <v/>
      </c>
    </row>
    <row r="50" ht="22" customHeight="1">
      <c r="B50" s="29" t="n"/>
      <c r="C50" s="29" t="n"/>
      <c r="D50" s="29" t="n"/>
      <c r="E50" s="30" t="n"/>
      <c r="F50" s="30" t="n"/>
      <c r="G50" s="29">
        <f>IF(E50="","",IF(E50&lt;=F50,"⚠️ LOW","✅ OK"))</f>
        <v/>
      </c>
      <c r="H50" s="30" t="n"/>
      <c r="I50" s="29">
        <f>IF(E50="","",E50*H50)</f>
        <v/>
      </c>
    </row>
    <row r="51" ht="22" customHeight="1">
      <c r="B51" s="32" t="n"/>
      <c r="C51" s="32" t="n"/>
      <c r="D51" s="32" t="n"/>
      <c r="E51" s="30" t="n"/>
      <c r="F51" s="30" t="n"/>
      <c r="G51" s="32">
        <f>IF(E51="","",IF(E51&lt;=F51,"⚠️ LOW","✅ OK"))</f>
        <v/>
      </c>
      <c r="H51" s="30" t="n"/>
      <c r="I51" s="32">
        <f>IF(E51="","",E51*H51)</f>
        <v/>
      </c>
    </row>
    <row r="52" ht="22" customHeight="1">
      <c r="B52" s="29" t="n"/>
      <c r="C52" s="29" t="n"/>
      <c r="D52" s="29" t="n"/>
      <c r="E52" s="30" t="n"/>
      <c r="F52" s="30" t="n"/>
      <c r="G52" s="29">
        <f>IF(E52="","",IF(E52&lt;=F52,"⚠️ LOW","✅ OK"))</f>
        <v/>
      </c>
      <c r="H52" s="30" t="n"/>
      <c r="I52" s="29">
        <f>IF(E52="","",E52*H52)</f>
        <v/>
      </c>
    </row>
    <row r="54" ht="28" customHeight="1">
      <c r="B54" s="22" t="inlineStr">
        <is>
          <t>TOTAL INVENTORY VALUE</t>
        </is>
      </c>
      <c r="I54" s="33">
        <f>SUM(I4:I53)</f>
        <v/>
      </c>
    </row>
  </sheetData>
  <mergeCells count="2">
    <mergeCell ref="B1:I1"/>
    <mergeCell ref="B54:H54"/>
  </mergeCells>
  <pageMargins left="0.75" right="0.75" top="1" bottom="1" header="0.5" footer="0.5"/>
</worksheet>
</file>

<file path=xl/worksheets/sheet3.xml><?xml version="1.0" encoding="utf-8"?>
<worksheet xmlns="http://schemas.openxmlformats.org/spreadsheetml/2006/main">
  <sheetPr>
    <tabColor rgb="004A90D9"/>
    <outlinePr summaryBelow="1" summaryRight="1"/>
    <pageSetUpPr/>
  </sheetPr>
  <dimension ref="B1:I33"/>
  <sheetViews>
    <sheetView showGridLines="0" workbookViewId="0">
      <selection activeCell="A1" sqref="A1"/>
    </sheetView>
  </sheetViews>
  <sheetFormatPr baseColWidth="8" defaultRowHeight="15"/>
  <cols>
    <col width="2" customWidth="1" min="1" max="1"/>
    <col width="8" customWidth="1" min="2" max="2"/>
    <col width="25" customWidth="1" min="3" max="3"/>
    <col width="12" customWidth="1" min="4" max="4"/>
    <col width="12" customWidth="1" min="5" max="5"/>
    <col width="12" customWidth="1" min="6" max="6"/>
    <col width="15" customWidth="1" min="7" max="7"/>
    <col width="12" customWidth="1" min="8" max="8"/>
    <col width="2" customWidth="1" min="9" max="9"/>
  </cols>
  <sheetData>
    <row r="1" ht="40" customHeight="1">
      <c r="B1" s="34" t="inlineStr">
        <is>
          <t>📈  DAILY SALES TRACKER</t>
        </is>
      </c>
    </row>
    <row r="3">
      <c r="B3" s="13" t="inlineStr">
        <is>
          <t>#</t>
        </is>
      </c>
      <c r="C3" s="13" t="inlineStr">
        <is>
          <t>Item / Service</t>
        </is>
      </c>
      <c r="D3" s="13" t="inlineStr">
        <is>
          <t>Category</t>
        </is>
      </c>
      <c r="E3" s="13" t="inlineStr">
        <is>
          <t>Qty</t>
        </is>
      </c>
      <c r="F3" s="13" t="inlineStr">
        <is>
          <t>Price ($)</t>
        </is>
      </c>
      <c r="G3" s="13" t="inlineStr">
        <is>
          <t>Total ($)</t>
        </is>
      </c>
      <c r="H3" s="13" t="inlineStr">
        <is>
          <t>Payment</t>
        </is>
      </c>
      <c r="I3" s="13" t="inlineStr">
        <is>
          <t>Time</t>
        </is>
      </c>
    </row>
    <row r="4" ht="22" customHeight="1">
      <c r="B4" s="29" t="n">
        <v>1</v>
      </c>
      <c r="C4" s="30" t="n"/>
      <c r="D4" s="30" t="n"/>
      <c r="E4" s="15" t="n">
        <v>0</v>
      </c>
      <c r="F4" s="15" t="n">
        <v>0</v>
      </c>
      <c r="G4" s="16">
        <f>IF(E4=0,"",E4*F4)</f>
        <v/>
      </c>
      <c r="H4" s="30" t="n"/>
      <c r="I4" s="30" t="n"/>
    </row>
    <row r="5" ht="22" customHeight="1">
      <c r="B5" s="32" t="n">
        <v>2</v>
      </c>
      <c r="C5" s="30" t="n"/>
      <c r="D5" s="30" t="n"/>
      <c r="E5" s="15" t="n">
        <v>0</v>
      </c>
      <c r="F5" s="15" t="n">
        <v>0</v>
      </c>
      <c r="G5" s="20">
        <f>IF(E5=0,"",E5*F5)</f>
        <v/>
      </c>
      <c r="H5" s="30" t="n"/>
      <c r="I5" s="30" t="n"/>
    </row>
    <row r="6" ht="22" customHeight="1">
      <c r="B6" s="29" t="n">
        <v>3</v>
      </c>
      <c r="C6" s="30" t="n"/>
      <c r="D6" s="30" t="n"/>
      <c r="E6" s="15" t="n">
        <v>0</v>
      </c>
      <c r="F6" s="15" t="n">
        <v>0</v>
      </c>
      <c r="G6" s="16">
        <f>IF(E6=0,"",E6*F6)</f>
        <v/>
      </c>
      <c r="H6" s="30" t="n"/>
      <c r="I6" s="30" t="n"/>
    </row>
    <row r="7" ht="22" customHeight="1">
      <c r="B7" s="32" t="n">
        <v>4</v>
      </c>
      <c r="C7" s="30" t="n"/>
      <c r="D7" s="30" t="n"/>
      <c r="E7" s="15" t="n">
        <v>0</v>
      </c>
      <c r="F7" s="15" t="n">
        <v>0</v>
      </c>
      <c r="G7" s="20">
        <f>IF(E7=0,"",E7*F7)</f>
        <v/>
      </c>
      <c r="H7" s="30" t="n"/>
      <c r="I7" s="30" t="n"/>
    </row>
    <row r="8" ht="22" customHeight="1">
      <c r="B8" s="29" t="n">
        <v>5</v>
      </c>
      <c r="C8" s="30" t="n"/>
      <c r="D8" s="30" t="n"/>
      <c r="E8" s="15" t="n">
        <v>0</v>
      </c>
      <c r="F8" s="15" t="n">
        <v>0</v>
      </c>
      <c r="G8" s="16">
        <f>IF(E8=0,"",E8*F8)</f>
        <v/>
      </c>
      <c r="H8" s="30" t="n"/>
      <c r="I8" s="30" t="n"/>
    </row>
    <row r="9" ht="22" customHeight="1">
      <c r="B9" s="32" t="n">
        <v>6</v>
      </c>
      <c r="C9" s="30" t="n"/>
      <c r="D9" s="30" t="n"/>
      <c r="E9" s="15" t="n">
        <v>0</v>
      </c>
      <c r="F9" s="15" t="n">
        <v>0</v>
      </c>
      <c r="G9" s="20">
        <f>IF(E9=0,"",E9*F9)</f>
        <v/>
      </c>
      <c r="H9" s="30" t="n"/>
      <c r="I9" s="30" t="n"/>
    </row>
    <row r="10" ht="22" customHeight="1">
      <c r="B10" s="29" t="n">
        <v>7</v>
      </c>
      <c r="C10" s="30" t="n"/>
      <c r="D10" s="30" t="n"/>
      <c r="E10" s="15" t="n">
        <v>0</v>
      </c>
      <c r="F10" s="15" t="n">
        <v>0</v>
      </c>
      <c r="G10" s="16">
        <f>IF(E10=0,"",E10*F10)</f>
        <v/>
      </c>
      <c r="H10" s="30" t="n"/>
      <c r="I10" s="30" t="n"/>
    </row>
    <row r="11" ht="22" customHeight="1">
      <c r="B11" s="32" t="n">
        <v>8</v>
      </c>
      <c r="C11" s="30" t="n"/>
      <c r="D11" s="30" t="n"/>
      <c r="E11" s="15" t="n">
        <v>0</v>
      </c>
      <c r="F11" s="15" t="n">
        <v>0</v>
      </c>
      <c r="G11" s="20">
        <f>IF(E11=0,"",E11*F11)</f>
        <v/>
      </c>
      <c r="H11" s="30" t="n"/>
      <c r="I11" s="30" t="n"/>
    </row>
    <row r="12" ht="22" customHeight="1">
      <c r="B12" s="29" t="n">
        <v>9</v>
      </c>
      <c r="C12" s="30" t="n"/>
      <c r="D12" s="30" t="n"/>
      <c r="E12" s="15" t="n">
        <v>0</v>
      </c>
      <c r="F12" s="15" t="n">
        <v>0</v>
      </c>
      <c r="G12" s="16">
        <f>IF(E12=0,"",E12*F12)</f>
        <v/>
      </c>
      <c r="H12" s="30" t="n"/>
      <c r="I12" s="30" t="n"/>
    </row>
    <row r="13" ht="22" customHeight="1">
      <c r="B13" s="32" t="n">
        <v>10</v>
      </c>
      <c r="C13" s="30" t="n"/>
      <c r="D13" s="30" t="n"/>
      <c r="E13" s="15" t="n">
        <v>0</v>
      </c>
      <c r="F13" s="15" t="n">
        <v>0</v>
      </c>
      <c r="G13" s="20">
        <f>IF(E13=0,"",E13*F13)</f>
        <v/>
      </c>
      <c r="H13" s="30" t="n"/>
      <c r="I13" s="30" t="n"/>
    </row>
    <row r="14" ht="22" customHeight="1">
      <c r="B14" s="29" t="n">
        <v>11</v>
      </c>
      <c r="C14" s="30" t="n"/>
      <c r="D14" s="30" t="n"/>
      <c r="E14" s="15" t="n">
        <v>0</v>
      </c>
      <c r="F14" s="15" t="n">
        <v>0</v>
      </c>
      <c r="G14" s="16">
        <f>IF(E14=0,"",E14*F14)</f>
        <v/>
      </c>
      <c r="H14" s="30" t="n"/>
      <c r="I14" s="30" t="n"/>
    </row>
    <row r="15" ht="22" customHeight="1">
      <c r="B15" s="32" t="n">
        <v>12</v>
      </c>
      <c r="C15" s="30" t="n"/>
      <c r="D15" s="30" t="n"/>
      <c r="E15" s="15" t="n">
        <v>0</v>
      </c>
      <c r="F15" s="15" t="n">
        <v>0</v>
      </c>
      <c r="G15" s="20">
        <f>IF(E15=0,"",E15*F15)</f>
        <v/>
      </c>
      <c r="H15" s="30" t="n"/>
      <c r="I15" s="30" t="n"/>
    </row>
    <row r="16" ht="22" customHeight="1">
      <c r="B16" s="29" t="n">
        <v>13</v>
      </c>
      <c r="C16" s="30" t="n"/>
      <c r="D16" s="30" t="n"/>
      <c r="E16" s="15" t="n">
        <v>0</v>
      </c>
      <c r="F16" s="15" t="n">
        <v>0</v>
      </c>
      <c r="G16" s="16">
        <f>IF(E16=0,"",E16*F16)</f>
        <v/>
      </c>
      <c r="H16" s="30" t="n"/>
      <c r="I16" s="30" t="n"/>
    </row>
    <row r="17" ht="22" customHeight="1">
      <c r="B17" s="32" t="n">
        <v>14</v>
      </c>
      <c r="C17" s="30" t="n"/>
      <c r="D17" s="30" t="n"/>
      <c r="E17" s="15" t="n">
        <v>0</v>
      </c>
      <c r="F17" s="15" t="n">
        <v>0</v>
      </c>
      <c r="G17" s="20">
        <f>IF(E17=0,"",E17*F17)</f>
        <v/>
      </c>
      <c r="H17" s="30" t="n"/>
      <c r="I17" s="30" t="n"/>
    </row>
    <row r="18" ht="22" customHeight="1">
      <c r="B18" s="29" t="n">
        <v>15</v>
      </c>
      <c r="C18" s="30" t="n"/>
      <c r="D18" s="30" t="n"/>
      <c r="E18" s="15" t="n">
        <v>0</v>
      </c>
      <c r="F18" s="15" t="n">
        <v>0</v>
      </c>
      <c r="G18" s="16">
        <f>IF(E18=0,"",E18*F18)</f>
        <v/>
      </c>
      <c r="H18" s="30" t="n"/>
      <c r="I18" s="30" t="n"/>
    </row>
    <row r="19" ht="22" customHeight="1">
      <c r="B19" s="32" t="n">
        <v>16</v>
      </c>
      <c r="C19" s="30" t="n"/>
      <c r="D19" s="30" t="n"/>
      <c r="E19" s="15" t="n">
        <v>0</v>
      </c>
      <c r="F19" s="15" t="n">
        <v>0</v>
      </c>
      <c r="G19" s="20">
        <f>IF(E19=0,"",E19*F19)</f>
        <v/>
      </c>
      <c r="H19" s="30" t="n"/>
      <c r="I19" s="30" t="n"/>
    </row>
    <row r="20" ht="22" customHeight="1">
      <c r="B20" s="29" t="n">
        <v>17</v>
      </c>
      <c r="C20" s="30" t="n"/>
      <c r="D20" s="30" t="n"/>
      <c r="E20" s="15" t="n">
        <v>0</v>
      </c>
      <c r="F20" s="15" t="n">
        <v>0</v>
      </c>
      <c r="G20" s="16">
        <f>IF(E20=0,"",E20*F20)</f>
        <v/>
      </c>
      <c r="H20" s="30" t="n"/>
      <c r="I20" s="30" t="n"/>
    </row>
    <row r="21" ht="22" customHeight="1">
      <c r="B21" s="32" t="n">
        <v>18</v>
      </c>
      <c r="C21" s="30" t="n"/>
      <c r="D21" s="30" t="n"/>
      <c r="E21" s="15" t="n">
        <v>0</v>
      </c>
      <c r="F21" s="15" t="n">
        <v>0</v>
      </c>
      <c r="G21" s="20">
        <f>IF(E21=0,"",E21*F21)</f>
        <v/>
      </c>
      <c r="H21" s="30" t="n"/>
      <c r="I21" s="30" t="n"/>
    </row>
    <row r="22" ht="22" customHeight="1">
      <c r="B22" s="29" t="n">
        <v>19</v>
      </c>
      <c r="C22" s="30" t="n"/>
      <c r="D22" s="30" t="n"/>
      <c r="E22" s="15" t="n">
        <v>0</v>
      </c>
      <c r="F22" s="15" t="n">
        <v>0</v>
      </c>
      <c r="G22" s="16">
        <f>IF(E22=0,"",E22*F22)</f>
        <v/>
      </c>
      <c r="H22" s="30" t="n"/>
      <c r="I22" s="30" t="n"/>
    </row>
    <row r="23" ht="22" customHeight="1">
      <c r="B23" s="32" t="n">
        <v>20</v>
      </c>
      <c r="C23" s="30" t="n"/>
      <c r="D23" s="30" t="n"/>
      <c r="E23" s="15" t="n">
        <v>0</v>
      </c>
      <c r="F23" s="15" t="n">
        <v>0</v>
      </c>
      <c r="G23" s="20">
        <f>IF(E23=0,"",E23*F23)</f>
        <v/>
      </c>
      <c r="H23" s="30" t="n"/>
      <c r="I23" s="30" t="n"/>
    </row>
    <row r="24" ht="22" customHeight="1">
      <c r="B24" s="29" t="n">
        <v>21</v>
      </c>
      <c r="C24" s="30" t="n"/>
      <c r="D24" s="30" t="n"/>
      <c r="E24" s="15" t="n">
        <v>0</v>
      </c>
      <c r="F24" s="15" t="n">
        <v>0</v>
      </c>
      <c r="G24" s="16">
        <f>IF(E24=0,"",E24*F24)</f>
        <v/>
      </c>
      <c r="H24" s="30" t="n"/>
      <c r="I24" s="30" t="n"/>
    </row>
    <row r="25" ht="22" customHeight="1">
      <c r="B25" s="32" t="n">
        <v>22</v>
      </c>
      <c r="C25" s="30" t="n"/>
      <c r="D25" s="30" t="n"/>
      <c r="E25" s="15" t="n">
        <v>0</v>
      </c>
      <c r="F25" s="15" t="n">
        <v>0</v>
      </c>
      <c r="G25" s="20">
        <f>IF(E25=0,"",E25*F25)</f>
        <v/>
      </c>
      <c r="H25" s="30" t="n"/>
      <c r="I25" s="30" t="n"/>
    </row>
    <row r="26" ht="22" customHeight="1">
      <c r="B26" s="29" t="n">
        <v>23</v>
      </c>
      <c r="C26" s="30" t="n"/>
      <c r="D26" s="30" t="n"/>
      <c r="E26" s="15" t="n">
        <v>0</v>
      </c>
      <c r="F26" s="15" t="n">
        <v>0</v>
      </c>
      <c r="G26" s="16">
        <f>IF(E26=0,"",E26*F26)</f>
        <v/>
      </c>
      <c r="H26" s="30" t="n"/>
      <c r="I26" s="30" t="n"/>
    </row>
    <row r="27" ht="22" customHeight="1">
      <c r="B27" s="32" t="n">
        <v>24</v>
      </c>
      <c r="C27" s="30" t="n"/>
      <c r="D27" s="30" t="n"/>
      <c r="E27" s="15" t="n">
        <v>0</v>
      </c>
      <c r="F27" s="15" t="n">
        <v>0</v>
      </c>
      <c r="G27" s="20">
        <f>IF(E27=0,"",E27*F27)</f>
        <v/>
      </c>
      <c r="H27" s="30" t="n"/>
      <c r="I27" s="30" t="n"/>
    </row>
    <row r="28" ht="22" customHeight="1">
      <c r="B28" s="29" t="n">
        <v>25</v>
      </c>
      <c r="C28" s="30" t="n"/>
      <c r="D28" s="30" t="n"/>
      <c r="E28" s="15" t="n">
        <v>0</v>
      </c>
      <c r="F28" s="15" t="n">
        <v>0</v>
      </c>
      <c r="G28" s="16">
        <f>IF(E28=0,"",E28*F28)</f>
        <v/>
      </c>
      <c r="H28" s="30" t="n"/>
      <c r="I28" s="30" t="n"/>
    </row>
    <row r="29" ht="22" customHeight="1">
      <c r="B29" s="32" t="n">
        <v>26</v>
      </c>
      <c r="C29" s="30" t="n"/>
      <c r="D29" s="30" t="n"/>
      <c r="E29" s="15" t="n">
        <v>0</v>
      </c>
      <c r="F29" s="15" t="n">
        <v>0</v>
      </c>
      <c r="G29" s="20">
        <f>IF(E29=0,"",E29*F29)</f>
        <v/>
      </c>
      <c r="H29" s="30" t="n"/>
      <c r="I29" s="30" t="n"/>
    </row>
    <row r="30" ht="22" customHeight="1">
      <c r="B30" s="29" t="n">
        <v>27</v>
      </c>
      <c r="C30" s="30" t="n"/>
      <c r="D30" s="30" t="n"/>
      <c r="E30" s="15" t="n">
        <v>0</v>
      </c>
      <c r="F30" s="15" t="n">
        <v>0</v>
      </c>
      <c r="G30" s="16">
        <f>IF(E30=0,"",E30*F30)</f>
        <v/>
      </c>
      <c r="H30" s="30" t="n"/>
      <c r="I30" s="30" t="n"/>
    </row>
    <row r="31" ht="22" customHeight="1">
      <c r="B31" s="32" t="n">
        <v>28</v>
      </c>
      <c r="C31" s="30" t="n"/>
      <c r="D31" s="30" t="n"/>
      <c r="E31" s="15" t="n">
        <v>0</v>
      </c>
      <c r="F31" s="15" t="n">
        <v>0</v>
      </c>
      <c r="G31" s="20">
        <f>IF(E31=0,"",E31*F31)</f>
        <v/>
      </c>
      <c r="H31" s="30" t="n"/>
      <c r="I31" s="30" t="n"/>
    </row>
    <row r="32">
      <c r="C32" s="27">
        <f>SUM(E4:E31)</f>
        <v/>
      </c>
    </row>
    <row r="33" ht="28" customHeight="1">
      <c r="B33" s="35" t="inlineStr"/>
      <c r="C33" s="22" t="inlineStr">
        <is>
          <t>DAILY TOTAL</t>
        </is>
      </c>
      <c r="G33" s="33">
        <f>SUM(G4:G31)</f>
        <v/>
      </c>
    </row>
  </sheetData>
  <mergeCells count="2">
    <mergeCell ref="B1:H1"/>
    <mergeCell ref="C33:F33"/>
  </mergeCells>
  <dataValidations count="2">
    <dataValidation sqref="D4 D5 D6 D7 D8 D9 D10 D11 D12 D13 D14 D15 D16 D17 D18 D19 D20 D21 D22 D23 D24 D25 D26 D27 D28 D29 D30 D31" showDropDown="0" showInputMessage="0" showErrorMessage="0" allowBlank="1" type="list">
      <formula1>"Food,Beverage,Dessert,Takeaway,Delivery"</formula1>
    </dataValidation>
    <dataValidation sqref="H4 H5 H6 H7 H8 H9 H10 H11 H12 H13 H14 H15 H16 H17 H18 H19 H20 H21 H22 H23 H24 H25 H26 H27 H28 H29 H30 H31" showDropDown="0" showInputMessage="0" showErrorMessage="0" allowBlank="1" type="list">
      <formula1>"Cash,Card,Online,Other"</formula1>
    </dataValidation>
  </dataValidations>
  <pageMargins left="0.75" right="0.75" top="1" bottom="1" header="0.5" footer="0.5"/>
</worksheet>
</file>

<file path=xl/worksheets/sheet4.xml><?xml version="1.0" encoding="utf-8"?>
<worksheet xmlns="http://schemas.openxmlformats.org/spreadsheetml/2006/main">
  <sheetPr>
    <tabColor rgb="00FF6B35"/>
    <outlinePr summaryBelow="1" summaryRight="1"/>
    <pageSetUpPr/>
  </sheetPr>
  <dimension ref="B1:K13"/>
  <sheetViews>
    <sheetView showGridLines="0" workbookViewId="0">
      <selection activeCell="A1" sqref="A1"/>
    </sheetView>
  </sheetViews>
  <sheetFormatPr baseColWidth="8" defaultRowHeight="15"/>
  <cols>
    <col width="2" customWidth="1" min="1" max="1"/>
    <col width="20" customWidth="1" min="2" max="2"/>
    <col width="12"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5" customWidth="1" min="11" max="11"/>
    <col width="2" customWidth="1" min="12" max="12"/>
  </cols>
  <sheetData>
    <row r="1" ht="40" customHeight="1">
      <c r="B1" s="36" t="inlineStr">
        <is>
          <t>👥  STAFF WEEKLY SCHEDULE</t>
        </is>
      </c>
    </row>
    <row r="2">
      <c r="H2" s="27">
        <f>COUNTIF(C4:C13,"Working")</f>
        <v/>
      </c>
    </row>
    <row r="3">
      <c r="B3" s="13" t="inlineStr">
        <is>
          <t>Staff Name</t>
        </is>
      </c>
      <c r="C3" s="13" t="inlineStr">
        <is>
          <t>Role</t>
        </is>
      </c>
      <c r="D3" s="13" t="inlineStr">
        <is>
          <t>Mon</t>
        </is>
      </c>
      <c r="E3" s="13" t="inlineStr">
        <is>
          <t>Tue</t>
        </is>
      </c>
      <c r="F3" s="13" t="inlineStr">
        <is>
          <t>Wed</t>
        </is>
      </c>
      <c r="G3" s="13" t="inlineStr">
        <is>
          <t>Thu</t>
        </is>
      </c>
      <c r="H3" s="13" t="inlineStr">
        <is>
          <t>Fri</t>
        </is>
      </c>
      <c r="I3" s="13" t="inlineStr">
        <is>
          <t>Sat</t>
        </is>
      </c>
      <c r="J3" s="13" t="inlineStr">
        <is>
          <t>Sun</t>
        </is>
      </c>
      <c r="K3" s="13" t="inlineStr">
        <is>
          <t>Total Hours</t>
        </is>
      </c>
    </row>
    <row r="4" ht="24" customHeight="1">
      <c r="B4" s="28" t="inlineStr">
        <is>
          <t>Ahmed Ali</t>
        </is>
      </c>
      <c r="C4" s="29" t="inlineStr">
        <is>
          <t>Manager</t>
        </is>
      </c>
      <c r="D4" s="30" t="inlineStr">
        <is>
          <t>Working</t>
        </is>
      </c>
      <c r="E4" s="30" t="inlineStr">
        <is>
          <t>Working</t>
        </is>
      </c>
      <c r="F4" s="30" t="inlineStr">
        <is>
          <t>Working</t>
        </is>
      </c>
      <c r="G4" s="30" t="inlineStr">
        <is>
          <t>Working</t>
        </is>
      </c>
      <c r="H4" s="30" t="inlineStr">
        <is>
          <t>Working</t>
        </is>
      </c>
      <c r="I4" s="30" t="inlineStr">
        <is>
          <t>Off</t>
        </is>
      </c>
      <c r="J4" s="30" t="inlineStr">
        <is>
          <t>Off</t>
        </is>
      </c>
      <c r="K4" s="37">
        <f>COUNTIF(D4:J4,"Working")*8+COUNTIF(D4:J4,"Half Day")*4</f>
        <v/>
      </c>
    </row>
    <row r="5" ht="24" customHeight="1">
      <c r="B5" s="31" t="inlineStr">
        <is>
          <t>Sara Mohamed</t>
        </is>
      </c>
      <c r="C5" s="32" t="inlineStr">
        <is>
          <t>Cashier</t>
        </is>
      </c>
      <c r="D5" s="30" t="inlineStr">
        <is>
          <t>Working</t>
        </is>
      </c>
      <c r="E5" s="30" t="inlineStr">
        <is>
          <t>Working</t>
        </is>
      </c>
      <c r="F5" s="30" t="inlineStr">
        <is>
          <t>Working</t>
        </is>
      </c>
      <c r="G5" s="30" t="inlineStr">
        <is>
          <t>Working</t>
        </is>
      </c>
      <c r="H5" s="30" t="inlineStr">
        <is>
          <t>Working</t>
        </is>
      </c>
      <c r="I5" s="30" t="inlineStr">
        <is>
          <t>Off</t>
        </is>
      </c>
      <c r="J5" s="30" t="inlineStr">
        <is>
          <t>Off</t>
        </is>
      </c>
      <c r="K5" s="38">
        <f>COUNTIF(D5:J5,"Working")*8+COUNTIF(D5:J5,"Half Day")*4</f>
        <v/>
      </c>
    </row>
    <row r="6" ht="24" customHeight="1">
      <c r="B6" s="28" t="inlineStr">
        <is>
          <t>Omar Hassan</t>
        </is>
      </c>
      <c r="C6" s="29" t="inlineStr">
        <is>
          <t>Chef</t>
        </is>
      </c>
      <c r="D6" s="30" t="inlineStr">
        <is>
          <t>Working</t>
        </is>
      </c>
      <c r="E6" s="30" t="inlineStr">
        <is>
          <t>Working</t>
        </is>
      </c>
      <c r="F6" s="30" t="inlineStr">
        <is>
          <t>Working</t>
        </is>
      </c>
      <c r="G6" s="30" t="inlineStr">
        <is>
          <t>Working</t>
        </is>
      </c>
      <c r="H6" s="30" t="inlineStr">
        <is>
          <t>Working</t>
        </is>
      </c>
      <c r="I6" s="30" t="inlineStr">
        <is>
          <t>Off</t>
        </is>
      </c>
      <c r="J6" s="30" t="inlineStr">
        <is>
          <t>Off</t>
        </is>
      </c>
      <c r="K6" s="37">
        <f>COUNTIF(D6:J6,"Working")*8+COUNTIF(D6:J6,"Half Day")*4</f>
        <v/>
      </c>
    </row>
    <row r="7" ht="24" customHeight="1">
      <c r="B7" s="31" t="inlineStr">
        <is>
          <t>Layla Khalid</t>
        </is>
      </c>
      <c r="C7" s="32" t="inlineStr">
        <is>
          <t>Barista</t>
        </is>
      </c>
      <c r="D7" s="30" t="inlineStr">
        <is>
          <t>Working</t>
        </is>
      </c>
      <c r="E7" s="30" t="inlineStr">
        <is>
          <t>Working</t>
        </is>
      </c>
      <c r="F7" s="30" t="inlineStr">
        <is>
          <t>Working</t>
        </is>
      </c>
      <c r="G7" s="30" t="inlineStr">
        <is>
          <t>Working</t>
        </is>
      </c>
      <c r="H7" s="30" t="inlineStr">
        <is>
          <t>Working</t>
        </is>
      </c>
      <c r="I7" s="30" t="inlineStr">
        <is>
          <t>Off</t>
        </is>
      </c>
      <c r="J7" s="30" t="inlineStr">
        <is>
          <t>Off</t>
        </is>
      </c>
      <c r="K7" s="38">
        <f>COUNTIF(D7:J7,"Working")*8+COUNTIF(D7:J7,"Half Day")*4</f>
        <v/>
      </c>
    </row>
    <row r="8" ht="24" customHeight="1">
      <c r="B8" s="28" t="inlineStr">
        <is>
          <t>Yusuf Salem</t>
        </is>
      </c>
      <c r="C8" s="29" t="inlineStr">
        <is>
          <t>Waiter</t>
        </is>
      </c>
      <c r="D8" s="30" t="inlineStr">
        <is>
          <t>Working</t>
        </is>
      </c>
      <c r="E8" s="30" t="inlineStr">
        <is>
          <t>Working</t>
        </is>
      </c>
      <c r="F8" s="30" t="inlineStr">
        <is>
          <t>Working</t>
        </is>
      </c>
      <c r="G8" s="30" t="inlineStr">
        <is>
          <t>Working</t>
        </is>
      </c>
      <c r="H8" s="30" t="inlineStr">
        <is>
          <t>Working</t>
        </is>
      </c>
      <c r="I8" s="30" t="inlineStr">
        <is>
          <t>Off</t>
        </is>
      </c>
      <c r="J8" s="30" t="inlineStr">
        <is>
          <t>Off</t>
        </is>
      </c>
      <c r="K8" s="37">
        <f>COUNTIF(D8:J8,"Working")*8+COUNTIF(D8:J8,"Half Day")*4</f>
        <v/>
      </c>
    </row>
    <row r="9" ht="24" customHeight="1">
      <c r="B9" s="31" t="inlineStr">
        <is>
          <t>Nour Ibrahim</t>
        </is>
      </c>
      <c r="C9" s="32" t="inlineStr">
        <is>
          <t>Waiter</t>
        </is>
      </c>
      <c r="D9" s="30" t="inlineStr">
        <is>
          <t>Working</t>
        </is>
      </c>
      <c r="E9" s="30" t="inlineStr">
        <is>
          <t>Working</t>
        </is>
      </c>
      <c r="F9" s="30" t="inlineStr">
        <is>
          <t>Working</t>
        </is>
      </c>
      <c r="G9" s="30" t="inlineStr">
        <is>
          <t>Working</t>
        </is>
      </c>
      <c r="H9" s="30" t="inlineStr">
        <is>
          <t>Working</t>
        </is>
      </c>
      <c r="I9" s="30" t="inlineStr">
        <is>
          <t>Off</t>
        </is>
      </c>
      <c r="J9" s="30" t="inlineStr">
        <is>
          <t>Off</t>
        </is>
      </c>
      <c r="K9" s="38">
        <f>COUNTIF(D9:J9,"Working")*8+COUNTIF(D9:J9,"Half Day")*4</f>
        <v/>
      </c>
    </row>
    <row r="10" ht="24" customHeight="1">
      <c r="B10" s="28" t="inlineStr">
        <is>
          <t>Kareem Tarek</t>
        </is>
      </c>
      <c r="C10" s="29" t="inlineStr">
        <is>
          <t>Delivery</t>
        </is>
      </c>
      <c r="D10" s="30" t="inlineStr">
        <is>
          <t>Working</t>
        </is>
      </c>
      <c r="E10" s="30" t="inlineStr">
        <is>
          <t>Working</t>
        </is>
      </c>
      <c r="F10" s="30" t="inlineStr">
        <is>
          <t>Working</t>
        </is>
      </c>
      <c r="G10" s="30" t="inlineStr">
        <is>
          <t>Working</t>
        </is>
      </c>
      <c r="H10" s="30" t="inlineStr">
        <is>
          <t>Working</t>
        </is>
      </c>
      <c r="I10" s="30" t="inlineStr">
        <is>
          <t>Off</t>
        </is>
      </c>
      <c r="J10" s="30" t="inlineStr">
        <is>
          <t>Off</t>
        </is>
      </c>
      <c r="K10" s="37">
        <f>COUNTIF(D10:J10,"Working")*8+COUNTIF(D10:J10,"Half Day")*4</f>
        <v/>
      </c>
    </row>
    <row r="11" ht="24" customHeight="1">
      <c r="B11" s="31" t="inlineStr">
        <is>
          <t>Hana Adel</t>
        </is>
      </c>
      <c r="C11" s="32" t="inlineStr">
        <is>
          <t>Cashier</t>
        </is>
      </c>
      <c r="D11" s="30" t="inlineStr">
        <is>
          <t>Working</t>
        </is>
      </c>
      <c r="E11" s="30" t="inlineStr">
        <is>
          <t>Working</t>
        </is>
      </c>
      <c r="F11" s="30" t="inlineStr">
        <is>
          <t>Working</t>
        </is>
      </c>
      <c r="G11" s="30" t="inlineStr">
        <is>
          <t>Working</t>
        </is>
      </c>
      <c r="H11" s="30" t="inlineStr">
        <is>
          <t>Working</t>
        </is>
      </c>
      <c r="I11" s="30" t="inlineStr">
        <is>
          <t>Off</t>
        </is>
      </c>
      <c r="J11" s="30" t="inlineStr">
        <is>
          <t>Off</t>
        </is>
      </c>
      <c r="K11" s="38">
        <f>COUNTIF(D11:J11,"Working")*8+COUNTIF(D11:J11,"Half Day")*4</f>
        <v/>
      </c>
    </row>
    <row r="13" ht="28" customHeight="1">
      <c r="B13" s="22" t="inlineStr">
        <is>
          <t>WEEKLY TOTALS</t>
        </is>
      </c>
      <c r="K13" s="39">
        <f>SUM(K4:K12)</f>
        <v/>
      </c>
    </row>
  </sheetData>
  <mergeCells count="2">
    <mergeCell ref="B13:J13"/>
    <mergeCell ref="B1:K1"/>
  </mergeCells>
  <dataValidations count="1">
    <dataValidation sqref="D4 D5 D6 D7 D8 D9 D10 D11 E4 E5 E6 E7 E8 E9 E10 E11 F4 F5 F6 F7 F8 F9 F10 F11 G4 G5 G6 G7 G8 G9 G10 G11 H4 H5 H6 H7 H8 H9 H10 H11 I4 I5 I6 I7 I8 I9 I10 I11 J4 J5 J6 J7 J8 J9 J10 J11" showDropDown="0" showInputMessage="0" showErrorMessage="0" allowBlank="1" type="list">
      <formula1>"Working,Off,Half Day,Training"</formula1>
    </dataValidation>
  </dataValidations>
  <pageMargins left="0.75" right="0.75" top="1" bottom="1" header="0.5" footer="0.5"/>
</worksheet>
</file>

<file path=xl/worksheets/sheet5.xml><?xml version="1.0" encoding="utf-8"?>
<worksheet xmlns="http://schemas.openxmlformats.org/spreadsheetml/2006/main">
  <sheetPr>
    <tabColor rgb="00E94560"/>
    <outlinePr summaryBelow="1" summaryRight="1"/>
    <pageSetUpPr/>
  </sheetPr>
  <dimension ref="B1:E24"/>
  <sheetViews>
    <sheetView showGridLines="0" workbookViewId="0">
      <selection activeCell="A1" sqref="A1"/>
    </sheetView>
  </sheetViews>
  <sheetFormatPr baseColWidth="8" defaultRowHeight="15"/>
  <cols>
    <col width="2" customWidth="1" min="1" max="1"/>
    <col width="25" customWidth="1" min="2" max="2"/>
    <col width="18" customWidth="1" min="3" max="3"/>
    <col width="18" customWidth="1" min="4" max="4"/>
    <col width="18" customWidth="1" min="5" max="5"/>
    <col width="2" customWidth="1" min="6" max="6"/>
  </cols>
  <sheetData>
    <row r="1" ht="40" customHeight="1">
      <c r="B1" s="40" t="inlineStr">
        <is>
          <t>📊  AUTOMATED REPORTS</t>
        </is>
      </c>
    </row>
    <row r="3" ht="28" customHeight="1">
      <c r="B3" s="41" t="inlineStr">
        <is>
          <t>💰  PROFIT &amp; LOSS SUMMARY (WEEKLY)</t>
        </is>
      </c>
    </row>
    <row r="4" ht="26" customHeight="1">
      <c r="B4" s="28" t="inlineStr">
        <is>
          <t>Total Revenue</t>
        </is>
      </c>
      <c r="C4" s="42">
        <f>'📊 Dashboard'!C19</f>
        <v/>
      </c>
      <c r="D4" s="29" t="n"/>
      <c r="E4" s="29" t="n"/>
    </row>
    <row r="5" ht="26" customHeight="1">
      <c r="B5" s="31" t="inlineStr">
        <is>
          <t>Total Expenses</t>
        </is>
      </c>
      <c r="C5" s="43">
        <f>'📊 Dashboard'!D19</f>
        <v/>
      </c>
      <c r="D5" s="32" t="n"/>
      <c r="E5" s="32" t="n"/>
    </row>
    <row r="6" ht="26" customHeight="1">
      <c r="B6" s="28" t="inlineStr">
        <is>
          <t>Gross Profit</t>
        </is>
      </c>
      <c r="C6" s="44">
        <f>C4-C5</f>
        <v/>
      </c>
      <c r="D6" s="29" t="n"/>
      <c r="E6" s="29" t="n"/>
    </row>
    <row r="7" ht="26" customHeight="1">
      <c r="B7" s="31" t="inlineStr">
        <is>
          <t>Inventory Value</t>
        </is>
      </c>
      <c r="C7" s="45">
        <f>'📦 Inventory'!I54</f>
        <v/>
      </c>
      <c r="D7" s="32" t="n"/>
      <c r="E7" s="32" t="n"/>
    </row>
    <row r="8" ht="26" customHeight="1">
      <c r="B8" s="28" t="inlineStr">
        <is>
          <t>Net Profit</t>
        </is>
      </c>
      <c r="C8" s="42">
        <f>C6-C7</f>
        <v/>
      </c>
      <c r="D8" s="29" t="n"/>
      <c r="E8" s="29" t="n"/>
    </row>
    <row r="9" ht="26" customHeight="1">
      <c r="B9" s="31" t="inlineStr">
        <is>
          <t>Profit Margin %</t>
        </is>
      </c>
      <c r="C9" s="46">
        <f>IF(C4=0,0,C8/C4*100)</f>
        <v/>
      </c>
      <c r="D9" s="32" t="n"/>
      <c r="E9" s="32" t="n"/>
    </row>
    <row r="11" ht="28" customHeight="1">
      <c r="B11" s="41" t="inlineStr">
        <is>
          <t>📈  PERFORMANCE INDICATORS</t>
        </is>
      </c>
    </row>
    <row r="12" ht="24" customHeight="1">
      <c r="B12" s="28" t="inlineStr">
        <is>
          <t>Best Day Sales</t>
        </is>
      </c>
      <c r="C12" s="47">
        <f>MAX('📊 Dashboard'!C12:C18)</f>
        <v/>
      </c>
      <c r="D12" s="29" t="n"/>
      <c r="E12" s="29" t="n"/>
    </row>
    <row r="13" ht="24" customHeight="1">
      <c r="B13" s="31" t="inlineStr">
        <is>
          <t>Worst Day Sales</t>
        </is>
      </c>
      <c r="C13" s="48">
        <f>MIN(IF('📊 Dashboard'!C12:C18&gt;0,'📊 Dashboard'!C12:C18))</f>
        <v/>
      </c>
      <c r="D13" s="32" t="n"/>
      <c r="E13" s="32" t="n"/>
    </row>
    <row r="14" ht="24" customHeight="1">
      <c r="B14" s="28" t="inlineStr">
        <is>
          <t>Avg Daily Sales</t>
        </is>
      </c>
      <c r="C14" s="47">
        <f>AVERAGE('📊 Dashboard'!C12:C18)</f>
        <v/>
      </c>
      <c r="D14" s="29" t="n"/>
      <c r="E14" s="29" t="n"/>
    </row>
    <row r="15" ht="24" customHeight="1">
      <c r="B15" s="31" t="inlineStr">
        <is>
          <t>Total Orders</t>
        </is>
      </c>
      <c r="C15" s="48">
        <f>SUM('📊 Dashboard'!F12:F18)</f>
        <v/>
      </c>
      <c r="D15" s="32" t="n"/>
      <c r="E15" s="32" t="n"/>
    </row>
    <row r="16" ht="24" customHeight="1">
      <c r="B16" s="28" t="inlineStr">
        <is>
          <t>Avg Order Value</t>
        </is>
      </c>
      <c r="C16" s="47">
        <f>IFERROR(C14/C15,0)</f>
        <v/>
      </c>
      <c r="D16" s="29" t="n"/>
      <c r="E16" s="29" t="n"/>
    </row>
    <row r="17" ht="24" customHeight="1">
      <c r="B17" s="31" t="inlineStr">
        <is>
          <t>Low Stock Items</t>
        </is>
      </c>
      <c r="C17" s="48">
        <f>'📦 Inventory'!H2</f>
        <v/>
      </c>
      <c r="D17" s="32" t="n"/>
      <c r="E17" s="32" t="n"/>
    </row>
    <row r="19" ht="20" customHeight="1">
      <c r="B19" s="49" t="inlineStr">
        <is>
          <t>💡  QUICK TIPS</t>
        </is>
      </c>
    </row>
    <row r="20" ht="22" customHeight="1">
      <c r="B20" s="50" t="inlineStr">
        <is>
          <t>✅ Update Daily Sales tab every day for accurate reports</t>
        </is>
      </c>
    </row>
    <row r="21" ht="22" customHeight="1">
      <c r="B21" s="51" t="inlineStr">
        <is>
          <t>✅ Check Inventory tab weekly to avoid running out of stock</t>
        </is>
      </c>
    </row>
    <row r="22" ht="22" customHeight="1">
      <c r="B22" s="50" t="inlineStr">
        <is>
          <t>✅ Review this Reports tab every Monday for weekly insights</t>
        </is>
      </c>
    </row>
    <row r="23" ht="22" customHeight="1">
      <c r="B23" s="51" t="inlineStr">
        <is>
          <t>✅ Yellow cells = input | Green cells = auto-calculated</t>
        </is>
      </c>
    </row>
    <row r="24" ht="22" customHeight="1">
      <c r="B24" s="50" t="inlineStr">
        <is>
          <t>✅ Share this file with your team via Google Sheets</t>
        </is>
      </c>
    </row>
  </sheetData>
  <mergeCells count="9">
    <mergeCell ref="B23:E23"/>
    <mergeCell ref="B1:E1"/>
    <mergeCell ref="B21:E21"/>
    <mergeCell ref="B11:E11"/>
    <mergeCell ref="B3:E3"/>
    <mergeCell ref="B19:E19"/>
    <mergeCell ref="B20:E20"/>
    <mergeCell ref="B24:E24"/>
    <mergeCell ref="B22:E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2026-06-15T13:17:16Z</dcterms:created>
  <dcterms:modified xsi:type="dcterms:W3CDTF">2026-06-15T13:17:16Z</dcterms:modified>
</cp:coreProperties>
</file>