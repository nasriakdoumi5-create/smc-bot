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Clients" sheetId="2" state="visible" r:id="rId2"/>
    <sheet name="📋 Projects" sheetId="3" state="visible" r:id="rId3"/>
    <sheet name="🧾 Invoices" sheetId="4" state="visible" r:id="rId4"/>
    <sheet name="💰 Income &amp; Expenses" sheetId="5" state="visible" r:id="rId5"/>
    <sheet name="⏱️ Time Tracker" sheetId="6" state="visible" r:id="rId6"/>
    <sheet name="📊 Reports" sheetId="7" state="visible" r:id="rId7"/>
  </sheets>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0.0"/>
    <numFmt numFmtId="167" formatCode="0.0 &quot;hrs&quot;"/>
    <numFmt numFmtId="168" formatCode="0.00&quot;%&quot;"/>
  </numFmts>
  <fonts count="32">
    <font>
      <name val="Calibri"/>
      <family val="2"/>
      <color theme="1"/>
      <sz val="11"/>
      <scheme val="minor"/>
    </font>
    <font>
      <name val="Calibri"/>
      <b val="1"/>
      <color rgb="00FFD166"/>
      <sz val="24"/>
    </font>
    <font>
      <name val="Calibri"/>
      <i val="1"/>
      <color rgb="00ADB5BD"/>
      <sz val="11"/>
    </font>
    <font>
      <name val="Calibri"/>
      <b val="1"/>
      <color rgb="00FFFFFF"/>
      <sz val="9"/>
    </font>
    <font>
      <name val="Calibri"/>
      <b val="1"/>
      <color rgb="00FFFFFF"/>
      <sz val="28"/>
    </font>
    <font>
      <name val="Calibri"/>
      <b val="1"/>
      <color rgb="00FFFFFF"/>
      <sz val="16"/>
    </font>
    <font>
      <name val="Calibri"/>
      <b val="1"/>
      <color rgb="00FFFFFF"/>
      <sz val="11"/>
    </font>
    <font>
      <name val="Calibri"/>
      <b val="1"/>
      <color rgb="00222222"/>
      <sz val="11"/>
    </font>
    <font>
      <name val="Calibri"/>
      <color rgb="00222222"/>
      <sz val="11"/>
    </font>
    <font>
      <name val="Calibri"/>
      <b val="1"/>
      <color rgb="0006D6A0"/>
      <sz val="11"/>
    </font>
    <font>
      <name val="Calibri"/>
      <b val="1"/>
      <color rgb="00FFD166"/>
      <sz val="12"/>
    </font>
    <font>
      <name val="Calibri"/>
      <color rgb="00000000"/>
      <sz val="11"/>
    </font>
    <font>
      <name val="Calibri"/>
      <i val="1"/>
      <color rgb="005D4037"/>
      <sz val="10"/>
    </font>
    <font>
      <name val="Calibri"/>
      <b val="1"/>
      <color rgb="00FFFFFF"/>
      <sz val="20"/>
    </font>
    <font>
      <name val="Calibri"/>
      <b val="1"/>
      <color rgb="004361EE"/>
      <sz val="11"/>
    </font>
    <font>
      <name val="Calibri"/>
      <b val="1"/>
      <color rgb="00004085"/>
      <sz val="11"/>
    </font>
    <font>
      <name val="Calibri"/>
      <b val="1"/>
      <color rgb="00155724"/>
      <sz val="11"/>
    </font>
    <font>
      <name val="Calibri"/>
      <b val="1"/>
      <color rgb="00FFD166"/>
      <sz val="14"/>
    </font>
    <font>
      <name val="Calibri"/>
      <b val="1"/>
      <color rgb="00000000"/>
      <sz val="11"/>
    </font>
    <font>
      <name val="Calibri"/>
      <b val="1"/>
      <color rgb="00856404"/>
      <sz val="11"/>
    </font>
    <font>
      <name val="Calibri"/>
      <b val="1"/>
      <color rgb="00721C24"/>
      <sz val="11"/>
    </font>
    <font>
      <name val="Calibri"/>
      <b val="1"/>
      <color rgb="00FFD166"/>
      <sz val="13"/>
    </font>
    <font>
      <name val="Calibri"/>
      <color rgb="00FFFFFF"/>
      <sz val="1"/>
    </font>
    <font>
      <name val="Calibri"/>
      <b val="1"/>
      <color rgb="0006D6A0"/>
      <sz val="13"/>
    </font>
    <font>
      <name val="Calibri"/>
      <b val="1"/>
      <color rgb="00EF233C"/>
      <sz val="13"/>
    </font>
    <font>
      <name val="Calibri"/>
      <b val="1"/>
      <color rgb="004361EE"/>
      <sz val="13"/>
    </font>
    <font>
      <name val="Calibri"/>
      <b val="1"/>
      <color rgb="00FB8500"/>
      <sz val="13"/>
    </font>
    <font>
      <name val="Calibri"/>
      <b val="1"/>
      <color rgb="00FFFFFF"/>
      <sz val="14"/>
    </font>
    <font>
      <name val="Calibri"/>
      <b val="1"/>
      <color rgb="0006D6A0"/>
      <sz val="12"/>
    </font>
    <font>
      <name val="Calibri"/>
      <b val="1"/>
      <color rgb="004361EE"/>
      <sz val="12"/>
    </font>
    <font>
      <name val="Calibri"/>
      <b val="1"/>
      <color rgb="00FB8500"/>
      <sz val="12"/>
    </font>
    <font>
      <name val="Calibri"/>
      <b val="1"/>
      <color rgb="007209B7"/>
      <sz val="12"/>
    </font>
  </fonts>
  <fills count="18">
    <fill>
      <patternFill/>
    </fill>
    <fill>
      <patternFill patternType="gray125"/>
    </fill>
    <fill>
      <patternFill patternType="solid">
        <fgColor rgb="000D1B2A"/>
      </patternFill>
    </fill>
    <fill>
      <patternFill patternType="solid">
        <fgColor rgb="001B2A4A"/>
      </patternFill>
    </fill>
    <fill>
      <patternFill patternType="solid">
        <fgColor rgb="0006D6A0"/>
      </patternFill>
    </fill>
    <fill>
      <patternFill patternType="solid">
        <fgColor rgb="004361EE"/>
      </patternFill>
    </fill>
    <fill>
      <patternFill patternType="solid">
        <fgColor rgb="00EF233C"/>
      </patternFill>
    </fill>
    <fill>
      <patternFill patternType="solid">
        <fgColor rgb="00FFFFFF"/>
      </patternFill>
    </fill>
    <fill>
      <patternFill patternType="solid">
        <fgColor rgb="00F8F9FA"/>
      </patternFill>
    </fill>
    <fill>
      <patternFill patternType="solid">
        <fgColor rgb="007209B7"/>
      </patternFill>
    </fill>
    <fill>
      <patternFill patternType="solid">
        <fgColor rgb="00FFD166"/>
      </patternFill>
    </fill>
    <fill>
      <patternFill patternType="solid">
        <fgColor rgb="00FFF9C4"/>
      </patternFill>
    </fill>
    <fill>
      <patternFill patternType="solid">
        <fgColor rgb="00CCE5FF"/>
      </patternFill>
    </fill>
    <fill>
      <patternFill patternType="solid">
        <fgColor rgb="00D4EDDA"/>
      </patternFill>
    </fill>
    <fill>
      <patternFill patternType="solid">
        <fgColor rgb="00FB8500"/>
      </patternFill>
    </fill>
    <fill>
      <patternFill patternType="solid">
        <fgColor rgb="00FFF3CD"/>
      </patternFill>
    </fill>
    <fill>
      <patternFill patternType="solid">
        <fgColor rgb="00F8D7DA"/>
      </patternFill>
    </fill>
    <fill>
      <patternFill patternType="solid">
        <fgColor rgb="0006D688"/>
      </patternFill>
    </fill>
  </fills>
  <borders count="3">
    <border>
      <left/>
      <right/>
      <top/>
      <bottom/>
      <diagonal/>
    </border>
    <border>
      <left style="thin">
        <color rgb="00DDDDDD"/>
      </left>
      <right style="thin">
        <color rgb="00DDDDDD"/>
      </right>
      <top style="thin">
        <color rgb="00DDDDDD"/>
      </top>
      <bottom style="thin">
        <color rgb="00DDDDDD"/>
      </bottom>
    </border>
    <border>
      <left style="medium">
        <color rgb="00AAAAAA"/>
      </left>
      <right style="medium">
        <color rgb="00AAAAAA"/>
      </right>
      <top style="medium">
        <color rgb="00AAAAAA"/>
      </top>
      <bottom style="medium">
        <color rgb="00AAAAAA"/>
      </bottom>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164"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0" fillId="4" borderId="0" pivotButton="0" quotePrefix="0" xfId="0"/>
    <xf numFmtId="0" fontId="0" fillId="5" borderId="0" pivotButton="0" quotePrefix="0" xfId="0"/>
    <xf numFmtId="0" fontId="0" fillId="6" borderId="0" pivotButton="0" quotePrefix="0" xfId="0"/>
    <xf numFmtId="0" fontId="5" fillId="3" borderId="0" applyAlignment="1" pivotButton="0" quotePrefix="0" xfId="0">
      <alignment horizontal="center" vertical="center"/>
    </xf>
    <xf numFmtId="0" fontId="6" fillId="2" borderId="1" applyAlignment="1" pivotButton="0" quotePrefix="0" xfId="0">
      <alignment horizontal="center" vertical="center"/>
    </xf>
    <xf numFmtId="0" fontId="7" fillId="7" borderId="1" applyAlignment="1" pivotButton="0" quotePrefix="0" xfId="0">
      <alignment horizontal="center" vertical="center"/>
    </xf>
    <xf numFmtId="164" fontId="8" fillId="7" borderId="1" applyAlignment="1" pivotButton="0" quotePrefix="0" xfId="0">
      <alignment horizontal="center" vertical="center"/>
    </xf>
    <xf numFmtId="164" fontId="9" fillId="7" borderId="1" applyAlignment="1" pivotButton="0" quotePrefix="0" xfId="0">
      <alignment horizontal="center" vertical="center"/>
    </xf>
    <xf numFmtId="0" fontId="8" fillId="7" borderId="1" applyAlignment="1" pivotButton="0" quotePrefix="0" xfId="0">
      <alignment horizontal="center" vertical="center"/>
    </xf>
    <xf numFmtId="0" fontId="7" fillId="8" borderId="1" applyAlignment="1" pivotButton="0" quotePrefix="0" xfId="0">
      <alignment horizontal="center" vertical="center"/>
    </xf>
    <xf numFmtId="164" fontId="8" fillId="8" borderId="1" applyAlignment="1" pivotButton="0" quotePrefix="0" xfId="0">
      <alignment horizontal="center" vertical="center"/>
    </xf>
    <xf numFmtId="164" fontId="9" fillId="8" borderId="1" applyAlignment="1" pivotButton="0" quotePrefix="0" xfId="0">
      <alignment horizontal="center" vertical="center"/>
    </xf>
    <xf numFmtId="0" fontId="8" fillId="8" borderId="1" applyAlignment="1" pivotButton="0" quotePrefix="0" xfId="0">
      <alignment horizontal="center" vertical="center"/>
    </xf>
    <xf numFmtId="164" fontId="10" fillId="2" borderId="1" applyAlignment="1" pivotButton="0" quotePrefix="0" xfId="0">
      <alignment horizontal="center" vertical="center"/>
    </xf>
    <xf numFmtId="0" fontId="10" fillId="2" borderId="1" applyAlignment="1" pivotButton="0" quotePrefix="0" xfId="0">
      <alignment horizontal="center" vertical="center"/>
    </xf>
    <xf numFmtId="0" fontId="5" fillId="9" borderId="0" applyAlignment="1" pivotButton="0" quotePrefix="0" xfId="0">
      <alignment horizontal="center" vertical="center"/>
    </xf>
    <xf numFmtId="0" fontId="6" fillId="3" borderId="1" applyAlignment="1" pivotButton="0" quotePrefix="0" xfId="0">
      <alignment horizontal="center" vertical="center"/>
    </xf>
    <xf numFmtId="0" fontId="11" fillId="10" borderId="2" applyAlignment="1" pivotButton="0" quotePrefix="0" xfId="0">
      <alignment horizontal="center" vertical="center"/>
    </xf>
    <xf numFmtId="0" fontId="12" fillId="11" borderId="0" applyAlignment="1" pivotButton="0" quotePrefix="0" xfId="0">
      <alignment horizontal="left" vertical="center"/>
    </xf>
    <xf numFmtId="0" fontId="13" fillId="9" borderId="0" applyAlignment="1" pivotButton="0" quotePrefix="0" xfId="0">
      <alignment horizontal="center" vertical="center"/>
    </xf>
    <xf numFmtId="0" fontId="7" fillId="8" borderId="1" applyAlignment="1" pivotButton="0" quotePrefix="0" xfId="0">
      <alignment horizontal="left" vertical="center"/>
    </xf>
    <xf numFmtId="0" fontId="8" fillId="8" borderId="1" applyAlignment="1" pivotButton="0" quotePrefix="0" xfId="0">
      <alignment horizontal="left" vertical="center"/>
    </xf>
    <xf numFmtId="0" fontId="14" fillId="8" borderId="1" applyAlignment="1" pivotButton="0" quotePrefix="0" xfId="0">
      <alignment horizontal="center" vertical="center"/>
    </xf>
    <xf numFmtId="0" fontId="7" fillId="7" borderId="1" applyAlignment="1" pivotButton="0" quotePrefix="0" xfId="0">
      <alignment horizontal="left" vertical="center"/>
    </xf>
    <xf numFmtId="0" fontId="8" fillId="7" borderId="1" applyAlignment="1" pivotButton="0" quotePrefix="0" xfId="0">
      <alignment horizontal="left" vertical="center"/>
    </xf>
    <xf numFmtId="0" fontId="14" fillId="7" borderId="1" applyAlignment="1" pivotButton="0" quotePrefix="0" xfId="0">
      <alignment horizontal="center" vertical="center"/>
    </xf>
    <xf numFmtId="0" fontId="13" fillId="5" borderId="0" applyAlignment="1" pivotButton="0" quotePrefix="0" xfId="0">
      <alignment horizontal="center" vertical="center"/>
    </xf>
    <xf numFmtId="0" fontId="15" fillId="12" borderId="2" applyAlignment="1" pivotButton="0" quotePrefix="0" xfId="0">
      <alignment horizontal="center" vertical="center"/>
    </xf>
    <xf numFmtId="164" fontId="11" fillId="10" borderId="2" applyAlignment="1" pivotButton="0" quotePrefix="0" xfId="0">
      <alignment horizontal="center" vertical="center"/>
    </xf>
    <xf numFmtId="9" fontId="11" fillId="10" borderId="2" applyAlignment="1" pivotButton="0" quotePrefix="0" xfId="0">
      <alignment horizontal="center" vertical="center"/>
    </xf>
    <xf numFmtId="0" fontId="8" fillId="8" borderId="1" applyAlignment="1" pivotButton="0" quotePrefix="0" xfId="0">
      <alignment horizontal="left" vertical="center" wrapText="1"/>
    </xf>
    <xf numFmtId="0" fontId="8" fillId="7" borderId="1" applyAlignment="1" pivotButton="0" quotePrefix="0" xfId="0">
      <alignment horizontal="left" vertical="center" wrapText="1"/>
    </xf>
    <xf numFmtId="0" fontId="16" fillId="13" borderId="2" applyAlignment="1" pivotButton="0" quotePrefix="0" xfId="0">
      <alignment horizontal="center" vertical="center"/>
    </xf>
    <xf numFmtId="0" fontId="8" fillId="2" borderId="1" applyAlignment="1" pivotButton="0" quotePrefix="0" xfId="0">
      <alignment horizontal="center" vertical="center"/>
    </xf>
    <xf numFmtId="164" fontId="17" fillId="2" borderId="0" applyAlignment="1" pivotButton="0" quotePrefix="0" xfId="0">
      <alignment horizontal="center" vertical="center"/>
    </xf>
    <xf numFmtId="9" fontId="9" fillId="2" borderId="0" applyAlignment="1" pivotButton="0" quotePrefix="0" xfId="0">
      <alignment horizontal="center" vertical="center"/>
    </xf>
    <xf numFmtId="0" fontId="13" fillId="14" borderId="0" applyAlignment="1" pivotButton="0" quotePrefix="0" xfId="0">
      <alignment horizontal="center" vertical="center"/>
    </xf>
    <xf numFmtId="165" fontId="11" fillId="10" borderId="2" applyAlignment="1" pivotButton="0" quotePrefix="0" xfId="0">
      <alignment horizontal="center" vertical="center"/>
    </xf>
    <xf numFmtId="0" fontId="18" fillId="8" borderId="1" applyAlignment="1" pivotButton="0" quotePrefix="0" xfId="0">
      <alignment horizontal="center" vertical="center"/>
    </xf>
    <xf numFmtId="0" fontId="19" fillId="15" borderId="2" applyAlignment="1" pivotButton="0" quotePrefix="0" xfId="0">
      <alignment horizontal="center" vertical="center"/>
    </xf>
    <xf numFmtId="0" fontId="18" fillId="7" borderId="1" applyAlignment="1" pivotButton="0" quotePrefix="0" xfId="0">
      <alignment horizontal="center" vertical="center"/>
    </xf>
    <xf numFmtId="0" fontId="20" fillId="16" borderId="2" applyAlignment="1" pivotButton="0" quotePrefix="0" xfId="0">
      <alignment horizontal="center" vertical="center"/>
    </xf>
    <xf numFmtId="165" fontId="21" fillId="2" borderId="0" applyAlignment="1" pivotButton="0" quotePrefix="0" xfId="0">
      <alignment horizontal="center" vertical="center"/>
    </xf>
    <xf numFmtId="0" fontId="13" fillId="17" borderId="0" applyAlignment="1" pivotButton="0" quotePrefix="0" xfId="0">
      <alignment horizontal="center" vertical="center"/>
    </xf>
    <xf numFmtId="0" fontId="22" fillId="0" borderId="0" pivotButton="0" quotePrefix="0" xfId="0"/>
    <xf numFmtId="165" fontId="23" fillId="2" borderId="0" applyAlignment="1" pivotButton="0" quotePrefix="0" xfId="0">
      <alignment horizontal="center" vertical="center"/>
    </xf>
    <xf numFmtId="165" fontId="24" fillId="2" borderId="0" applyAlignment="1" pivotButton="0" quotePrefix="0" xfId="0">
      <alignment horizontal="center" vertical="center"/>
    </xf>
    <xf numFmtId="165" fontId="25" fillId="2" borderId="0" applyAlignment="1" pivotButton="0" quotePrefix="0" xfId="0">
      <alignment horizontal="center" vertical="center"/>
    </xf>
    <xf numFmtId="165" fontId="26" fillId="2" borderId="0" applyAlignment="1" pivotButton="0" quotePrefix="0" xfId="0">
      <alignment horizontal="center" vertical="center"/>
    </xf>
    <xf numFmtId="0" fontId="13" fillId="3" borderId="0" applyAlignment="1" pivotButton="0" quotePrefix="0" xfId="0">
      <alignment horizontal="center" vertical="center"/>
    </xf>
    <xf numFmtId="166" fontId="14" fillId="8" borderId="1" applyAlignment="1" pivotButton="0" quotePrefix="0" xfId="0">
      <alignment horizontal="center" vertical="center"/>
    </xf>
    <xf numFmtId="165" fontId="9" fillId="8" borderId="1" applyAlignment="1" pivotButton="0" quotePrefix="0" xfId="0">
      <alignment horizontal="center" vertical="center"/>
    </xf>
    <xf numFmtId="166" fontId="14" fillId="7" borderId="1" applyAlignment="1" pivotButton="0" quotePrefix="0" xfId="0">
      <alignment horizontal="center" vertical="center"/>
    </xf>
    <xf numFmtId="165" fontId="9" fillId="7" borderId="1" applyAlignment="1" pivotButton="0" quotePrefix="0" xfId="0">
      <alignment horizontal="center" vertical="center"/>
    </xf>
    <xf numFmtId="165" fontId="0" fillId="0" borderId="0" pivotButton="0" quotePrefix="0" xfId="0"/>
    <xf numFmtId="167" fontId="21" fillId="2" borderId="0" applyAlignment="1" pivotButton="0" quotePrefix="0" xfId="0">
      <alignment horizontal="center" vertical="center"/>
    </xf>
    <xf numFmtId="0" fontId="13" fillId="6" borderId="0" applyAlignment="1" pivotButton="0" quotePrefix="0" xfId="0">
      <alignment horizontal="center" vertical="center"/>
    </xf>
    <xf numFmtId="0" fontId="27" fillId="4" borderId="0" applyAlignment="1" pivotButton="0" quotePrefix="0" xfId="0">
      <alignment horizontal="center" vertical="center"/>
    </xf>
    <xf numFmtId="165" fontId="28" fillId="8" borderId="1" applyAlignment="1" pivotButton="0" quotePrefix="0" xfId="0">
      <alignment horizontal="center" vertical="center"/>
    </xf>
    <xf numFmtId="0" fontId="28" fillId="7" borderId="1" applyAlignment="1" pivotButton="0" quotePrefix="0" xfId="0">
      <alignment horizontal="center" vertical="center"/>
    </xf>
    <xf numFmtId="165" fontId="28" fillId="7" borderId="1" applyAlignment="1" pivotButton="0" quotePrefix="0" xfId="0">
      <alignment horizontal="center" vertical="center"/>
    </xf>
    <xf numFmtId="0" fontId="28" fillId="8" borderId="1" applyAlignment="1" pivotButton="0" quotePrefix="0" xfId="0">
      <alignment horizontal="center" vertical="center"/>
    </xf>
    <xf numFmtId="0" fontId="27" fillId="5" borderId="0" applyAlignment="1" pivotButton="0" quotePrefix="0" xfId="0">
      <alignment horizontal="center" vertical="center"/>
    </xf>
    <xf numFmtId="0" fontId="29" fillId="8" borderId="1" applyAlignment="1" pivotButton="0" quotePrefix="0" xfId="0">
      <alignment horizontal="center" vertical="center"/>
    </xf>
    <xf numFmtId="0" fontId="29" fillId="7" borderId="1" applyAlignment="1" pivotButton="0" quotePrefix="0" xfId="0">
      <alignment horizontal="center" vertical="center"/>
    </xf>
    <xf numFmtId="165" fontId="29" fillId="7" borderId="1" applyAlignment="1" pivotButton="0" quotePrefix="0" xfId="0">
      <alignment horizontal="center" vertical="center"/>
    </xf>
    <xf numFmtId="165" fontId="29" fillId="8" borderId="1" applyAlignment="1" pivotButton="0" quotePrefix="0" xfId="0">
      <alignment horizontal="center" vertical="center"/>
    </xf>
    <xf numFmtId="168" fontId="29" fillId="7" borderId="1" applyAlignment="1" pivotButton="0" quotePrefix="0" xfId="0">
      <alignment horizontal="center" vertical="center"/>
    </xf>
    <xf numFmtId="0" fontId="27" fillId="14" borderId="0" applyAlignment="1" pivotButton="0" quotePrefix="0" xfId="0">
      <alignment horizontal="center" vertical="center"/>
    </xf>
    <xf numFmtId="165" fontId="30" fillId="8" borderId="1" applyAlignment="1" pivotButton="0" quotePrefix="0" xfId="0">
      <alignment horizontal="center" vertical="center"/>
    </xf>
    <xf numFmtId="165" fontId="30" fillId="7" borderId="1" applyAlignment="1" pivotButton="0" quotePrefix="0" xfId="0">
      <alignment horizontal="center" vertical="center"/>
    </xf>
    <xf numFmtId="168" fontId="30" fillId="8" borderId="1" applyAlignment="1" pivotButton="0" quotePrefix="0" xfId="0">
      <alignment horizontal="center" vertical="center"/>
    </xf>
    <xf numFmtId="0" fontId="27" fillId="9" borderId="0" applyAlignment="1" pivotButton="0" quotePrefix="0" xfId="0">
      <alignment horizontal="center" vertical="center"/>
    </xf>
    <xf numFmtId="167" fontId="31" fillId="7" borderId="1" applyAlignment="1" pivotButton="0" quotePrefix="0" xfId="0">
      <alignment horizontal="center" vertical="center"/>
    </xf>
    <xf numFmtId="165" fontId="31" fillId="8" borderId="1" applyAlignment="1" pivotButton="0" quotePrefix="0" xfId="0">
      <alignment horizontal="center" vertical="center"/>
    </xf>
    <xf numFmtId="165" fontId="31" fillId="7" borderId="1" applyAlignment="1" pivotButton="0" quotePrefix="0" xfId="0">
      <alignment horizontal="center" vertical="center"/>
    </xf>
    <xf numFmtId="0" fontId="3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4361EE"/>
    <outlinePr summaryBelow="1" summaryRight="1"/>
    <pageSetUpPr/>
  </sheetPr>
  <dimension ref="B2:G34"/>
  <sheetViews>
    <sheetView showGridLines="0" workbookViewId="0">
      <selection activeCell="A1" sqref="A1"/>
    </sheetView>
  </sheetViews>
  <sheetFormatPr baseColWidth="8" defaultRowHeight="15"/>
  <cols>
    <col width="2" customWidth="1" min="1" max="1"/>
    <col width="22" customWidth="1" min="2" max="2"/>
    <col width="18" customWidth="1" min="3" max="3"/>
    <col width="18" customWidth="1" min="4" max="4"/>
    <col width="18" customWidth="1" min="5" max="5"/>
    <col width="18" customWidth="1" min="6" max="6"/>
    <col width="18" customWidth="1" min="7" max="7"/>
    <col width="2" customWidth="1" min="8" max="8"/>
  </cols>
  <sheetData>
    <row r="1" ht="10" customHeight="1"/>
    <row r="2" ht="55" customHeight="1">
      <c r="B2" s="1" t="inlineStr">
        <is>
          <t>💼  FREELANCE BUSINESS MANAGER  2026</t>
        </is>
      </c>
    </row>
    <row r="3" ht="14" customHeight="1">
      <c r="B3" s="2" t="inlineStr">
        <is>
          <t>Your Complete Business Command Center</t>
        </is>
      </c>
    </row>
    <row r="5" ht="18" customHeight="1">
      <c r="B5" s="3" t="inlineStr">
        <is>
          <t>💰 MONTHLY REVENUE</t>
        </is>
      </c>
      <c r="D5" s="4" t="inlineStr">
        <is>
          <t>📋 ACTIVE PROJECTS</t>
        </is>
      </c>
      <c r="F5" s="5" t="inlineStr">
        <is>
          <t>🧾 UNPAID INVOICES</t>
        </is>
      </c>
    </row>
    <row r="6" ht="42" customHeight="1">
      <c r="B6" s="6">
        <f>'💰 Income &amp; Expenses'!C52</f>
        <v/>
      </c>
      <c r="D6" s="7">
        <f>COUNTIF('📋 Projects'!C4:C53,"Active")</f>
        <v/>
      </c>
      <c r="F6" s="8">
        <f>COUNTIF('🧾 Invoices'!G4:G53,"Unpaid")</f>
        <v/>
      </c>
    </row>
    <row r="7" ht="12" customHeight="1">
      <c r="B7" s="9" t="n"/>
      <c r="D7" s="10" t="n"/>
      <c r="F7" s="11" t="n"/>
    </row>
    <row r="9" ht="26" customHeight="1">
      <c r="B9" s="12" t="inlineStr">
        <is>
          <t>📊  MONTHLY PERFORMANCE OVERVIEW</t>
        </is>
      </c>
    </row>
    <row r="10" ht="22" customHeight="1">
      <c r="B10" s="13" t="inlineStr">
        <is>
          <t>Month</t>
        </is>
      </c>
      <c r="C10" s="13" t="inlineStr">
        <is>
          <t>Revenue</t>
        </is>
      </c>
      <c r="D10" s="13" t="inlineStr">
        <is>
          <t>Expenses</t>
        </is>
      </c>
      <c r="E10" s="13" t="inlineStr">
        <is>
          <t>Profit</t>
        </is>
      </c>
      <c r="F10" s="13" t="inlineStr">
        <is>
          <t>Projects</t>
        </is>
      </c>
      <c r="G10" s="13" t="inlineStr">
        <is>
          <t>Invoiced</t>
        </is>
      </c>
    </row>
    <row r="11" ht="20" customHeight="1">
      <c r="B11" s="14" t="inlineStr">
        <is>
          <t>Jan</t>
        </is>
      </c>
      <c r="C11" s="15" t="n">
        <v>0</v>
      </c>
      <c r="D11" s="15" t="n">
        <v>0</v>
      </c>
      <c r="E11" s="16">
        <f>C11-D11</f>
        <v/>
      </c>
      <c r="F11" s="17" t="n">
        <v>0</v>
      </c>
      <c r="G11" s="15" t="n">
        <v>0</v>
      </c>
    </row>
    <row r="12" ht="20" customHeight="1">
      <c r="B12" s="18" t="inlineStr">
        <is>
          <t>Feb</t>
        </is>
      </c>
      <c r="C12" s="19" t="n">
        <v>0</v>
      </c>
      <c r="D12" s="19" t="n">
        <v>0</v>
      </c>
      <c r="E12" s="20">
        <f>C12-D12</f>
        <v/>
      </c>
      <c r="F12" s="21" t="n">
        <v>0</v>
      </c>
      <c r="G12" s="19" t="n">
        <v>0</v>
      </c>
    </row>
    <row r="13" ht="20" customHeight="1">
      <c r="B13" s="14" t="inlineStr">
        <is>
          <t>Mar</t>
        </is>
      </c>
      <c r="C13" s="15" t="n">
        <v>0</v>
      </c>
      <c r="D13" s="15" t="n">
        <v>0</v>
      </c>
      <c r="E13" s="16">
        <f>C13-D13</f>
        <v/>
      </c>
      <c r="F13" s="17" t="n">
        <v>0</v>
      </c>
      <c r="G13" s="15" t="n">
        <v>0</v>
      </c>
    </row>
    <row r="14" ht="20" customHeight="1">
      <c r="B14" s="18" t="inlineStr">
        <is>
          <t>Apr</t>
        </is>
      </c>
      <c r="C14" s="19" t="n">
        <v>0</v>
      </c>
      <c r="D14" s="19" t="n">
        <v>0</v>
      </c>
      <c r="E14" s="20">
        <f>C14-D14</f>
        <v/>
      </c>
      <c r="F14" s="21" t="n">
        <v>0</v>
      </c>
      <c r="G14" s="19" t="n">
        <v>0</v>
      </c>
    </row>
    <row r="15" ht="20" customHeight="1">
      <c r="B15" s="14" t="inlineStr">
        <is>
          <t>May</t>
        </is>
      </c>
      <c r="C15" s="15" t="n">
        <v>0</v>
      </c>
      <c r="D15" s="15" t="n">
        <v>0</v>
      </c>
      <c r="E15" s="16">
        <f>C15-D15</f>
        <v/>
      </c>
      <c r="F15" s="17" t="n">
        <v>0</v>
      </c>
      <c r="G15" s="15" t="n">
        <v>0</v>
      </c>
    </row>
    <row r="16" ht="20" customHeight="1">
      <c r="B16" s="18" t="inlineStr">
        <is>
          <t>Jun</t>
        </is>
      </c>
      <c r="C16" s="19" t="n">
        <v>0</v>
      </c>
      <c r="D16" s="19" t="n">
        <v>0</v>
      </c>
      <c r="E16" s="20">
        <f>C16-D16</f>
        <v/>
      </c>
      <c r="F16" s="21" t="n">
        <v>0</v>
      </c>
      <c r="G16" s="19" t="n">
        <v>0</v>
      </c>
    </row>
    <row r="17" ht="20" customHeight="1">
      <c r="B17" s="14" t="inlineStr">
        <is>
          <t>Jul</t>
        </is>
      </c>
      <c r="C17" s="15" t="n">
        <v>0</v>
      </c>
      <c r="D17" s="15" t="n">
        <v>0</v>
      </c>
      <c r="E17" s="16">
        <f>C17-D17</f>
        <v/>
      </c>
      <c r="F17" s="17" t="n">
        <v>0</v>
      </c>
      <c r="G17" s="15" t="n">
        <v>0</v>
      </c>
    </row>
    <row r="18" ht="20" customHeight="1">
      <c r="B18" s="18" t="inlineStr">
        <is>
          <t>Aug</t>
        </is>
      </c>
      <c r="C18" s="19" t="n">
        <v>0</v>
      </c>
      <c r="D18" s="19" t="n">
        <v>0</v>
      </c>
      <c r="E18" s="20">
        <f>C18-D18</f>
        <v/>
      </c>
      <c r="F18" s="21" t="n">
        <v>0</v>
      </c>
      <c r="G18" s="19" t="n">
        <v>0</v>
      </c>
    </row>
    <row r="19" ht="20" customHeight="1">
      <c r="B19" s="14" t="inlineStr">
        <is>
          <t>Sep</t>
        </is>
      </c>
      <c r="C19" s="15" t="n">
        <v>0</v>
      </c>
      <c r="D19" s="15" t="n">
        <v>0</v>
      </c>
      <c r="E19" s="16">
        <f>C19-D19</f>
        <v/>
      </c>
      <c r="F19" s="17" t="n">
        <v>0</v>
      </c>
      <c r="G19" s="15" t="n">
        <v>0</v>
      </c>
    </row>
    <row r="20" ht="20" customHeight="1">
      <c r="B20" s="18" t="inlineStr">
        <is>
          <t>Oct</t>
        </is>
      </c>
      <c r="C20" s="19" t="n">
        <v>0</v>
      </c>
      <c r="D20" s="19" t="n">
        <v>0</v>
      </c>
      <c r="E20" s="20">
        <f>C20-D20</f>
        <v/>
      </c>
      <c r="F20" s="21" t="n">
        <v>0</v>
      </c>
      <c r="G20" s="19" t="n">
        <v>0</v>
      </c>
    </row>
    <row r="21" ht="20" customHeight="1">
      <c r="B21" s="14" t="inlineStr">
        <is>
          <t>Nov</t>
        </is>
      </c>
      <c r="C21" s="15" t="n">
        <v>0</v>
      </c>
      <c r="D21" s="15" t="n">
        <v>0</v>
      </c>
      <c r="E21" s="16">
        <f>C21-D21</f>
        <v/>
      </c>
      <c r="F21" s="17" t="n">
        <v>0</v>
      </c>
      <c r="G21" s="15" t="n">
        <v>0</v>
      </c>
    </row>
    <row r="22" ht="20" customHeight="1">
      <c r="B22" s="18" t="inlineStr">
        <is>
          <t>Dec</t>
        </is>
      </c>
      <c r="C22" s="19" t="n">
        <v>0</v>
      </c>
      <c r="D22" s="19" t="n">
        <v>0</v>
      </c>
      <c r="E22" s="20">
        <f>C22-D22</f>
        <v/>
      </c>
      <c r="F22" s="21" t="n">
        <v>0</v>
      </c>
      <c r="G22" s="19" t="n">
        <v>0</v>
      </c>
    </row>
    <row r="23" ht="26" customHeight="1">
      <c r="B23" s="13" t="inlineStr">
        <is>
          <t>TOTAL</t>
        </is>
      </c>
      <c r="C23" s="22">
        <f>SUM(C11:C22)</f>
        <v/>
      </c>
      <c r="D23" s="22">
        <f>SUM(D11:D22)</f>
        <v/>
      </c>
      <c r="E23" s="22">
        <f>SUM(E11:E22)</f>
        <v/>
      </c>
      <c r="F23" s="23">
        <f>SUM(F11:F22)</f>
        <v/>
      </c>
      <c r="G23" s="22">
        <f>SUM(G11:G22)</f>
        <v/>
      </c>
    </row>
    <row r="25" ht="26" customHeight="1">
      <c r="B25" s="24" t="inlineStr">
        <is>
          <t>⭐  TOP CLIENTS THIS MONTH</t>
        </is>
      </c>
    </row>
    <row r="26" ht="22" customHeight="1">
      <c r="B26" s="25" t="inlineStr">
        <is>
          <t>Client Name</t>
        </is>
      </c>
      <c r="C26" s="25" t="inlineStr">
        <is>
          <t>Projects</t>
        </is>
      </c>
      <c r="D26" s="25" t="inlineStr">
        <is>
          <t>Revenue</t>
        </is>
      </c>
      <c r="E26" s="25" t="inlineStr">
        <is>
          <t>Status</t>
        </is>
      </c>
      <c r="F26" s="25" t="inlineStr">
        <is>
          <t>Last Contact</t>
        </is>
      </c>
    </row>
    <row r="27" ht="22" customHeight="1">
      <c r="B27" s="26" t="n"/>
      <c r="C27" s="26" t="n"/>
      <c r="D27" s="17" t="n"/>
      <c r="E27" s="26" t="n"/>
      <c r="F27" s="26" t="n"/>
    </row>
    <row r="28" ht="22" customHeight="1">
      <c r="B28" s="26" t="n"/>
      <c r="C28" s="26" t="n"/>
      <c r="D28" s="21" t="n"/>
      <c r="E28" s="26" t="n"/>
      <c r="F28" s="26" t="n"/>
    </row>
    <row r="29" ht="22" customHeight="1">
      <c r="B29" s="26" t="n"/>
      <c r="C29" s="26" t="n"/>
      <c r="D29" s="17" t="n"/>
      <c r="E29" s="26" t="n"/>
      <c r="F29" s="26" t="n"/>
    </row>
    <row r="30" ht="22" customHeight="1">
      <c r="B30" s="26" t="n"/>
      <c r="C30" s="26" t="n"/>
      <c r="D30" s="21" t="n"/>
      <c r="E30" s="26" t="n"/>
      <c r="F30" s="26" t="n"/>
    </row>
    <row r="31" ht="22" customHeight="1">
      <c r="B31" s="26" t="n"/>
      <c r="C31" s="26" t="n"/>
      <c r="D31" s="17" t="n"/>
      <c r="E31" s="26" t="n"/>
      <c r="F31" s="26" t="n"/>
    </row>
    <row r="32" ht="22" customHeight="1">
      <c r="B32" s="26" t="n"/>
      <c r="C32" s="26" t="n"/>
      <c r="D32" s="21" t="n"/>
      <c r="E32" s="26" t="n"/>
      <c r="F32" s="26" t="n"/>
    </row>
    <row r="34" ht="20" customHeight="1">
      <c r="B34" s="27" t="inlineStr">
        <is>
          <t>💡  Yellow cells = Enter your data  |  Green cells = Auto-calculated  |  Update monthly for accurate reports</t>
        </is>
      </c>
    </row>
  </sheetData>
  <mergeCells count="14">
    <mergeCell ref="B3:G3"/>
    <mergeCell ref="B2:G2"/>
    <mergeCell ref="B6:C6"/>
    <mergeCell ref="D6:E6"/>
    <mergeCell ref="B34:G34"/>
    <mergeCell ref="D7:E7"/>
    <mergeCell ref="B7:C7"/>
    <mergeCell ref="B5:C5"/>
    <mergeCell ref="F5:G5"/>
    <mergeCell ref="D5:E5"/>
    <mergeCell ref="B9:G9"/>
    <mergeCell ref="F6:G6"/>
    <mergeCell ref="B25:G25"/>
    <mergeCell ref="F7:G7"/>
  </mergeCells>
  <pageMargins left="0.75" right="0.75" top="1" bottom="1" header="0.5" footer="0.5"/>
</worksheet>
</file>

<file path=xl/worksheets/sheet2.xml><?xml version="1.0" encoding="utf-8"?>
<worksheet xmlns="http://schemas.openxmlformats.org/spreadsheetml/2006/main">
  <sheetPr>
    <tabColor rgb="FF7209B7"/>
    <outlinePr summaryBelow="1" summaryRight="1"/>
    <pageSetUpPr/>
  </sheetPr>
  <dimension ref="B1:J53"/>
  <sheetViews>
    <sheetView showGridLines="0" workbookViewId="0">
      <selection activeCell="A1" sqref="A1"/>
    </sheetView>
  </sheetViews>
  <sheetFormatPr baseColWidth="8" defaultRowHeight="15"/>
  <cols>
    <col width="2" customWidth="1" min="1" max="1"/>
    <col width="25" customWidth="1" min="2" max="2"/>
    <col width="20" customWidth="1" min="3" max="3"/>
    <col width="20" customWidth="1" min="4" max="4"/>
    <col width="18" customWidth="1" min="5" max="5"/>
    <col width="15" customWidth="1" min="6" max="6"/>
    <col width="15" customWidth="1" min="7" max="7"/>
    <col width="18" customWidth="1" min="8" max="8"/>
    <col width="15" customWidth="1" min="9" max="9"/>
    <col width="18" customWidth="1" min="10" max="10"/>
    <col width="2" customWidth="1" min="11" max="11"/>
  </cols>
  <sheetData>
    <row r="1" ht="48" customHeight="1">
      <c r="B1" s="28" t="inlineStr">
        <is>
          <t>👥  CLIENT DATABASE</t>
        </is>
      </c>
    </row>
    <row r="3" ht="24" customHeight="1">
      <c r="B3" s="25" t="inlineStr">
        <is>
          <t>Client Name</t>
        </is>
      </c>
      <c r="C3" s="25" t="inlineStr">
        <is>
          <t>Company</t>
        </is>
      </c>
      <c r="D3" s="25" t="inlineStr">
        <is>
          <t>Email</t>
        </is>
      </c>
      <c r="E3" s="25" t="inlineStr">
        <is>
          <t>Phone</t>
        </is>
      </c>
      <c r="F3" s="25" t="inlineStr">
        <is>
          <t>Country</t>
        </is>
      </c>
      <c r="G3" s="25" t="inlineStr">
        <is>
          <t>Status</t>
        </is>
      </c>
      <c r="H3" s="25" t="inlineStr">
        <is>
          <t>Total Projects</t>
        </is>
      </c>
      <c r="I3" s="25" t="inlineStr">
        <is>
          <t>Total Revenue</t>
        </is>
      </c>
      <c r="J3" s="25" t="inlineStr">
        <is>
          <t>Last Contact</t>
        </is>
      </c>
    </row>
    <row r="4" ht="24" customHeight="1">
      <c r="B4" s="29" t="inlineStr">
        <is>
          <t>TechStart Inc</t>
        </is>
      </c>
      <c r="C4" s="30" t="inlineStr">
        <is>
          <t>David Miller</t>
        </is>
      </c>
      <c r="D4" s="26" t="inlineStr">
        <is>
          <t>david@techstart.com</t>
        </is>
      </c>
      <c r="E4" s="26" t="inlineStr">
        <is>
          <t>+1-555-0101</t>
        </is>
      </c>
      <c r="F4" s="26" t="inlineStr">
        <is>
          <t>USA</t>
        </is>
      </c>
      <c r="G4" s="26" t="inlineStr">
        <is>
          <t>VIP</t>
        </is>
      </c>
      <c r="H4" s="31">
        <f>COUNTIF('📋 Projects'!D4:D53,B4)</f>
        <v/>
      </c>
      <c r="I4" s="20">
        <f>SUMIF('📋 Projects'!D4:D53,B4,'📋 Projects'!H4:H53)</f>
        <v/>
      </c>
      <c r="J4" s="26" t="n"/>
    </row>
    <row r="5" ht="24" customHeight="1">
      <c r="B5" s="32" t="inlineStr">
        <is>
          <t>Creative Agency</t>
        </is>
      </c>
      <c r="C5" s="33" t="inlineStr">
        <is>
          <t>Sarah Johnson</t>
        </is>
      </c>
      <c r="D5" s="26" t="inlineStr">
        <is>
          <t>sarah@creative.co</t>
        </is>
      </c>
      <c r="E5" s="26" t="inlineStr">
        <is>
          <t>+44-20-1234</t>
        </is>
      </c>
      <c r="F5" s="26" t="inlineStr">
        <is>
          <t>UK</t>
        </is>
      </c>
      <c r="G5" s="26" t="inlineStr">
        <is>
          <t>Active</t>
        </is>
      </c>
      <c r="H5" s="34">
        <f>COUNTIF('📋 Projects'!D4:D53,B5)</f>
        <v/>
      </c>
      <c r="I5" s="16">
        <f>SUMIF('📋 Projects'!D4:D53,B5,'📋 Projects'!H4:H53)</f>
        <v/>
      </c>
      <c r="J5" s="26" t="n"/>
    </row>
    <row r="6" ht="24" customHeight="1">
      <c r="B6" s="29" t="inlineStr">
        <is>
          <t>EcomStore</t>
        </is>
      </c>
      <c r="C6" s="30" t="inlineStr">
        <is>
          <t>Carlos Rivera</t>
        </is>
      </c>
      <c r="D6" s="26" t="inlineStr">
        <is>
          <t>carlos@ecom.es</t>
        </is>
      </c>
      <c r="E6" s="26" t="inlineStr">
        <is>
          <t>+34-91-1234</t>
        </is>
      </c>
      <c r="F6" s="26" t="inlineStr">
        <is>
          <t>Spain</t>
        </is>
      </c>
      <c r="G6" s="26" t="inlineStr">
        <is>
          <t>Active</t>
        </is>
      </c>
      <c r="H6" s="31">
        <f>COUNTIF('📋 Projects'!D4:D53,B6)</f>
        <v/>
      </c>
      <c r="I6" s="20">
        <f>SUMIF('📋 Projects'!D4:D53,B6,'📋 Projects'!H4:H53)</f>
        <v/>
      </c>
      <c r="J6" s="26" t="n"/>
    </row>
    <row r="7" ht="24" customHeight="1">
      <c r="B7" s="32" t="inlineStr">
        <is>
          <t>FoodBrand</t>
        </is>
      </c>
      <c r="C7" s="33" t="inlineStr">
        <is>
          <t>Amira Hassan</t>
        </is>
      </c>
      <c r="D7" s="26" t="inlineStr">
        <is>
          <t>amira@food.ae</t>
        </is>
      </c>
      <c r="E7" s="26" t="inlineStr">
        <is>
          <t>+971-55-1234</t>
        </is>
      </c>
      <c r="F7" s="26" t="inlineStr">
        <is>
          <t>UAE</t>
        </is>
      </c>
      <c r="G7" s="26" t="inlineStr">
        <is>
          <t>Lead</t>
        </is>
      </c>
      <c r="H7" s="34">
        <f>COUNTIF('📋 Projects'!D4:D53,B7)</f>
        <v/>
      </c>
      <c r="I7" s="16">
        <f>SUMIF('📋 Projects'!D4:D53,B7,'📋 Projects'!H4:H53)</f>
        <v/>
      </c>
      <c r="J7" s="26" t="n"/>
    </row>
    <row r="8" ht="24" customHeight="1">
      <c r="B8" s="29" t="inlineStr">
        <is>
          <t>Startup Hub</t>
        </is>
      </c>
      <c r="C8" s="30" t="inlineStr">
        <is>
          <t>Liu Wei</t>
        </is>
      </c>
      <c r="D8" s="26" t="inlineStr">
        <is>
          <t>liu@startup.cn</t>
        </is>
      </c>
      <c r="E8" s="26" t="inlineStr">
        <is>
          <t>+86-10-1234</t>
        </is>
      </c>
      <c r="F8" s="26" t="inlineStr">
        <is>
          <t>China</t>
        </is>
      </c>
      <c r="G8" s="26" t="inlineStr">
        <is>
          <t>Active</t>
        </is>
      </c>
      <c r="H8" s="31">
        <f>COUNTIF('📋 Projects'!D4:D53,B8)</f>
        <v/>
      </c>
      <c r="I8" s="20">
        <f>SUMIF('📋 Projects'!D4:D53,B8,'📋 Projects'!H4:H53)</f>
        <v/>
      </c>
      <c r="J8" s="26" t="n"/>
    </row>
    <row r="9" ht="22" customHeight="1">
      <c r="B9" s="17" t="n"/>
      <c r="C9" s="17" t="n"/>
      <c r="D9" s="26" t="n"/>
      <c r="E9" s="26" t="n"/>
      <c r="F9" s="26" t="n"/>
      <c r="G9" s="26" t="n"/>
      <c r="H9" s="17">
        <f>IF(B9="","",COUNTIF('📋 Projects'!D4:D53,B9))</f>
        <v/>
      </c>
      <c r="I9" s="17">
        <f>IF(B9="","",SUMIF('📋 Projects'!D4:D53,B9,'📋 Projects'!H4:H53))</f>
        <v/>
      </c>
      <c r="J9" s="26" t="n"/>
    </row>
    <row r="10" ht="22" customHeight="1">
      <c r="B10" s="21" t="n"/>
      <c r="C10" s="21" t="n"/>
      <c r="D10" s="26" t="n"/>
      <c r="E10" s="26" t="n"/>
      <c r="F10" s="26" t="n"/>
      <c r="G10" s="26" t="n"/>
      <c r="H10" s="21">
        <f>IF(B10="","",COUNTIF('📋 Projects'!D4:D53,B10))</f>
        <v/>
      </c>
      <c r="I10" s="21">
        <f>IF(B10="","",SUMIF('📋 Projects'!D4:D53,B10,'📋 Projects'!H4:H53))</f>
        <v/>
      </c>
      <c r="J10" s="26" t="n"/>
    </row>
    <row r="11" ht="22" customHeight="1">
      <c r="B11" s="17" t="n"/>
      <c r="C11" s="17" t="n"/>
      <c r="D11" s="26" t="n"/>
      <c r="E11" s="26" t="n"/>
      <c r="F11" s="26" t="n"/>
      <c r="G11" s="26" t="n"/>
      <c r="H11" s="17">
        <f>IF(B11="","",COUNTIF('📋 Projects'!D4:D53,B11))</f>
        <v/>
      </c>
      <c r="I11" s="17">
        <f>IF(B11="","",SUMIF('📋 Projects'!D4:D53,B11,'📋 Projects'!H4:H53))</f>
        <v/>
      </c>
      <c r="J11" s="26" t="n"/>
    </row>
    <row r="12" ht="22" customHeight="1">
      <c r="B12" s="21" t="n"/>
      <c r="C12" s="21" t="n"/>
      <c r="D12" s="26" t="n"/>
      <c r="E12" s="26" t="n"/>
      <c r="F12" s="26" t="n"/>
      <c r="G12" s="26" t="n"/>
      <c r="H12" s="21">
        <f>IF(B12="","",COUNTIF('📋 Projects'!D4:D53,B12))</f>
        <v/>
      </c>
      <c r="I12" s="21">
        <f>IF(B12="","",SUMIF('📋 Projects'!D4:D53,B12,'📋 Projects'!H4:H53))</f>
        <v/>
      </c>
      <c r="J12" s="26" t="n"/>
    </row>
    <row r="13" ht="22" customHeight="1">
      <c r="B13" s="17" t="n"/>
      <c r="C13" s="17" t="n"/>
      <c r="D13" s="26" t="n"/>
      <c r="E13" s="26" t="n"/>
      <c r="F13" s="26" t="n"/>
      <c r="G13" s="26" t="n"/>
      <c r="H13" s="17">
        <f>IF(B13="","",COUNTIF('📋 Projects'!D4:D53,B13))</f>
        <v/>
      </c>
      <c r="I13" s="17">
        <f>IF(B13="","",SUMIF('📋 Projects'!D4:D53,B13,'📋 Projects'!H4:H53))</f>
        <v/>
      </c>
      <c r="J13" s="26" t="n"/>
    </row>
    <row r="14" ht="22" customHeight="1">
      <c r="B14" s="21" t="n"/>
      <c r="C14" s="21" t="n"/>
      <c r="D14" s="26" t="n"/>
      <c r="E14" s="26" t="n"/>
      <c r="F14" s="26" t="n"/>
      <c r="G14" s="26" t="n"/>
      <c r="H14" s="21">
        <f>IF(B14="","",COUNTIF('📋 Projects'!D4:D53,B14))</f>
        <v/>
      </c>
      <c r="I14" s="21">
        <f>IF(B14="","",SUMIF('📋 Projects'!D4:D53,B14,'📋 Projects'!H4:H53))</f>
        <v/>
      </c>
      <c r="J14" s="26" t="n"/>
    </row>
    <row r="15" ht="22" customHeight="1">
      <c r="B15" s="17" t="n"/>
      <c r="C15" s="17" t="n"/>
      <c r="D15" s="26" t="n"/>
      <c r="E15" s="26" t="n"/>
      <c r="F15" s="26" t="n"/>
      <c r="G15" s="26" t="n"/>
      <c r="H15" s="17">
        <f>IF(B15="","",COUNTIF('📋 Projects'!D4:D53,B15))</f>
        <v/>
      </c>
      <c r="I15" s="17">
        <f>IF(B15="","",SUMIF('📋 Projects'!D4:D53,B15,'📋 Projects'!H4:H53))</f>
        <v/>
      </c>
      <c r="J15" s="26" t="n"/>
    </row>
    <row r="16" ht="22" customHeight="1">
      <c r="B16" s="21" t="n"/>
      <c r="C16" s="21" t="n"/>
      <c r="D16" s="26" t="n"/>
      <c r="E16" s="26" t="n"/>
      <c r="F16" s="26" t="n"/>
      <c r="G16" s="26" t="n"/>
      <c r="H16" s="21">
        <f>IF(B16="","",COUNTIF('📋 Projects'!D4:D53,B16))</f>
        <v/>
      </c>
      <c r="I16" s="21">
        <f>IF(B16="","",SUMIF('📋 Projects'!D4:D53,B16,'📋 Projects'!H4:H53))</f>
        <v/>
      </c>
      <c r="J16" s="26" t="n"/>
    </row>
    <row r="17" ht="22" customHeight="1">
      <c r="B17" s="17" t="n"/>
      <c r="C17" s="17" t="n"/>
      <c r="D17" s="26" t="n"/>
      <c r="E17" s="26" t="n"/>
      <c r="F17" s="26" t="n"/>
      <c r="G17" s="26" t="n"/>
      <c r="H17" s="17">
        <f>IF(B17="","",COUNTIF('📋 Projects'!D4:D53,B17))</f>
        <v/>
      </c>
      <c r="I17" s="17">
        <f>IF(B17="","",SUMIF('📋 Projects'!D4:D53,B17,'📋 Projects'!H4:H53))</f>
        <v/>
      </c>
      <c r="J17" s="26" t="n"/>
    </row>
    <row r="18" ht="22" customHeight="1">
      <c r="B18" s="21" t="n"/>
      <c r="C18" s="21" t="n"/>
      <c r="D18" s="26" t="n"/>
      <c r="E18" s="26" t="n"/>
      <c r="F18" s="26" t="n"/>
      <c r="G18" s="26" t="n"/>
      <c r="H18" s="21">
        <f>IF(B18="","",COUNTIF('📋 Projects'!D4:D53,B18))</f>
        <v/>
      </c>
      <c r="I18" s="21">
        <f>IF(B18="","",SUMIF('📋 Projects'!D4:D53,B18,'📋 Projects'!H4:H53))</f>
        <v/>
      </c>
      <c r="J18" s="26" t="n"/>
    </row>
    <row r="19" ht="22" customHeight="1">
      <c r="B19" s="17" t="n"/>
      <c r="C19" s="17" t="n"/>
      <c r="D19" s="26" t="n"/>
      <c r="E19" s="26" t="n"/>
      <c r="F19" s="26" t="n"/>
      <c r="G19" s="26" t="n"/>
      <c r="H19" s="17">
        <f>IF(B19="","",COUNTIF('📋 Projects'!D4:D53,B19))</f>
        <v/>
      </c>
      <c r="I19" s="17">
        <f>IF(B19="","",SUMIF('📋 Projects'!D4:D53,B19,'📋 Projects'!H4:H53))</f>
        <v/>
      </c>
      <c r="J19" s="26" t="n"/>
    </row>
    <row r="20" ht="22" customHeight="1">
      <c r="B20" s="21" t="n"/>
      <c r="C20" s="21" t="n"/>
      <c r="D20" s="26" t="n"/>
      <c r="E20" s="26" t="n"/>
      <c r="F20" s="26" t="n"/>
      <c r="G20" s="26" t="n"/>
      <c r="H20" s="21">
        <f>IF(B20="","",COUNTIF('📋 Projects'!D4:D53,B20))</f>
        <v/>
      </c>
      <c r="I20" s="21">
        <f>IF(B20="","",SUMIF('📋 Projects'!D4:D53,B20,'📋 Projects'!H4:H53))</f>
        <v/>
      </c>
      <c r="J20" s="26" t="n"/>
    </row>
    <row r="21" ht="22" customHeight="1">
      <c r="B21" s="17" t="n"/>
      <c r="C21" s="17" t="n"/>
      <c r="D21" s="26" t="n"/>
      <c r="E21" s="26" t="n"/>
      <c r="F21" s="26" t="n"/>
      <c r="G21" s="26" t="n"/>
      <c r="H21" s="17">
        <f>IF(B21="","",COUNTIF('📋 Projects'!D4:D53,B21))</f>
        <v/>
      </c>
      <c r="I21" s="17">
        <f>IF(B21="","",SUMIF('📋 Projects'!D4:D53,B21,'📋 Projects'!H4:H53))</f>
        <v/>
      </c>
      <c r="J21" s="26" t="n"/>
    </row>
    <row r="22" ht="22" customHeight="1">
      <c r="B22" s="21" t="n"/>
      <c r="C22" s="21" t="n"/>
      <c r="D22" s="26" t="n"/>
      <c r="E22" s="26" t="n"/>
      <c r="F22" s="26" t="n"/>
      <c r="G22" s="26" t="n"/>
      <c r="H22" s="21">
        <f>IF(B22="","",COUNTIF('📋 Projects'!D4:D53,B22))</f>
        <v/>
      </c>
      <c r="I22" s="21">
        <f>IF(B22="","",SUMIF('📋 Projects'!D4:D53,B22,'📋 Projects'!H4:H53))</f>
        <v/>
      </c>
      <c r="J22" s="26" t="n"/>
    </row>
    <row r="23" ht="22" customHeight="1">
      <c r="B23" s="17" t="n"/>
      <c r="C23" s="17" t="n"/>
      <c r="D23" s="26" t="n"/>
      <c r="E23" s="26" t="n"/>
      <c r="F23" s="26" t="n"/>
      <c r="G23" s="26" t="n"/>
      <c r="H23" s="17">
        <f>IF(B23="","",COUNTIF('📋 Projects'!D4:D53,B23))</f>
        <v/>
      </c>
      <c r="I23" s="17">
        <f>IF(B23="","",SUMIF('📋 Projects'!D4:D53,B23,'📋 Projects'!H4:H53))</f>
        <v/>
      </c>
      <c r="J23" s="26" t="n"/>
    </row>
    <row r="24" ht="22" customHeight="1">
      <c r="B24" s="21" t="n"/>
      <c r="C24" s="21" t="n"/>
      <c r="D24" s="26" t="n"/>
      <c r="E24" s="26" t="n"/>
      <c r="F24" s="26" t="n"/>
      <c r="G24" s="26" t="n"/>
      <c r="H24" s="21">
        <f>IF(B24="","",COUNTIF('📋 Projects'!D4:D53,B24))</f>
        <v/>
      </c>
      <c r="I24" s="21">
        <f>IF(B24="","",SUMIF('📋 Projects'!D4:D53,B24,'📋 Projects'!H4:H53))</f>
        <v/>
      </c>
      <c r="J24" s="26" t="n"/>
    </row>
    <row r="25" ht="22" customHeight="1">
      <c r="B25" s="17" t="n"/>
      <c r="C25" s="17" t="n"/>
      <c r="D25" s="26" t="n"/>
      <c r="E25" s="26" t="n"/>
      <c r="F25" s="26" t="n"/>
      <c r="G25" s="26" t="n"/>
      <c r="H25" s="17">
        <f>IF(B25="","",COUNTIF('📋 Projects'!D4:D53,B25))</f>
        <v/>
      </c>
      <c r="I25" s="17">
        <f>IF(B25="","",SUMIF('📋 Projects'!D4:D53,B25,'📋 Projects'!H4:H53))</f>
        <v/>
      </c>
      <c r="J25" s="26" t="n"/>
    </row>
    <row r="26" ht="22" customHeight="1">
      <c r="B26" s="21" t="n"/>
      <c r="C26" s="21" t="n"/>
      <c r="D26" s="26" t="n"/>
      <c r="E26" s="26" t="n"/>
      <c r="F26" s="26" t="n"/>
      <c r="G26" s="26" t="n"/>
      <c r="H26" s="21">
        <f>IF(B26="","",COUNTIF('📋 Projects'!D4:D53,B26))</f>
        <v/>
      </c>
      <c r="I26" s="21">
        <f>IF(B26="","",SUMIF('📋 Projects'!D4:D53,B26,'📋 Projects'!H4:H53))</f>
        <v/>
      </c>
      <c r="J26" s="26" t="n"/>
    </row>
    <row r="27" ht="22" customHeight="1">
      <c r="B27" s="17" t="n"/>
      <c r="C27" s="17" t="n"/>
      <c r="D27" s="26" t="n"/>
      <c r="E27" s="26" t="n"/>
      <c r="F27" s="26" t="n"/>
      <c r="G27" s="26" t="n"/>
      <c r="H27" s="17">
        <f>IF(B27="","",COUNTIF('📋 Projects'!D4:D53,B27))</f>
        <v/>
      </c>
      <c r="I27" s="17">
        <f>IF(B27="","",SUMIF('📋 Projects'!D4:D53,B27,'📋 Projects'!H4:H53))</f>
        <v/>
      </c>
      <c r="J27" s="26" t="n"/>
    </row>
    <row r="28" ht="22" customHeight="1">
      <c r="B28" s="21" t="n"/>
      <c r="C28" s="21" t="n"/>
      <c r="D28" s="26" t="n"/>
      <c r="E28" s="26" t="n"/>
      <c r="F28" s="26" t="n"/>
      <c r="G28" s="26" t="n"/>
      <c r="H28" s="21">
        <f>IF(B28="","",COUNTIF('📋 Projects'!D4:D53,B28))</f>
        <v/>
      </c>
      <c r="I28" s="21">
        <f>IF(B28="","",SUMIF('📋 Projects'!D4:D53,B28,'📋 Projects'!H4:H53))</f>
        <v/>
      </c>
      <c r="J28" s="26" t="n"/>
    </row>
    <row r="29" ht="22" customHeight="1">
      <c r="B29" s="17" t="n"/>
      <c r="C29" s="17" t="n"/>
      <c r="D29" s="26" t="n"/>
      <c r="E29" s="26" t="n"/>
      <c r="F29" s="26" t="n"/>
      <c r="G29" s="26" t="n"/>
      <c r="H29" s="17">
        <f>IF(B29="","",COUNTIF('📋 Projects'!D4:D53,B29))</f>
        <v/>
      </c>
      <c r="I29" s="17">
        <f>IF(B29="","",SUMIF('📋 Projects'!D4:D53,B29,'📋 Projects'!H4:H53))</f>
        <v/>
      </c>
      <c r="J29" s="26" t="n"/>
    </row>
    <row r="30" ht="22" customHeight="1">
      <c r="B30" s="21" t="n"/>
      <c r="C30" s="21" t="n"/>
      <c r="D30" s="26" t="n"/>
      <c r="E30" s="26" t="n"/>
      <c r="F30" s="26" t="n"/>
      <c r="G30" s="26" t="n"/>
      <c r="H30" s="21">
        <f>IF(B30="","",COUNTIF('📋 Projects'!D4:D53,B30))</f>
        <v/>
      </c>
      <c r="I30" s="21">
        <f>IF(B30="","",SUMIF('📋 Projects'!D4:D53,B30,'📋 Projects'!H4:H53))</f>
        <v/>
      </c>
      <c r="J30" s="26" t="n"/>
    </row>
    <row r="31" ht="22" customHeight="1">
      <c r="B31" s="17" t="n"/>
      <c r="C31" s="17" t="n"/>
      <c r="D31" s="26" t="n"/>
      <c r="E31" s="26" t="n"/>
      <c r="F31" s="26" t="n"/>
      <c r="G31" s="26" t="n"/>
      <c r="H31" s="17">
        <f>IF(B31="","",COUNTIF('📋 Projects'!D4:D53,B31))</f>
        <v/>
      </c>
      <c r="I31" s="17">
        <f>IF(B31="","",SUMIF('📋 Projects'!D4:D53,B31,'📋 Projects'!H4:H53))</f>
        <v/>
      </c>
      <c r="J31" s="26" t="n"/>
    </row>
    <row r="32" ht="22" customHeight="1">
      <c r="B32" s="21" t="n"/>
      <c r="C32" s="21" t="n"/>
      <c r="D32" s="26" t="n"/>
      <c r="E32" s="26" t="n"/>
      <c r="F32" s="26" t="n"/>
      <c r="G32" s="26" t="n"/>
      <c r="H32" s="21">
        <f>IF(B32="","",COUNTIF('📋 Projects'!D4:D53,B32))</f>
        <v/>
      </c>
      <c r="I32" s="21">
        <f>IF(B32="","",SUMIF('📋 Projects'!D4:D53,B32,'📋 Projects'!H4:H53))</f>
        <v/>
      </c>
      <c r="J32" s="26" t="n"/>
    </row>
    <row r="33" ht="22" customHeight="1">
      <c r="B33" s="17" t="n"/>
      <c r="C33" s="17" t="n"/>
      <c r="D33" s="26" t="n"/>
      <c r="E33" s="26" t="n"/>
      <c r="F33" s="26" t="n"/>
      <c r="G33" s="26" t="n"/>
      <c r="H33" s="17">
        <f>IF(B33="","",COUNTIF('📋 Projects'!D4:D53,B33))</f>
        <v/>
      </c>
      <c r="I33" s="17">
        <f>IF(B33="","",SUMIF('📋 Projects'!D4:D53,B33,'📋 Projects'!H4:H53))</f>
        <v/>
      </c>
      <c r="J33" s="26" t="n"/>
    </row>
    <row r="34" ht="22" customHeight="1">
      <c r="B34" s="21" t="n"/>
      <c r="C34" s="21" t="n"/>
      <c r="D34" s="26" t="n"/>
      <c r="E34" s="26" t="n"/>
      <c r="F34" s="26" t="n"/>
      <c r="G34" s="26" t="n"/>
      <c r="H34" s="21">
        <f>IF(B34="","",COUNTIF('📋 Projects'!D4:D53,B34))</f>
        <v/>
      </c>
      <c r="I34" s="21">
        <f>IF(B34="","",SUMIF('📋 Projects'!D4:D53,B34,'📋 Projects'!H4:H53))</f>
        <v/>
      </c>
      <c r="J34" s="26" t="n"/>
    </row>
    <row r="35" ht="22" customHeight="1">
      <c r="B35" s="17" t="n"/>
      <c r="C35" s="17" t="n"/>
      <c r="D35" s="26" t="n"/>
      <c r="E35" s="26" t="n"/>
      <c r="F35" s="26" t="n"/>
      <c r="G35" s="26" t="n"/>
      <c r="H35" s="17">
        <f>IF(B35="","",COUNTIF('📋 Projects'!D4:D53,B35))</f>
        <v/>
      </c>
      <c r="I35" s="17">
        <f>IF(B35="","",SUMIF('📋 Projects'!D4:D53,B35,'📋 Projects'!H4:H53))</f>
        <v/>
      </c>
      <c r="J35" s="26" t="n"/>
    </row>
    <row r="36" ht="22" customHeight="1">
      <c r="B36" s="21" t="n"/>
      <c r="C36" s="21" t="n"/>
      <c r="D36" s="26" t="n"/>
      <c r="E36" s="26" t="n"/>
      <c r="F36" s="26" t="n"/>
      <c r="G36" s="26" t="n"/>
      <c r="H36" s="21">
        <f>IF(B36="","",COUNTIF('📋 Projects'!D4:D53,B36))</f>
        <v/>
      </c>
      <c r="I36" s="21">
        <f>IF(B36="","",SUMIF('📋 Projects'!D4:D53,B36,'📋 Projects'!H4:H53))</f>
        <v/>
      </c>
      <c r="J36" s="26" t="n"/>
    </row>
    <row r="37" ht="22" customHeight="1">
      <c r="B37" s="17" t="n"/>
      <c r="C37" s="17" t="n"/>
      <c r="D37" s="26" t="n"/>
      <c r="E37" s="26" t="n"/>
      <c r="F37" s="26" t="n"/>
      <c r="G37" s="26" t="n"/>
      <c r="H37" s="17">
        <f>IF(B37="","",COUNTIF('📋 Projects'!D4:D53,B37))</f>
        <v/>
      </c>
      <c r="I37" s="17">
        <f>IF(B37="","",SUMIF('📋 Projects'!D4:D53,B37,'📋 Projects'!H4:H53))</f>
        <v/>
      </c>
      <c r="J37" s="26" t="n"/>
    </row>
    <row r="38" ht="22" customHeight="1">
      <c r="B38" s="21" t="n"/>
      <c r="C38" s="21" t="n"/>
      <c r="D38" s="26" t="n"/>
      <c r="E38" s="26" t="n"/>
      <c r="F38" s="26" t="n"/>
      <c r="G38" s="26" t="n"/>
      <c r="H38" s="21">
        <f>IF(B38="","",COUNTIF('📋 Projects'!D4:D53,B38))</f>
        <v/>
      </c>
      <c r="I38" s="21">
        <f>IF(B38="","",SUMIF('📋 Projects'!D4:D53,B38,'📋 Projects'!H4:H53))</f>
        <v/>
      </c>
      <c r="J38" s="26" t="n"/>
    </row>
    <row r="39" ht="22" customHeight="1">
      <c r="B39" s="17" t="n"/>
      <c r="C39" s="17" t="n"/>
      <c r="D39" s="26" t="n"/>
      <c r="E39" s="26" t="n"/>
      <c r="F39" s="26" t="n"/>
      <c r="G39" s="26" t="n"/>
      <c r="H39" s="17">
        <f>IF(B39="","",COUNTIF('📋 Projects'!D4:D53,B39))</f>
        <v/>
      </c>
      <c r="I39" s="17">
        <f>IF(B39="","",SUMIF('📋 Projects'!D4:D53,B39,'📋 Projects'!H4:H53))</f>
        <v/>
      </c>
      <c r="J39" s="26" t="n"/>
    </row>
    <row r="40" ht="22" customHeight="1">
      <c r="B40" s="21" t="n"/>
      <c r="C40" s="21" t="n"/>
      <c r="D40" s="26" t="n"/>
      <c r="E40" s="26" t="n"/>
      <c r="F40" s="26" t="n"/>
      <c r="G40" s="26" t="n"/>
      <c r="H40" s="21">
        <f>IF(B40="","",COUNTIF('📋 Projects'!D4:D53,B40))</f>
        <v/>
      </c>
      <c r="I40" s="21">
        <f>IF(B40="","",SUMIF('📋 Projects'!D4:D53,B40,'📋 Projects'!H4:H53))</f>
        <v/>
      </c>
      <c r="J40" s="26" t="n"/>
    </row>
    <row r="41" ht="22" customHeight="1">
      <c r="B41" s="17" t="n"/>
      <c r="C41" s="17" t="n"/>
      <c r="D41" s="26" t="n"/>
      <c r="E41" s="26" t="n"/>
      <c r="F41" s="26" t="n"/>
      <c r="G41" s="26" t="n"/>
      <c r="H41" s="17">
        <f>IF(B41="","",COUNTIF('📋 Projects'!D4:D53,B41))</f>
        <v/>
      </c>
      <c r="I41" s="17">
        <f>IF(B41="","",SUMIF('📋 Projects'!D4:D53,B41,'📋 Projects'!H4:H53))</f>
        <v/>
      </c>
      <c r="J41" s="26" t="n"/>
    </row>
    <row r="42" ht="22" customHeight="1">
      <c r="B42" s="21" t="n"/>
      <c r="C42" s="21" t="n"/>
      <c r="D42" s="26" t="n"/>
      <c r="E42" s="26" t="n"/>
      <c r="F42" s="26" t="n"/>
      <c r="G42" s="26" t="n"/>
      <c r="H42" s="21">
        <f>IF(B42="","",COUNTIF('📋 Projects'!D4:D53,B42))</f>
        <v/>
      </c>
      <c r="I42" s="21">
        <f>IF(B42="","",SUMIF('📋 Projects'!D4:D53,B42,'📋 Projects'!H4:H53))</f>
        <v/>
      </c>
      <c r="J42" s="26" t="n"/>
    </row>
    <row r="43" ht="22" customHeight="1">
      <c r="B43" s="17" t="n"/>
      <c r="C43" s="17" t="n"/>
      <c r="D43" s="26" t="n"/>
      <c r="E43" s="26" t="n"/>
      <c r="F43" s="26" t="n"/>
      <c r="G43" s="26" t="n"/>
      <c r="H43" s="17">
        <f>IF(B43="","",COUNTIF('📋 Projects'!D4:D53,B43))</f>
        <v/>
      </c>
      <c r="I43" s="17">
        <f>IF(B43="","",SUMIF('📋 Projects'!D4:D53,B43,'📋 Projects'!H4:H53))</f>
        <v/>
      </c>
      <c r="J43" s="26" t="n"/>
    </row>
    <row r="44" ht="22" customHeight="1">
      <c r="B44" s="21" t="n"/>
      <c r="C44" s="21" t="n"/>
      <c r="D44" s="26" t="n"/>
      <c r="E44" s="26" t="n"/>
      <c r="F44" s="26" t="n"/>
      <c r="G44" s="26" t="n"/>
      <c r="H44" s="21">
        <f>IF(B44="","",COUNTIF('📋 Projects'!D4:D53,B44))</f>
        <v/>
      </c>
      <c r="I44" s="21">
        <f>IF(B44="","",SUMIF('📋 Projects'!D4:D53,B44,'📋 Projects'!H4:H53))</f>
        <v/>
      </c>
      <c r="J44" s="26" t="n"/>
    </row>
    <row r="45" ht="22" customHeight="1">
      <c r="B45" s="17" t="n"/>
      <c r="C45" s="17" t="n"/>
      <c r="D45" s="26" t="n"/>
      <c r="E45" s="26" t="n"/>
      <c r="F45" s="26" t="n"/>
      <c r="G45" s="26" t="n"/>
      <c r="H45" s="17">
        <f>IF(B45="","",COUNTIF('📋 Projects'!D4:D53,B45))</f>
        <v/>
      </c>
      <c r="I45" s="17">
        <f>IF(B45="","",SUMIF('📋 Projects'!D4:D53,B45,'📋 Projects'!H4:H53))</f>
        <v/>
      </c>
      <c r="J45" s="26" t="n"/>
    </row>
    <row r="46" ht="22" customHeight="1">
      <c r="B46" s="21" t="n"/>
      <c r="C46" s="21" t="n"/>
      <c r="D46" s="26" t="n"/>
      <c r="E46" s="26" t="n"/>
      <c r="F46" s="26" t="n"/>
      <c r="G46" s="26" t="n"/>
      <c r="H46" s="21">
        <f>IF(B46="","",COUNTIF('📋 Projects'!D4:D53,B46))</f>
        <v/>
      </c>
      <c r="I46" s="21">
        <f>IF(B46="","",SUMIF('📋 Projects'!D4:D53,B46,'📋 Projects'!H4:H53))</f>
        <v/>
      </c>
      <c r="J46" s="26" t="n"/>
    </row>
    <row r="47" ht="22" customHeight="1">
      <c r="B47" s="17" t="n"/>
      <c r="C47" s="17" t="n"/>
      <c r="D47" s="26" t="n"/>
      <c r="E47" s="26" t="n"/>
      <c r="F47" s="26" t="n"/>
      <c r="G47" s="26" t="n"/>
      <c r="H47" s="17">
        <f>IF(B47="","",COUNTIF('📋 Projects'!D4:D53,B47))</f>
        <v/>
      </c>
      <c r="I47" s="17">
        <f>IF(B47="","",SUMIF('📋 Projects'!D4:D53,B47,'📋 Projects'!H4:H53))</f>
        <v/>
      </c>
      <c r="J47" s="26" t="n"/>
    </row>
    <row r="48" ht="22" customHeight="1">
      <c r="B48" s="21" t="n"/>
      <c r="C48" s="21" t="n"/>
      <c r="D48" s="26" t="n"/>
      <c r="E48" s="26" t="n"/>
      <c r="F48" s="26" t="n"/>
      <c r="G48" s="26" t="n"/>
      <c r="H48" s="21">
        <f>IF(B48="","",COUNTIF('📋 Projects'!D4:D53,B48))</f>
        <v/>
      </c>
      <c r="I48" s="21">
        <f>IF(B48="","",SUMIF('📋 Projects'!D4:D53,B48,'📋 Projects'!H4:H53))</f>
        <v/>
      </c>
      <c r="J48" s="26" t="n"/>
    </row>
    <row r="49" ht="22" customHeight="1">
      <c r="B49" s="17" t="n"/>
      <c r="C49" s="17" t="n"/>
      <c r="D49" s="26" t="n"/>
      <c r="E49" s="26" t="n"/>
      <c r="F49" s="26" t="n"/>
      <c r="G49" s="26" t="n"/>
      <c r="H49" s="17">
        <f>IF(B49="","",COUNTIF('📋 Projects'!D4:D53,B49))</f>
        <v/>
      </c>
      <c r="I49" s="17">
        <f>IF(B49="","",SUMIF('📋 Projects'!D4:D53,B49,'📋 Projects'!H4:H53))</f>
        <v/>
      </c>
      <c r="J49" s="26" t="n"/>
    </row>
    <row r="50" ht="22" customHeight="1">
      <c r="B50" s="21" t="n"/>
      <c r="C50" s="21" t="n"/>
      <c r="D50" s="26" t="n"/>
      <c r="E50" s="26" t="n"/>
      <c r="F50" s="26" t="n"/>
      <c r="G50" s="26" t="n"/>
      <c r="H50" s="21">
        <f>IF(B50="","",COUNTIF('📋 Projects'!D4:D53,B50))</f>
        <v/>
      </c>
      <c r="I50" s="21">
        <f>IF(B50="","",SUMIF('📋 Projects'!D4:D53,B50,'📋 Projects'!H4:H53))</f>
        <v/>
      </c>
      <c r="J50" s="26" t="n"/>
    </row>
    <row r="51" ht="22" customHeight="1">
      <c r="B51" s="17" t="n"/>
      <c r="C51" s="17" t="n"/>
      <c r="D51" s="26" t="n"/>
      <c r="E51" s="26" t="n"/>
      <c r="F51" s="26" t="n"/>
      <c r="G51" s="26" t="n"/>
      <c r="H51" s="17">
        <f>IF(B51="","",COUNTIF('📋 Projects'!D4:D53,B51))</f>
        <v/>
      </c>
      <c r="I51" s="17">
        <f>IF(B51="","",SUMIF('📋 Projects'!D4:D53,B51,'📋 Projects'!H4:H53))</f>
        <v/>
      </c>
      <c r="J51" s="26" t="n"/>
    </row>
    <row r="52" ht="22" customHeight="1">
      <c r="B52" s="21" t="n"/>
      <c r="C52" s="21" t="n"/>
      <c r="D52" s="26" t="n"/>
      <c r="E52" s="26" t="n"/>
      <c r="F52" s="26" t="n"/>
      <c r="G52" s="26" t="n"/>
      <c r="H52" s="21">
        <f>IF(B52="","",COUNTIF('📋 Projects'!D4:D53,B52))</f>
        <v/>
      </c>
      <c r="I52" s="21">
        <f>IF(B52="","",SUMIF('📋 Projects'!D4:D53,B52,'📋 Projects'!H4:H53))</f>
        <v/>
      </c>
      <c r="J52" s="26" t="n"/>
    </row>
    <row r="53" ht="22" customHeight="1">
      <c r="B53" s="17" t="n"/>
      <c r="C53" s="17" t="n"/>
      <c r="D53" s="26" t="n"/>
      <c r="E53" s="26" t="n"/>
      <c r="F53" s="26" t="n"/>
      <c r="G53" s="26" t="n"/>
      <c r="H53" s="17">
        <f>IF(B53="","",COUNTIF('📋 Projects'!D4:D53,B53))</f>
        <v/>
      </c>
      <c r="I53" s="17">
        <f>IF(B53="","",SUMIF('📋 Projects'!D4:D53,B53,'📋 Projects'!H4:H53))</f>
        <v/>
      </c>
      <c r="J53" s="26" t="n"/>
    </row>
  </sheetData>
  <mergeCells count="1">
    <mergeCell ref="B1:J1"/>
  </mergeCells>
  <dataValidations count="1">
    <dataValidation sqref="G4 G5 G6 G7 G8" showDropDown="0" showInputMessage="0" showErrorMessage="0" allowBlank="1" type="list">
      <formula1>"Active,Inactive,Lead,VIP,Blocked"</formula1>
    </dataValidation>
  </dataValidations>
  <pageMargins left="0.75" right="0.75" top="1" bottom="1" header="0.5" footer="0.5"/>
</worksheet>
</file>

<file path=xl/worksheets/sheet3.xml><?xml version="1.0" encoding="utf-8"?>
<worksheet xmlns="http://schemas.openxmlformats.org/spreadsheetml/2006/main">
  <sheetPr>
    <tabColor rgb="FF4361EE"/>
    <outlinePr summaryBelow="1" summaryRight="1"/>
    <pageSetUpPr/>
  </sheetPr>
  <dimension ref="B1:K54"/>
  <sheetViews>
    <sheetView showGridLines="0" workbookViewId="0">
      <selection activeCell="A1" sqref="A1"/>
    </sheetView>
  </sheetViews>
  <sheetFormatPr baseColWidth="8" defaultRowHeight="15"/>
  <cols>
    <col width="2" customWidth="1" min="1" max="1"/>
    <col width="6" customWidth="1" min="2" max="2"/>
    <col width="28" customWidth="1" min="3" max="3"/>
    <col width="22" customWidth="1" min="4" max="4"/>
    <col width="15" customWidth="1" min="5" max="5"/>
    <col width="12" customWidth="1" min="6" max="6"/>
    <col width="12" customWidth="1" min="7" max="7"/>
    <col width="15" customWidth="1" min="8" max="8"/>
    <col width="12" customWidth="1" min="9" max="9"/>
    <col width="14" customWidth="1" min="10" max="10"/>
    <col width="14" customWidth="1" min="11" max="11"/>
    <col width="2" customWidth="1" min="12" max="12"/>
  </cols>
  <sheetData>
    <row r="1" ht="48" customHeight="1">
      <c r="B1" s="35" t="inlineStr">
        <is>
          <t>📋  PROJECT TRACKER</t>
        </is>
      </c>
    </row>
    <row r="3" ht="24" customHeight="1">
      <c r="B3" s="25" t="inlineStr">
        <is>
          <t>#</t>
        </is>
      </c>
      <c r="C3" s="25" t="inlineStr">
        <is>
          <t>Project Name</t>
        </is>
      </c>
      <c r="D3" s="25" t="inlineStr">
        <is>
          <t>Client</t>
        </is>
      </c>
      <c r="E3" s="25" t="inlineStr">
        <is>
          <t>Category</t>
        </is>
      </c>
      <c r="F3" s="25" t="inlineStr">
        <is>
          <t>Status</t>
        </is>
      </c>
      <c r="G3" s="25" t="inlineStr">
        <is>
          <t>Start Date</t>
        </is>
      </c>
      <c r="H3" s="25" t="inlineStr">
        <is>
          <t>Deadline</t>
        </is>
      </c>
      <c r="I3" s="25" t="inlineStr">
        <is>
          <t>Value ($)</t>
        </is>
      </c>
      <c r="J3" s="25" t="inlineStr">
        <is>
          <t>% Done</t>
        </is>
      </c>
      <c r="K3" s="25" t="inlineStr">
        <is>
          <t>Notes</t>
        </is>
      </c>
    </row>
    <row r="4" ht="24" customHeight="1">
      <c r="B4" s="21" t="n">
        <v>1</v>
      </c>
      <c r="C4" s="29" t="inlineStr">
        <is>
          <t>Website Redesign</t>
        </is>
      </c>
      <c r="D4" s="26" t="inlineStr">
        <is>
          <t>TechStart Inc</t>
        </is>
      </c>
      <c r="E4" s="26" t="inlineStr">
        <is>
          <t>Web Design</t>
        </is>
      </c>
      <c r="F4" s="36" t="inlineStr">
        <is>
          <t>Active</t>
        </is>
      </c>
      <c r="G4" s="26" t="inlineStr">
        <is>
          <t>2026-01-15</t>
        </is>
      </c>
      <c r="H4" s="26" t="inlineStr">
        <is>
          <t>2026-03-01</t>
        </is>
      </c>
      <c r="I4" s="37" t="n">
        <v>3500</v>
      </c>
      <c r="J4" s="38" t="n">
        <v>0.75</v>
      </c>
      <c r="K4" s="39" t="n"/>
    </row>
    <row r="5" ht="24" customHeight="1">
      <c r="B5" s="17" t="n">
        <v>2</v>
      </c>
      <c r="C5" s="32" t="inlineStr">
        <is>
          <t>SEO Campaign</t>
        </is>
      </c>
      <c r="D5" s="26" t="inlineStr">
        <is>
          <t>Creative Agency</t>
        </is>
      </c>
      <c r="E5" s="26" t="inlineStr">
        <is>
          <t>SEO</t>
        </is>
      </c>
      <c r="F5" s="36" t="inlineStr">
        <is>
          <t>Active</t>
        </is>
      </c>
      <c r="G5" s="26" t="inlineStr">
        <is>
          <t>2026-02-01</t>
        </is>
      </c>
      <c r="H5" s="26" t="inlineStr">
        <is>
          <t>2026-04-30</t>
        </is>
      </c>
      <c r="I5" s="37" t="n">
        <v>1200</v>
      </c>
      <c r="J5" s="38" t="n">
        <v>0.4</v>
      </c>
      <c r="K5" s="40" t="n"/>
    </row>
    <row r="6" ht="24" customHeight="1">
      <c r="B6" s="21" t="n">
        <v>3</v>
      </c>
      <c r="C6" s="29" t="inlineStr">
        <is>
          <t>App Development</t>
        </is>
      </c>
      <c r="D6" s="26" t="inlineStr">
        <is>
          <t>EcomStore</t>
        </is>
      </c>
      <c r="E6" s="26" t="inlineStr">
        <is>
          <t>Development</t>
        </is>
      </c>
      <c r="F6" s="36" t="inlineStr">
        <is>
          <t>Active</t>
        </is>
      </c>
      <c r="G6" s="26" t="inlineStr">
        <is>
          <t>2026-01-20</t>
        </is>
      </c>
      <c r="H6" s="26" t="inlineStr">
        <is>
          <t>2026-05-15</t>
        </is>
      </c>
      <c r="I6" s="37" t="n">
        <v>8000</v>
      </c>
      <c r="J6" s="38" t="n">
        <v>0.25</v>
      </c>
      <c r="K6" s="39" t="n"/>
    </row>
    <row r="7" ht="24" customHeight="1">
      <c r="B7" s="17" t="n">
        <v>4</v>
      </c>
      <c r="C7" s="32" t="inlineStr">
        <is>
          <t>Content Writing</t>
        </is>
      </c>
      <c r="D7" s="26" t="inlineStr">
        <is>
          <t>FoodBrand</t>
        </is>
      </c>
      <c r="E7" s="26" t="inlineStr">
        <is>
          <t>Writing</t>
        </is>
      </c>
      <c r="F7" s="41" t="inlineStr">
        <is>
          <t>Completed</t>
        </is>
      </c>
      <c r="G7" s="26" t="inlineStr">
        <is>
          <t>2025-12-01</t>
        </is>
      </c>
      <c r="H7" s="26" t="inlineStr">
        <is>
          <t>2026-01-31</t>
        </is>
      </c>
      <c r="I7" s="37" t="n">
        <v>600</v>
      </c>
      <c r="J7" s="38" t="n">
        <v>1</v>
      </c>
      <c r="K7" s="40" t="n"/>
    </row>
    <row r="8" ht="24" customHeight="1">
      <c r="B8" s="21" t="n">
        <v>5</v>
      </c>
      <c r="C8" s="29" t="inlineStr">
        <is>
          <t>Social Media</t>
        </is>
      </c>
      <c r="D8" s="26" t="inlineStr">
        <is>
          <t>Startup Hub</t>
        </is>
      </c>
      <c r="E8" s="26" t="inlineStr">
        <is>
          <t>Social Media</t>
        </is>
      </c>
      <c r="F8" s="26" t="inlineStr">
        <is>
          <t>Planning</t>
        </is>
      </c>
      <c r="G8" s="26" t="inlineStr">
        <is>
          <t>2026-03-01</t>
        </is>
      </c>
      <c r="H8" s="26" t="inlineStr">
        <is>
          <t>2026-06-30</t>
        </is>
      </c>
      <c r="I8" s="37" t="n">
        <v>900</v>
      </c>
      <c r="J8" s="38" t="n">
        <v>0</v>
      </c>
      <c r="K8" s="39" t="n"/>
    </row>
    <row r="9" ht="22" customHeight="1">
      <c r="B9" s="17" t="n">
        <v>6</v>
      </c>
      <c r="C9" s="17" t="n"/>
      <c r="D9" s="26" t="n"/>
      <c r="E9" s="26" t="n"/>
      <c r="F9" s="26" t="n"/>
      <c r="G9" s="26" t="n"/>
      <c r="H9" s="26" t="n"/>
      <c r="I9" s="37" t="n">
        <v>0</v>
      </c>
      <c r="J9" s="26" t="n"/>
      <c r="K9" s="26" t="n"/>
    </row>
    <row r="10" ht="22" customHeight="1">
      <c r="B10" s="21" t="n">
        <v>7</v>
      </c>
      <c r="C10" s="21" t="n"/>
      <c r="D10" s="26" t="n"/>
      <c r="E10" s="26" t="n"/>
      <c r="F10" s="26" t="n"/>
      <c r="G10" s="26" t="n"/>
      <c r="H10" s="26" t="n"/>
      <c r="I10" s="37" t="n">
        <v>0</v>
      </c>
      <c r="J10" s="26" t="n"/>
      <c r="K10" s="26" t="n"/>
    </row>
    <row r="11" ht="22" customHeight="1">
      <c r="B11" s="17" t="n">
        <v>8</v>
      </c>
      <c r="C11" s="17" t="n"/>
      <c r="D11" s="26" t="n"/>
      <c r="E11" s="26" t="n"/>
      <c r="F11" s="26" t="n"/>
      <c r="G11" s="26" t="n"/>
      <c r="H11" s="26" t="n"/>
      <c r="I11" s="37" t="n">
        <v>0</v>
      </c>
      <c r="J11" s="26" t="n"/>
      <c r="K11" s="26" t="n"/>
    </row>
    <row r="12" ht="22" customHeight="1">
      <c r="B12" s="21" t="n">
        <v>9</v>
      </c>
      <c r="C12" s="21" t="n"/>
      <c r="D12" s="26" t="n"/>
      <c r="E12" s="26" t="n"/>
      <c r="F12" s="26" t="n"/>
      <c r="G12" s="26" t="n"/>
      <c r="H12" s="26" t="n"/>
      <c r="I12" s="37" t="n">
        <v>0</v>
      </c>
      <c r="J12" s="26" t="n"/>
      <c r="K12" s="26" t="n"/>
    </row>
    <row r="13" ht="22" customHeight="1">
      <c r="B13" s="17" t="n">
        <v>10</v>
      </c>
      <c r="C13" s="17" t="n"/>
      <c r="D13" s="26" t="n"/>
      <c r="E13" s="26" t="n"/>
      <c r="F13" s="26" t="n"/>
      <c r="G13" s="26" t="n"/>
      <c r="H13" s="26" t="n"/>
      <c r="I13" s="37" t="n">
        <v>0</v>
      </c>
      <c r="J13" s="26" t="n"/>
      <c r="K13" s="26" t="n"/>
    </row>
    <row r="14" ht="22" customHeight="1">
      <c r="B14" s="21" t="n">
        <v>11</v>
      </c>
      <c r="C14" s="21" t="n"/>
      <c r="D14" s="26" t="n"/>
      <c r="E14" s="26" t="n"/>
      <c r="F14" s="26" t="n"/>
      <c r="G14" s="26" t="n"/>
      <c r="H14" s="26" t="n"/>
      <c r="I14" s="37" t="n">
        <v>0</v>
      </c>
      <c r="J14" s="26" t="n"/>
      <c r="K14" s="26" t="n"/>
    </row>
    <row r="15" ht="22" customHeight="1">
      <c r="B15" s="17" t="n">
        <v>12</v>
      </c>
      <c r="C15" s="17" t="n"/>
      <c r="D15" s="26" t="n"/>
      <c r="E15" s="26" t="n"/>
      <c r="F15" s="26" t="n"/>
      <c r="G15" s="26" t="n"/>
      <c r="H15" s="26" t="n"/>
      <c r="I15" s="37" t="n">
        <v>0</v>
      </c>
      <c r="J15" s="26" t="n"/>
      <c r="K15" s="26" t="n"/>
    </row>
    <row r="16" ht="22" customHeight="1">
      <c r="B16" s="21" t="n">
        <v>13</v>
      </c>
      <c r="C16" s="21" t="n"/>
      <c r="D16" s="26" t="n"/>
      <c r="E16" s="26" t="n"/>
      <c r="F16" s="26" t="n"/>
      <c r="G16" s="26" t="n"/>
      <c r="H16" s="26" t="n"/>
      <c r="I16" s="37" t="n">
        <v>0</v>
      </c>
      <c r="J16" s="26" t="n"/>
      <c r="K16" s="26" t="n"/>
    </row>
    <row r="17" ht="22" customHeight="1">
      <c r="B17" s="17" t="n">
        <v>14</v>
      </c>
      <c r="C17" s="17" t="n"/>
      <c r="D17" s="26" t="n"/>
      <c r="E17" s="26" t="n"/>
      <c r="F17" s="26" t="n"/>
      <c r="G17" s="26" t="n"/>
      <c r="H17" s="26" t="n"/>
      <c r="I17" s="37" t="n">
        <v>0</v>
      </c>
      <c r="J17" s="26" t="n"/>
      <c r="K17" s="26" t="n"/>
    </row>
    <row r="18" ht="22" customHeight="1">
      <c r="B18" s="21" t="n">
        <v>15</v>
      </c>
      <c r="C18" s="21" t="n"/>
      <c r="D18" s="26" t="n"/>
      <c r="E18" s="26" t="n"/>
      <c r="F18" s="26" t="n"/>
      <c r="G18" s="26" t="n"/>
      <c r="H18" s="26" t="n"/>
      <c r="I18" s="37" t="n">
        <v>0</v>
      </c>
      <c r="J18" s="26" t="n"/>
      <c r="K18" s="26" t="n"/>
    </row>
    <row r="19" ht="22" customHeight="1">
      <c r="B19" s="17" t="n">
        <v>16</v>
      </c>
      <c r="C19" s="17" t="n"/>
      <c r="D19" s="26" t="n"/>
      <c r="E19" s="26" t="n"/>
      <c r="F19" s="26" t="n"/>
      <c r="G19" s="26" t="n"/>
      <c r="H19" s="26" t="n"/>
      <c r="I19" s="37" t="n">
        <v>0</v>
      </c>
      <c r="J19" s="26" t="n"/>
      <c r="K19" s="26" t="n"/>
    </row>
    <row r="20" ht="22" customHeight="1">
      <c r="B20" s="21" t="n">
        <v>17</v>
      </c>
      <c r="C20" s="21" t="n"/>
      <c r="D20" s="26" t="n"/>
      <c r="E20" s="26" t="n"/>
      <c r="F20" s="26" t="n"/>
      <c r="G20" s="26" t="n"/>
      <c r="H20" s="26" t="n"/>
      <c r="I20" s="37" t="n">
        <v>0</v>
      </c>
      <c r="J20" s="26" t="n"/>
      <c r="K20" s="26" t="n"/>
    </row>
    <row r="21" ht="22" customHeight="1">
      <c r="B21" s="17" t="n">
        <v>18</v>
      </c>
      <c r="C21" s="17" t="n"/>
      <c r="D21" s="26" t="n"/>
      <c r="E21" s="26" t="n"/>
      <c r="F21" s="26" t="n"/>
      <c r="G21" s="26" t="n"/>
      <c r="H21" s="26" t="n"/>
      <c r="I21" s="37" t="n">
        <v>0</v>
      </c>
      <c r="J21" s="26" t="n"/>
      <c r="K21" s="26" t="n"/>
    </row>
    <row r="22" ht="22" customHeight="1">
      <c r="B22" s="21" t="n">
        <v>19</v>
      </c>
      <c r="C22" s="21" t="n"/>
      <c r="D22" s="26" t="n"/>
      <c r="E22" s="26" t="n"/>
      <c r="F22" s="26" t="n"/>
      <c r="G22" s="26" t="n"/>
      <c r="H22" s="26" t="n"/>
      <c r="I22" s="37" t="n">
        <v>0</v>
      </c>
      <c r="J22" s="26" t="n"/>
      <c r="K22" s="26" t="n"/>
    </row>
    <row r="23" ht="22" customHeight="1">
      <c r="B23" s="17" t="n">
        <v>20</v>
      </c>
      <c r="C23" s="17" t="n"/>
      <c r="D23" s="26" t="n"/>
      <c r="E23" s="26" t="n"/>
      <c r="F23" s="26" t="n"/>
      <c r="G23" s="26" t="n"/>
      <c r="H23" s="26" t="n"/>
      <c r="I23" s="37" t="n">
        <v>0</v>
      </c>
      <c r="J23" s="26" t="n"/>
      <c r="K23" s="26" t="n"/>
    </row>
    <row r="24" ht="22" customHeight="1">
      <c r="B24" s="21" t="n">
        <v>21</v>
      </c>
      <c r="C24" s="21" t="n"/>
      <c r="D24" s="26" t="n"/>
      <c r="E24" s="26" t="n"/>
      <c r="F24" s="26" t="n"/>
      <c r="G24" s="26" t="n"/>
      <c r="H24" s="26" t="n"/>
      <c r="I24" s="37" t="n">
        <v>0</v>
      </c>
      <c r="J24" s="26" t="n"/>
      <c r="K24" s="26" t="n"/>
    </row>
    <row r="25" ht="22" customHeight="1">
      <c r="B25" s="17" t="n">
        <v>22</v>
      </c>
      <c r="C25" s="17" t="n"/>
      <c r="D25" s="26" t="n"/>
      <c r="E25" s="26" t="n"/>
      <c r="F25" s="26" t="n"/>
      <c r="G25" s="26" t="n"/>
      <c r="H25" s="26" t="n"/>
      <c r="I25" s="37" t="n">
        <v>0</v>
      </c>
      <c r="J25" s="26" t="n"/>
      <c r="K25" s="26" t="n"/>
    </row>
    <row r="26" ht="22" customHeight="1">
      <c r="B26" s="21" t="n">
        <v>23</v>
      </c>
      <c r="C26" s="21" t="n"/>
      <c r="D26" s="26" t="n"/>
      <c r="E26" s="26" t="n"/>
      <c r="F26" s="26" t="n"/>
      <c r="G26" s="26" t="n"/>
      <c r="H26" s="26" t="n"/>
      <c r="I26" s="37" t="n">
        <v>0</v>
      </c>
      <c r="J26" s="26" t="n"/>
      <c r="K26" s="26" t="n"/>
    </row>
    <row r="27" ht="22" customHeight="1">
      <c r="B27" s="17" t="n">
        <v>24</v>
      </c>
      <c r="C27" s="17" t="n"/>
      <c r="D27" s="26" t="n"/>
      <c r="E27" s="26" t="n"/>
      <c r="F27" s="26" t="n"/>
      <c r="G27" s="26" t="n"/>
      <c r="H27" s="26" t="n"/>
      <c r="I27" s="37" t="n">
        <v>0</v>
      </c>
      <c r="J27" s="26" t="n"/>
      <c r="K27" s="26" t="n"/>
    </row>
    <row r="28" ht="22" customHeight="1">
      <c r="B28" s="21" t="n">
        <v>25</v>
      </c>
      <c r="C28" s="21" t="n"/>
      <c r="D28" s="26" t="n"/>
      <c r="E28" s="26" t="n"/>
      <c r="F28" s="26" t="n"/>
      <c r="G28" s="26" t="n"/>
      <c r="H28" s="26" t="n"/>
      <c r="I28" s="37" t="n">
        <v>0</v>
      </c>
      <c r="J28" s="26" t="n"/>
      <c r="K28" s="26" t="n"/>
    </row>
    <row r="29" ht="22" customHeight="1">
      <c r="B29" s="17" t="n">
        <v>26</v>
      </c>
      <c r="C29" s="17" t="n"/>
      <c r="D29" s="26" t="n"/>
      <c r="E29" s="26" t="n"/>
      <c r="F29" s="26" t="n"/>
      <c r="G29" s="26" t="n"/>
      <c r="H29" s="26" t="n"/>
      <c r="I29" s="37" t="n">
        <v>0</v>
      </c>
      <c r="J29" s="26" t="n"/>
      <c r="K29" s="26" t="n"/>
    </row>
    <row r="30" ht="22" customHeight="1">
      <c r="B30" s="21" t="n">
        <v>27</v>
      </c>
      <c r="C30" s="21" t="n"/>
      <c r="D30" s="26" t="n"/>
      <c r="E30" s="26" t="n"/>
      <c r="F30" s="26" t="n"/>
      <c r="G30" s="26" t="n"/>
      <c r="H30" s="26" t="n"/>
      <c r="I30" s="37" t="n">
        <v>0</v>
      </c>
      <c r="J30" s="26" t="n"/>
      <c r="K30" s="26" t="n"/>
    </row>
    <row r="31" ht="22" customHeight="1">
      <c r="B31" s="17" t="n">
        <v>28</v>
      </c>
      <c r="C31" s="17" t="n"/>
      <c r="D31" s="26" t="n"/>
      <c r="E31" s="26" t="n"/>
      <c r="F31" s="26" t="n"/>
      <c r="G31" s="26" t="n"/>
      <c r="H31" s="26" t="n"/>
      <c r="I31" s="37" t="n">
        <v>0</v>
      </c>
      <c r="J31" s="26" t="n"/>
      <c r="K31" s="26" t="n"/>
    </row>
    <row r="32" ht="22" customHeight="1">
      <c r="B32" s="21" t="n">
        <v>29</v>
      </c>
      <c r="C32" s="21" t="n"/>
      <c r="D32" s="26" t="n"/>
      <c r="E32" s="26" t="n"/>
      <c r="F32" s="26" t="n"/>
      <c r="G32" s="26" t="n"/>
      <c r="H32" s="26" t="n"/>
      <c r="I32" s="37" t="n">
        <v>0</v>
      </c>
      <c r="J32" s="26" t="n"/>
      <c r="K32" s="26" t="n"/>
    </row>
    <row r="33" ht="22" customHeight="1">
      <c r="B33" s="17" t="n">
        <v>30</v>
      </c>
      <c r="C33" s="17" t="n"/>
      <c r="D33" s="26" t="n"/>
      <c r="E33" s="26" t="n"/>
      <c r="F33" s="26" t="n"/>
      <c r="G33" s="26" t="n"/>
      <c r="H33" s="26" t="n"/>
      <c r="I33" s="37" t="n">
        <v>0</v>
      </c>
      <c r="J33" s="26" t="n"/>
      <c r="K33" s="26" t="n"/>
    </row>
    <row r="34" ht="22" customHeight="1">
      <c r="B34" s="21" t="n">
        <v>31</v>
      </c>
      <c r="C34" s="21" t="n"/>
      <c r="D34" s="26" t="n"/>
      <c r="E34" s="26" t="n"/>
      <c r="F34" s="26" t="n"/>
      <c r="G34" s="26" t="n"/>
      <c r="H34" s="26" t="n"/>
      <c r="I34" s="37" t="n">
        <v>0</v>
      </c>
      <c r="J34" s="26" t="n"/>
      <c r="K34" s="26" t="n"/>
    </row>
    <row r="35" ht="22" customHeight="1">
      <c r="B35" s="17" t="n">
        <v>32</v>
      </c>
      <c r="C35" s="17" t="n"/>
      <c r="D35" s="26" t="n"/>
      <c r="E35" s="26" t="n"/>
      <c r="F35" s="26" t="n"/>
      <c r="G35" s="26" t="n"/>
      <c r="H35" s="26" t="n"/>
      <c r="I35" s="37" t="n">
        <v>0</v>
      </c>
      <c r="J35" s="26" t="n"/>
      <c r="K35" s="26" t="n"/>
    </row>
    <row r="36" ht="22" customHeight="1">
      <c r="B36" s="21" t="n">
        <v>33</v>
      </c>
      <c r="C36" s="21" t="n"/>
      <c r="D36" s="26" t="n"/>
      <c r="E36" s="26" t="n"/>
      <c r="F36" s="26" t="n"/>
      <c r="G36" s="26" t="n"/>
      <c r="H36" s="26" t="n"/>
      <c r="I36" s="37" t="n">
        <v>0</v>
      </c>
      <c r="J36" s="26" t="n"/>
      <c r="K36" s="26" t="n"/>
    </row>
    <row r="37" ht="22" customHeight="1">
      <c r="B37" s="17" t="n">
        <v>34</v>
      </c>
      <c r="C37" s="17" t="n"/>
      <c r="D37" s="26" t="n"/>
      <c r="E37" s="26" t="n"/>
      <c r="F37" s="26" t="n"/>
      <c r="G37" s="26" t="n"/>
      <c r="H37" s="26" t="n"/>
      <c r="I37" s="37" t="n">
        <v>0</v>
      </c>
      <c r="J37" s="26" t="n"/>
      <c r="K37" s="26" t="n"/>
    </row>
    <row r="38" ht="22" customHeight="1">
      <c r="B38" s="21" t="n">
        <v>35</v>
      </c>
      <c r="C38" s="21" t="n"/>
      <c r="D38" s="26" t="n"/>
      <c r="E38" s="26" t="n"/>
      <c r="F38" s="26" t="n"/>
      <c r="G38" s="26" t="n"/>
      <c r="H38" s="26" t="n"/>
      <c r="I38" s="37" t="n">
        <v>0</v>
      </c>
      <c r="J38" s="26" t="n"/>
      <c r="K38" s="26" t="n"/>
    </row>
    <row r="39" ht="22" customHeight="1">
      <c r="B39" s="17" t="n">
        <v>36</v>
      </c>
      <c r="C39" s="17" t="n"/>
      <c r="D39" s="26" t="n"/>
      <c r="E39" s="26" t="n"/>
      <c r="F39" s="26" t="n"/>
      <c r="G39" s="26" t="n"/>
      <c r="H39" s="26" t="n"/>
      <c r="I39" s="37" t="n">
        <v>0</v>
      </c>
      <c r="J39" s="26" t="n"/>
      <c r="K39" s="26" t="n"/>
    </row>
    <row r="40" ht="22" customHeight="1">
      <c r="B40" s="21" t="n">
        <v>37</v>
      </c>
      <c r="C40" s="21" t="n"/>
      <c r="D40" s="26" t="n"/>
      <c r="E40" s="26" t="n"/>
      <c r="F40" s="26" t="n"/>
      <c r="G40" s="26" t="n"/>
      <c r="H40" s="26" t="n"/>
      <c r="I40" s="37" t="n">
        <v>0</v>
      </c>
      <c r="J40" s="26" t="n"/>
      <c r="K40" s="26" t="n"/>
    </row>
    <row r="41" ht="22" customHeight="1">
      <c r="B41" s="17" t="n">
        <v>38</v>
      </c>
      <c r="C41" s="17" t="n"/>
      <c r="D41" s="26" t="n"/>
      <c r="E41" s="26" t="n"/>
      <c r="F41" s="26" t="n"/>
      <c r="G41" s="26" t="n"/>
      <c r="H41" s="26" t="n"/>
      <c r="I41" s="37" t="n">
        <v>0</v>
      </c>
      <c r="J41" s="26" t="n"/>
      <c r="K41" s="26" t="n"/>
    </row>
    <row r="42" ht="22" customHeight="1">
      <c r="B42" s="21" t="n">
        <v>39</v>
      </c>
      <c r="C42" s="21" t="n"/>
      <c r="D42" s="26" t="n"/>
      <c r="E42" s="26" t="n"/>
      <c r="F42" s="26" t="n"/>
      <c r="G42" s="26" t="n"/>
      <c r="H42" s="26" t="n"/>
      <c r="I42" s="37" t="n">
        <v>0</v>
      </c>
      <c r="J42" s="26" t="n"/>
      <c r="K42" s="26" t="n"/>
    </row>
    <row r="43" ht="22" customHeight="1">
      <c r="B43" s="17" t="n">
        <v>40</v>
      </c>
      <c r="C43" s="17" t="n"/>
      <c r="D43" s="26" t="n"/>
      <c r="E43" s="26" t="n"/>
      <c r="F43" s="26" t="n"/>
      <c r="G43" s="26" t="n"/>
      <c r="H43" s="26" t="n"/>
      <c r="I43" s="37" t="n">
        <v>0</v>
      </c>
      <c r="J43" s="26" t="n"/>
      <c r="K43" s="26" t="n"/>
    </row>
    <row r="44" ht="22" customHeight="1">
      <c r="B44" s="21" t="n">
        <v>41</v>
      </c>
      <c r="C44" s="21" t="n"/>
      <c r="D44" s="26" t="n"/>
      <c r="E44" s="26" t="n"/>
      <c r="F44" s="26" t="n"/>
      <c r="G44" s="26" t="n"/>
      <c r="H44" s="26" t="n"/>
      <c r="I44" s="37" t="n">
        <v>0</v>
      </c>
      <c r="J44" s="26" t="n"/>
      <c r="K44" s="26" t="n"/>
    </row>
    <row r="45" ht="22" customHeight="1">
      <c r="B45" s="17" t="n">
        <v>42</v>
      </c>
      <c r="C45" s="17" t="n"/>
      <c r="D45" s="26" t="n"/>
      <c r="E45" s="26" t="n"/>
      <c r="F45" s="26" t="n"/>
      <c r="G45" s="26" t="n"/>
      <c r="H45" s="26" t="n"/>
      <c r="I45" s="37" t="n">
        <v>0</v>
      </c>
      <c r="J45" s="26" t="n"/>
      <c r="K45" s="26" t="n"/>
    </row>
    <row r="46" ht="22" customHeight="1">
      <c r="B46" s="21" t="n">
        <v>43</v>
      </c>
      <c r="C46" s="21" t="n"/>
      <c r="D46" s="26" t="n"/>
      <c r="E46" s="26" t="n"/>
      <c r="F46" s="26" t="n"/>
      <c r="G46" s="26" t="n"/>
      <c r="H46" s="26" t="n"/>
      <c r="I46" s="37" t="n">
        <v>0</v>
      </c>
      <c r="J46" s="26" t="n"/>
      <c r="K46" s="26" t="n"/>
    </row>
    <row r="47" ht="22" customHeight="1">
      <c r="B47" s="17" t="n">
        <v>44</v>
      </c>
      <c r="C47" s="17" t="n"/>
      <c r="D47" s="26" t="n"/>
      <c r="E47" s="26" t="n"/>
      <c r="F47" s="26" t="n"/>
      <c r="G47" s="26" t="n"/>
      <c r="H47" s="26" t="n"/>
      <c r="I47" s="37" t="n">
        <v>0</v>
      </c>
      <c r="J47" s="26" t="n"/>
      <c r="K47" s="26" t="n"/>
    </row>
    <row r="48" ht="22" customHeight="1">
      <c r="B48" s="21" t="n">
        <v>45</v>
      </c>
      <c r="C48" s="21" t="n"/>
      <c r="D48" s="26" t="n"/>
      <c r="E48" s="26" t="n"/>
      <c r="F48" s="26" t="n"/>
      <c r="G48" s="26" t="n"/>
      <c r="H48" s="26" t="n"/>
      <c r="I48" s="37" t="n">
        <v>0</v>
      </c>
      <c r="J48" s="26" t="n"/>
      <c r="K48" s="26" t="n"/>
    </row>
    <row r="49" ht="22" customHeight="1">
      <c r="B49" s="17" t="n">
        <v>46</v>
      </c>
      <c r="C49" s="17" t="n"/>
      <c r="D49" s="26" t="n"/>
      <c r="E49" s="26" t="n"/>
      <c r="F49" s="26" t="n"/>
      <c r="G49" s="26" t="n"/>
      <c r="H49" s="26" t="n"/>
      <c r="I49" s="37" t="n">
        <v>0</v>
      </c>
      <c r="J49" s="26" t="n"/>
      <c r="K49" s="26" t="n"/>
    </row>
    <row r="50" ht="22" customHeight="1">
      <c r="B50" s="21" t="n">
        <v>47</v>
      </c>
      <c r="C50" s="21" t="n"/>
      <c r="D50" s="26" t="n"/>
      <c r="E50" s="26" t="n"/>
      <c r="F50" s="26" t="n"/>
      <c r="G50" s="26" t="n"/>
      <c r="H50" s="26" t="n"/>
      <c r="I50" s="37" t="n">
        <v>0</v>
      </c>
      <c r="J50" s="26" t="n"/>
      <c r="K50" s="26" t="n"/>
    </row>
    <row r="51" ht="22" customHeight="1">
      <c r="B51" s="17" t="n">
        <v>48</v>
      </c>
      <c r="C51" s="17" t="n"/>
      <c r="D51" s="26" t="n"/>
      <c r="E51" s="26" t="n"/>
      <c r="F51" s="26" t="n"/>
      <c r="G51" s="26" t="n"/>
      <c r="H51" s="26" t="n"/>
      <c r="I51" s="37" t="n">
        <v>0</v>
      </c>
      <c r="J51" s="26" t="n"/>
      <c r="K51" s="26" t="n"/>
    </row>
    <row r="52" ht="22" customHeight="1">
      <c r="B52" s="21" t="n">
        <v>49</v>
      </c>
      <c r="C52" s="21" t="n"/>
      <c r="D52" s="26" t="n"/>
      <c r="E52" s="26" t="n"/>
      <c r="F52" s="26" t="n"/>
      <c r="G52" s="26" t="n"/>
      <c r="H52" s="26" t="n"/>
      <c r="I52" s="37" t="n">
        <v>0</v>
      </c>
      <c r="J52" s="26" t="n"/>
      <c r="K52" s="26" t="n"/>
    </row>
    <row r="53" ht="22" customHeight="1">
      <c r="B53" s="17" t="n">
        <v>50</v>
      </c>
      <c r="C53" s="17" t="n"/>
      <c r="D53" s="26" t="n"/>
      <c r="E53" s="26" t="n"/>
      <c r="F53" s="26" t="n"/>
      <c r="G53" s="26" t="n"/>
      <c r="H53" s="26" t="n"/>
      <c r="I53" s="37" t="n">
        <v>0</v>
      </c>
      <c r="J53" s="26" t="n"/>
      <c r="K53" s="26" t="n"/>
    </row>
    <row r="54" ht="28" customHeight="1">
      <c r="B54" s="42" t="inlineStr"/>
      <c r="C54" s="13" t="inlineStr">
        <is>
          <t>TOTALS</t>
        </is>
      </c>
      <c r="I54" s="43">
        <f>SUM(I4:I53)</f>
        <v/>
      </c>
      <c r="J54" s="44">
        <f>AVERAGE(J4:J53)</f>
        <v/>
      </c>
    </row>
  </sheetData>
  <mergeCells count="2">
    <mergeCell ref="C54:H54"/>
    <mergeCell ref="B1:K1"/>
  </mergeCells>
  <dataValidations count="2">
    <dataValidation sqref="F4 F5 F6 F7 F8" showDropDown="0" showInputMessage="0" showErrorMessage="0" allowBlank="1" type="list">
      <formula1>"Active,Completed,On Hold,Cancelled,Planning"</formula1>
    </dataValidation>
    <dataValidation sqref="E4 E5 E6 E7 E8" showDropDown="0" showInputMessage="0" showErrorMessage="0" allowBlank="1" type="list">
      <formula1>"Web Design,Development,Marketing,Consulting,Writing,Video,SEO,Social Media,Other"</formula1>
    </dataValidation>
  </dataValidations>
  <pageMargins left="0.75" right="0.75" top="1" bottom="1" header="0.5" footer="0.5"/>
</worksheet>
</file>

<file path=xl/worksheets/sheet4.xml><?xml version="1.0" encoding="utf-8"?>
<worksheet xmlns="http://schemas.openxmlformats.org/spreadsheetml/2006/main">
  <sheetPr>
    <tabColor rgb="FFFB8500"/>
    <outlinePr summaryBelow="1" summaryRight="1"/>
    <pageSetUpPr/>
  </sheetPr>
  <dimension ref="B1:I56"/>
  <sheetViews>
    <sheetView showGridLines="0" workbookViewId="0">
      <selection activeCell="A1" sqref="A1"/>
    </sheetView>
  </sheetViews>
  <sheetFormatPr baseColWidth="8" defaultRowHeight="15"/>
  <cols>
    <col width="2" customWidth="1" min="1" max="1"/>
    <col width="12" customWidth="1" min="2" max="2"/>
    <col width="22" customWidth="1" min="3" max="3"/>
    <col width="22" customWidth="1" min="4" max="4"/>
    <col width="18" customWidth="1" min="5" max="5"/>
    <col width="14" customWidth="1" min="6" max="6"/>
    <col width="14" customWidth="1" min="7" max="7"/>
    <col width="14" customWidth="1" min="8" max="8"/>
    <col width="16" customWidth="1" min="9" max="9"/>
    <col width="2" customWidth="1" min="10" max="10"/>
  </cols>
  <sheetData>
    <row r="1" ht="48" customHeight="1">
      <c r="B1" s="45" t="inlineStr">
        <is>
          <t>🧾  INVOICE TRACKER</t>
        </is>
      </c>
    </row>
    <row r="3" ht="24" customHeight="1">
      <c r="B3" s="25" t="inlineStr">
        <is>
          <t>Invoice #</t>
        </is>
      </c>
      <c r="C3" s="25" t="inlineStr">
        <is>
          <t>Client</t>
        </is>
      </c>
      <c r="D3" s="25" t="inlineStr">
        <is>
          <t>Project</t>
        </is>
      </c>
      <c r="E3" s="25" t="inlineStr">
        <is>
          <t>Amount</t>
        </is>
      </c>
      <c r="F3" s="25" t="inlineStr">
        <is>
          <t>Date Sent</t>
        </is>
      </c>
      <c r="G3" s="25" t="inlineStr">
        <is>
          <t>Due Date</t>
        </is>
      </c>
      <c r="H3" s="25" t="inlineStr">
        <is>
          <t>Status</t>
        </is>
      </c>
      <c r="I3" s="25" t="inlineStr">
        <is>
          <t>Days Overdue</t>
        </is>
      </c>
    </row>
    <row r="4" ht="24" customHeight="1">
      <c r="B4" s="18" t="inlineStr">
        <is>
          <t>INV-001</t>
        </is>
      </c>
      <c r="C4" s="26" t="inlineStr">
        <is>
          <t>TechStart Inc</t>
        </is>
      </c>
      <c r="D4" s="26" t="inlineStr">
        <is>
          <t>Website Redesign</t>
        </is>
      </c>
      <c r="E4" s="46" t="n">
        <v>1750</v>
      </c>
      <c r="F4" s="26" t="inlineStr">
        <is>
          <t>2026-01-15</t>
        </is>
      </c>
      <c r="G4" s="26" t="inlineStr">
        <is>
          <t>2026-01-29</t>
        </is>
      </c>
      <c r="H4" s="41" t="inlineStr">
        <is>
          <t>Paid</t>
        </is>
      </c>
      <c r="I4" s="47">
        <f>IF(H4="Paid","✅",IF(TODAY()&gt;G4,TODAY()-G4,"On time"))</f>
        <v/>
      </c>
    </row>
    <row r="5" ht="24" customHeight="1">
      <c r="B5" s="14" t="inlineStr">
        <is>
          <t>INV-002</t>
        </is>
      </c>
      <c r="C5" s="26" t="inlineStr">
        <is>
          <t>Creative Agency</t>
        </is>
      </c>
      <c r="D5" s="26" t="inlineStr">
        <is>
          <t>SEO Campaign</t>
        </is>
      </c>
      <c r="E5" s="46" t="n">
        <v>600</v>
      </c>
      <c r="F5" s="26" t="inlineStr">
        <is>
          <t>2026-02-01</t>
        </is>
      </c>
      <c r="G5" s="26" t="inlineStr">
        <is>
          <t>2026-02-15</t>
        </is>
      </c>
      <c r="H5" s="48" t="inlineStr">
        <is>
          <t>Unpaid</t>
        </is>
      </c>
      <c r="I5" s="49">
        <f>IF(H5="Paid","✅",IF(TODAY()&gt;G5,TODAY()-G5,"On time"))</f>
        <v/>
      </c>
    </row>
    <row r="6" ht="24" customHeight="1">
      <c r="B6" s="18" t="inlineStr">
        <is>
          <t>INV-003</t>
        </is>
      </c>
      <c r="C6" s="26" t="inlineStr">
        <is>
          <t>EcomStore</t>
        </is>
      </c>
      <c r="D6" s="26" t="inlineStr">
        <is>
          <t>App Development</t>
        </is>
      </c>
      <c r="E6" s="46" t="n">
        <v>2000</v>
      </c>
      <c r="F6" s="26" t="inlineStr">
        <is>
          <t>2026-02-10</t>
        </is>
      </c>
      <c r="G6" s="26" t="inlineStr">
        <is>
          <t>2026-02-24</t>
        </is>
      </c>
      <c r="H6" s="50" t="inlineStr">
        <is>
          <t>Overdue</t>
        </is>
      </c>
      <c r="I6" s="47">
        <f>IF(H6="Paid","✅",IF(TODAY()&gt;G6,TODAY()-G6,"On time"))</f>
        <v/>
      </c>
    </row>
    <row r="7" ht="24" customHeight="1">
      <c r="B7" s="14" t="inlineStr">
        <is>
          <t>INV-004</t>
        </is>
      </c>
      <c r="C7" s="26" t="inlineStr">
        <is>
          <t>FoodBrand</t>
        </is>
      </c>
      <c r="D7" s="26" t="inlineStr">
        <is>
          <t>Content Writing</t>
        </is>
      </c>
      <c r="E7" s="46" t="n">
        <v>600</v>
      </c>
      <c r="F7" s="26" t="inlineStr">
        <is>
          <t>2026-01-31</t>
        </is>
      </c>
      <c r="G7" s="26" t="inlineStr">
        <is>
          <t>2026-02-14</t>
        </is>
      </c>
      <c r="H7" s="41" t="inlineStr">
        <is>
          <t>Paid</t>
        </is>
      </c>
      <c r="I7" s="49">
        <f>IF(H7="Paid","✅",IF(TODAY()&gt;G7,TODAY()-G7,"On time"))</f>
        <v/>
      </c>
    </row>
    <row r="8" ht="24" customHeight="1">
      <c r="B8" s="18" t="inlineStr">
        <is>
          <t>INV-005</t>
        </is>
      </c>
      <c r="C8" s="26" t="inlineStr">
        <is>
          <t>Startup Hub</t>
        </is>
      </c>
      <c r="D8" s="26" t="inlineStr">
        <is>
          <t>Social Media</t>
        </is>
      </c>
      <c r="E8" s="46" t="n">
        <v>450</v>
      </c>
      <c r="F8" s="26" t="inlineStr">
        <is>
          <t>2026-03-01</t>
        </is>
      </c>
      <c r="G8" s="26" t="inlineStr">
        <is>
          <t>2026-03-15</t>
        </is>
      </c>
      <c r="H8" s="48" t="inlineStr">
        <is>
          <t>Unpaid</t>
        </is>
      </c>
      <c r="I8" s="47">
        <f>IF(H8="Paid","✅",IF(TODAY()&gt;G8,TODAY()-G8,"On time"))</f>
        <v/>
      </c>
    </row>
    <row r="9" ht="22" customHeight="1">
      <c r="B9" s="17" t="n"/>
      <c r="C9" s="26" t="n"/>
      <c r="D9" s="26" t="n"/>
      <c r="E9" s="46" t="n">
        <v>0</v>
      </c>
      <c r="F9" s="26" t="n"/>
      <c r="G9" s="26" t="n"/>
      <c r="H9" s="26" t="inlineStr">
        <is>
          <t>Unpaid</t>
        </is>
      </c>
      <c r="I9">
        <f>IF(E9=0,"",IF(H9="Paid","✅",IF(TODAY()&gt;G9,TODAY()-G9,"On time")))</f>
        <v/>
      </c>
    </row>
    <row r="10" ht="22" customHeight="1">
      <c r="B10" s="21" t="n"/>
      <c r="C10" s="26" t="n"/>
      <c r="D10" s="26" t="n"/>
      <c r="E10" s="46" t="n">
        <v>0</v>
      </c>
      <c r="F10" s="26" t="n"/>
      <c r="G10" s="26" t="n"/>
      <c r="H10" s="26" t="inlineStr">
        <is>
          <t>Unpaid</t>
        </is>
      </c>
      <c r="I10">
        <f>IF(E10=0,"",IF(H10="Paid","✅",IF(TODAY()&gt;G10,TODAY()-G10,"On time")))</f>
        <v/>
      </c>
    </row>
    <row r="11" ht="22" customHeight="1">
      <c r="B11" s="17" t="n"/>
      <c r="C11" s="26" t="n"/>
      <c r="D11" s="26" t="n"/>
      <c r="E11" s="46" t="n">
        <v>0</v>
      </c>
      <c r="F11" s="26" t="n"/>
      <c r="G11" s="26" t="n"/>
      <c r="H11" s="26" t="inlineStr">
        <is>
          <t>Unpaid</t>
        </is>
      </c>
      <c r="I11">
        <f>IF(E11=0,"",IF(H11="Paid","✅",IF(TODAY()&gt;G11,TODAY()-G11,"On time")))</f>
        <v/>
      </c>
    </row>
    <row r="12" ht="22" customHeight="1">
      <c r="B12" s="21" t="n"/>
      <c r="C12" s="26" t="n"/>
      <c r="D12" s="26" t="n"/>
      <c r="E12" s="46" t="n">
        <v>0</v>
      </c>
      <c r="F12" s="26" t="n"/>
      <c r="G12" s="26" t="n"/>
      <c r="H12" s="26" t="inlineStr">
        <is>
          <t>Unpaid</t>
        </is>
      </c>
      <c r="I12">
        <f>IF(E12=0,"",IF(H12="Paid","✅",IF(TODAY()&gt;G12,TODAY()-G12,"On time")))</f>
        <v/>
      </c>
    </row>
    <row r="13" ht="22" customHeight="1">
      <c r="B13" s="17" t="n"/>
      <c r="C13" s="26" t="n"/>
      <c r="D13" s="26" t="n"/>
      <c r="E13" s="46" t="n">
        <v>0</v>
      </c>
      <c r="F13" s="26" t="n"/>
      <c r="G13" s="26" t="n"/>
      <c r="H13" s="26" t="inlineStr">
        <is>
          <t>Unpaid</t>
        </is>
      </c>
      <c r="I13">
        <f>IF(E13=0,"",IF(H13="Paid","✅",IF(TODAY()&gt;G13,TODAY()-G13,"On time")))</f>
        <v/>
      </c>
    </row>
    <row r="14" ht="22" customHeight="1">
      <c r="B14" s="21" t="n"/>
      <c r="C14" s="26" t="n"/>
      <c r="D14" s="26" t="n"/>
      <c r="E14" s="46" t="n">
        <v>0</v>
      </c>
      <c r="F14" s="26" t="n"/>
      <c r="G14" s="26" t="n"/>
      <c r="H14" s="26" t="inlineStr">
        <is>
          <t>Unpaid</t>
        </is>
      </c>
      <c r="I14">
        <f>IF(E14=0,"",IF(H14="Paid","✅",IF(TODAY()&gt;G14,TODAY()-G14,"On time")))</f>
        <v/>
      </c>
    </row>
    <row r="15" ht="22" customHeight="1">
      <c r="B15" s="17" t="n"/>
      <c r="C15" s="26" t="n"/>
      <c r="D15" s="26" t="n"/>
      <c r="E15" s="46" t="n">
        <v>0</v>
      </c>
      <c r="F15" s="26" t="n"/>
      <c r="G15" s="26" t="n"/>
      <c r="H15" s="26" t="inlineStr">
        <is>
          <t>Unpaid</t>
        </is>
      </c>
      <c r="I15">
        <f>IF(E15=0,"",IF(H15="Paid","✅",IF(TODAY()&gt;G15,TODAY()-G15,"On time")))</f>
        <v/>
      </c>
    </row>
    <row r="16" ht="22" customHeight="1">
      <c r="B16" s="21" t="n"/>
      <c r="C16" s="26" t="n"/>
      <c r="D16" s="26" t="n"/>
      <c r="E16" s="46" t="n">
        <v>0</v>
      </c>
      <c r="F16" s="26" t="n"/>
      <c r="G16" s="26" t="n"/>
      <c r="H16" s="26" t="inlineStr">
        <is>
          <t>Unpaid</t>
        </is>
      </c>
      <c r="I16">
        <f>IF(E16=0,"",IF(H16="Paid","✅",IF(TODAY()&gt;G16,TODAY()-G16,"On time")))</f>
        <v/>
      </c>
    </row>
    <row r="17" ht="22" customHeight="1">
      <c r="B17" s="17" t="n"/>
      <c r="C17" s="26" t="n"/>
      <c r="D17" s="26" t="n"/>
      <c r="E17" s="46" t="n">
        <v>0</v>
      </c>
      <c r="F17" s="26" t="n"/>
      <c r="G17" s="26" t="n"/>
      <c r="H17" s="26" t="inlineStr">
        <is>
          <t>Unpaid</t>
        </is>
      </c>
      <c r="I17">
        <f>IF(E17=0,"",IF(H17="Paid","✅",IF(TODAY()&gt;G17,TODAY()-G17,"On time")))</f>
        <v/>
      </c>
    </row>
    <row r="18" ht="22" customHeight="1">
      <c r="B18" s="21" t="n"/>
      <c r="C18" s="26" t="n"/>
      <c r="D18" s="26" t="n"/>
      <c r="E18" s="46" t="n">
        <v>0</v>
      </c>
      <c r="F18" s="26" t="n"/>
      <c r="G18" s="26" t="n"/>
      <c r="H18" s="26" t="inlineStr">
        <is>
          <t>Unpaid</t>
        </is>
      </c>
      <c r="I18">
        <f>IF(E18=0,"",IF(H18="Paid","✅",IF(TODAY()&gt;G18,TODAY()-G18,"On time")))</f>
        <v/>
      </c>
    </row>
    <row r="19" ht="22" customHeight="1">
      <c r="B19" s="17" t="n"/>
      <c r="C19" s="26" t="n"/>
      <c r="D19" s="26" t="n"/>
      <c r="E19" s="46" t="n">
        <v>0</v>
      </c>
      <c r="F19" s="26" t="n"/>
      <c r="G19" s="26" t="n"/>
      <c r="H19" s="26" t="inlineStr">
        <is>
          <t>Unpaid</t>
        </is>
      </c>
      <c r="I19">
        <f>IF(E19=0,"",IF(H19="Paid","✅",IF(TODAY()&gt;G19,TODAY()-G19,"On time")))</f>
        <v/>
      </c>
    </row>
    <row r="20" ht="22" customHeight="1">
      <c r="B20" s="21" t="n"/>
      <c r="C20" s="26" t="n"/>
      <c r="D20" s="26" t="n"/>
      <c r="E20" s="46" t="n">
        <v>0</v>
      </c>
      <c r="F20" s="26" t="n"/>
      <c r="G20" s="26" t="n"/>
      <c r="H20" s="26" t="inlineStr">
        <is>
          <t>Unpaid</t>
        </is>
      </c>
      <c r="I20">
        <f>IF(E20=0,"",IF(H20="Paid","✅",IF(TODAY()&gt;G20,TODAY()-G20,"On time")))</f>
        <v/>
      </c>
    </row>
    <row r="21" ht="22" customHeight="1">
      <c r="B21" s="17" t="n"/>
      <c r="C21" s="26" t="n"/>
      <c r="D21" s="26" t="n"/>
      <c r="E21" s="46" t="n">
        <v>0</v>
      </c>
      <c r="F21" s="26" t="n"/>
      <c r="G21" s="26" t="n"/>
      <c r="H21" s="26" t="inlineStr">
        <is>
          <t>Unpaid</t>
        </is>
      </c>
      <c r="I21">
        <f>IF(E21=0,"",IF(H21="Paid","✅",IF(TODAY()&gt;G21,TODAY()-G21,"On time")))</f>
        <v/>
      </c>
    </row>
    <row r="22" ht="22" customHeight="1">
      <c r="B22" s="21" t="n"/>
      <c r="C22" s="26" t="n"/>
      <c r="D22" s="26" t="n"/>
      <c r="E22" s="46" t="n">
        <v>0</v>
      </c>
      <c r="F22" s="26" t="n"/>
      <c r="G22" s="26" t="n"/>
      <c r="H22" s="26" t="inlineStr">
        <is>
          <t>Unpaid</t>
        </is>
      </c>
      <c r="I22">
        <f>IF(E22=0,"",IF(H22="Paid","✅",IF(TODAY()&gt;G22,TODAY()-G22,"On time")))</f>
        <v/>
      </c>
    </row>
    <row r="23" ht="22" customHeight="1">
      <c r="B23" s="17" t="n"/>
      <c r="C23" s="26" t="n"/>
      <c r="D23" s="26" t="n"/>
      <c r="E23" s="46" t="n">
        <v>0</v>
      </c>
      <c r="F23" s="26" t="n"/>
      <c r="G23" s="26" t="n"/>
      <c r="H23" s="26" t="inlineStr">
        <is>
          <t>Unpaid</t>
        </is>
      </c>
      <c r="I23">
        <f>IF(E23=0,"",IF(H23="Paid","✅",IF(TODAY()&gt;G23,TODAY()-G23,"On time")))</f>
        <v/>
      </c>
    </row>
    <row r="24" ht="22" customHeight="1">
      <c r="B24" s="21" t="n"/>
      <c r="C24" s="26" t="n"/>
      <c r="D24" s="26" t="n"/>
      <c r="E24" s="46" t="n">
        <v>0</v>
      </c>
      <c r="F24" s="26" t="n"/>
      <c r="G24" s="26" t="n"/>
      <c r="H24" s="26" t="inlineStr">
        <is>
          <t>Unpaid</t>
        </is>
      </c>
      <c r="I24">
        <f>IF(E24=0,"",IF(H24="Paid","✅",IF(TODAY()&gt;G24,TODAY()-G24,"On time")))</f>
        <v/>
      </c>
    </row>
    <row r="25" ht="22" customHeight="1">
      <c r="B25" s="17" t="n"/>
      <c r="C25" s="26" t="n"/>
      <c r="D25" s="26" t="n"/>
      <c r="E25" s="46" t="n">
        <v>0</v>
      </c>
      <c r="F25" s="26" t="n"/>
      <c r="G25" s="26" t="n"/>
      <c r="H25" s="26" t="inlineStr">
        <is>
          <t>Unpaid</t>
        </is>
      </c>
      <c r="I25">
        <f>IF(E25=0,"",IF(H25="Paid","✅",IF(TODAY()&gt;G25,TODAY()-G25,"On time")))</f>
        <v/>
      </c>
    </row>
    <row r="26" ht="22" customHeight="1">
      <c r="B26" s="21" t="n"/>
      <c r="C26" s="26" t="n"/>
      <c r="D26" s="26" t="n"/>
      <c r="E26" s="46" t="n">
        <v>0</v>
      </c>
      <c r="F26" s="26" t="n"/>
      <c r="G26" s="26" t="n"/>
      <c r="H26" s="26" t="inlineStr">
        <is>
          <t>Unpaid</t>
        </is>
      </c>
      <c r="I26">
        <f>IF(E26=0,"",IF(H26="Paid","✅",IF(TODAY()&gt;G26,TODAY()-G26,"On time")))</f>
        <v/>
      </c>
    </row>
    <row r="27" ht="22" customHeight="1">
      <c r="B27" s="17" t="n"/>
      <c r="C27" s="26" t="n"/>
      <c r="D27" s="26" t="n"/>
      <c r="E27" s="46" t="n">
        <v>0</v>
      </c>
      <c r="F27" s="26" t="n"/>
      <c r="G27" s="26" t="n"/>
      <c r="H27" s="26" t="inlineStr">
        <is>
          <t>Unpaid</t>
        </is>
      </c>
      <c r="I27">
        <f>IF(E27=0,"",IF(H27="Paid","✅",IF(TODAY()&gt;G27,TODAY()-G27,"On time")))</f>
        <v/>
      </c>
    </row>
    <row r="28" ht="22" customHeight="1">
      <c r="B28" s="21" t="n"/>
      <c r="C28" s="26" t="n"/>
      <c r="D28" s="26" t="n"/>
      <c r="E28" s="46" t="n">
        <v>0</v>
      </c>
      <c r="F28" s="26" t="n"/>
      <c r="G28" s="26" t="n"/>
      <c r="H28" s="26" t="inlineStr">
        <is>
          <t>Unpaid</t>
        </is>
      </c>
      <c r="I28">
        <f>IF(E28=0,"",IF(H28="Paid","✅",IF(TODAY()&gt;G28,TODAY()-G28,"On time")))</f>
        <v/>
      </c>
    </row>
    <row r="29" ht="22" customHeight="1">
      <c r="B29" s="17" t="n"/>
      <c r="C29" s="26" t="n"/>
      <c r="D29" s="26" t="n"/>
      <c r="E29" s="46" t="n">
        <v>0</v>
      </c>
      <c r="F29" s="26" t="n"/>
      <c r="G29" s="26" t="n"/>
      <c r="H29" s="26" t="inlineStr">
        <is>
          <t>Unpaid</t>
        </is>
      </c>
      <c r="I29">
        <f>IF(E29=0,"",IF(H29="Paid","✅",IF(TODAY()&gt;G29,TODAY()-G29,"On time")))</f>
        <v/>
      </c>
    </row>
    <row r="30" ht="22" customHeight="1">
      <c r="B30" s="21" t="n"/>
      <c r="C30" s="26" t="n"/>
      <c r="D30" s="26" t="n"/>
      <c r="E30" s="46" t="n">
        <v>0</v>
      </c>
      <c r="F30" s="26" t="n"/>
      <c r="G30" s="26" t="n"/>
      <c r="H30" s="26" t="inlineStr">
        <is>
          <t>Unpaid</t>
        </is>
      </c>
      <c r="I30">
        <f>IF(E30=0,"",IF(H30="Paid","✅",IF(TODAY()&gt;G30,TODAY()-G30,"On time")))</f>
        <v/>
      </c>
    </row>
    <row r="31" ht="22" customHeight="1">
      <c r="B31" s="17" t="n"/>
      <c r="C31" s="26" t="n"/>
      <c r="D31" s="26" t="n"/>
      <c r="E31" s="46" t="n">
        <v>0</v>
      </c>
      <c r="F31" s="26" t="n"/>
      <c r="G31" s="26" t="n"/>
      <c r="H31" s="26" t="inlineStr">
        <is>
          <t>Unpaid</t>
        </is>
      </c>
      <c r="I31">
        <f>IF(E31=0,"",IF(H31="Paid","✅",IF(TODAY()&gt;G31,TODAY()-G31,"On time")))</f>
        <v/>
      </c>
    </row>
    <row r="32" ht="22" customHeight="1">
      <c r="B32" s="21" t="n"/>
      <c r="C32" s="26" t="n"/>
      <c r="D32" s="26" t="n"/>
      <c r="E32" s="46" t="n">
        <v>0</v>
      </c>
      <c r="F32" s="26" t="n"/>
      <c r="G32" s="26" t="n"/>
      <c r="H32" s="26" t="inlineStr">
        <is>
          <t>Unpaid</t>
        </is>
      </c>
      <c r="I32">
        <f>IF(E32=0,"",IF(H32="Paid","✅",IF(TODAY()&gt;G32,TODAY()-G32,"On time")))</f>
        <v/>
      </c>
    </row>
    <row r="33" ht="22" customHeight="1">
      <c r="B33" s="17" t="n"/>
      <c r="C33" s="26" t="n"/>
      <c r="D33" s="26" t="n"/>
      <c r="E33" s="46" t="n">
        <v>0</v>
      </c>
      <c r="F33" s="26" t="n"/>
      <c r="G33" s="26" t="n"/>
      <c r="H33" s="26" t="inlineStr">
        <is>
          <t>Unpaid</t>
        </is>
      </c>
      <c r="I33">
        <f>IF(E33=0,"",IF(H33="Paid","✅",IF(TODAY()&gt;G33,TODAY()-G33,"On time")))</f>
        <v/>
      </c>
    </row>
    <row r="34" ht="22" customHeight="1">
      <c r="B34" s="21" t="n"/>
      <c r="C34" s="26" t="n"/>
      <c r="D34" s="26" t="n"/>
      <c r="E34" s="46" t="n">
        <v>0</v>
      </c>
      <c r="F34" s="26" t="n"/>
      <c r="G34" s="26" t="n"/>
      <c r="H34" s="26" t="inlineStr">
        <is>
          <t>Unpaid</t>
        </is>
      </c>
      <c r="I34">
        <f>IF(E34=0,"",IF(H34="Paid","✅",IF(TODAY()&gt;G34,TODAY()-G34,"On time")))</f>
        <v/>
      </c>
    </row>
    <row r="35" ht="22" customHeight="1">
      <c r="B35" s="17" t="n"/>
      <c r="C35" s="26" t="n"/>
      <c r="D35" s="26" t="n"/>
      <c r="E35" s="46" t="n">
        <v>0</v>
      </c>
      <c r="F35" s="26" t="n"/>
      <c r="G35" s="26" t="n"/>
      <c r="H35" s="26" t="inlineStr">
        <is>
          <t>Unpaid</t>
        </is>
      </c>
      <c r="I35">
        <f>IF(E35=0,"",IF(H35="Paid","✅",IF(TODAY()&gt;G35,TODAY()-G35,"On time")))</f>
        <v/>
      </c>
    </row>
    <row r="36" ht="22" customHeight="1">
      <c r="B36" s="21" t="n"/>
      <c r="C36" s="26" t="n"/>
      <c r="D36" s="26" t="n"/>
      <c r="E36" s="46" t="n">
        <v>0</v>
      </c>
      <c r="F36" s="26" t="n"/>
      <c r="G36" s="26" t="n"/>
      <c r="H36" s="26" t="inlineStr">
        <is>
          <t>Unpaid</t>
        </is>
      </c>
      <c r="I36">
        <f>IF(E36=0,"",IF(H36="Paid","✅",IF(TODAY()&gt;G36,TODAY()-G36,"On time")))</f>
        <v/>
      </c>
    </row>
    <row r="37" ht="22" customHeight="1">
      <c r="B37" s="17" t="n"/>
      <c r="C37" s="26" t="n"/>
      <c r="D37" s="26" t="n"/>
      <c r="E37" s="46" t="n">
        <v>0</v>
      </c>
      <c r="F37" s="26" t="n"/>
      <c r="G37" s="26" t="n"/>
      <c r="H37" s="26" t="inlineStr">
        <is>
          <t>Unpaid</t>
        </is>
      </c>
      <c r="I37">
        <f>IF(E37=0,"",IF(H37="Paid","✅",IF(TODAY()&gt;G37,TODAY()-G37,"On time")))</f>
        <v/>
      </c>
    </row>
    <row r="38" ht="22" customHeight="1">
      <c r="B38" s="21" t="n"/>
      <c r="C38" s="26" t="n"/>
      <c r="D38" s="26" t="n"/>
      <c r="E38" s="46" t="n">
        <v>0</v>
      </c>
      <c r="F38" s="26" t="n"/>
      <c r="G38" s="26" t="n"/>
      <c r="H38" s="26" t="inlineStr">
        <is>
          <t>Unpaid</t>
        </is>
      </c>
      <c r="I38">
        <f>IF(E38=0,"",IF(H38="Paid","✅",IF(TODAY()&gt;G38,TODAY()-G38,"On time")))</f>
        <v/>
      </c>
    </row>
    <row r="39" ht="22" customHeight="1">
      <c r="B39" s="17" t="n"/>
      <c r="C39" s="26" t="n"/>
      <c r="D39" s="26" t="n"/>
      <c r="E39" s="46" t="n">
        <v>0</v>
      </c>
      <c r="F39" s="26" t="n"/>
      <c r="G39" s="26" t="n"/>
      <c r="H39" s="26" t="inlineStr">
        <is>
          <t>Unpaid</t>
        </is>
      </c>
      <c r="I39">
        <f>IF(E39=0,"",IF(H39="Paid","✅",IF(TODAY()&gt;G39,TODAY()-G39,"On time")))</f>
        <v/>
      </c>
    </row>
    <row r="40" ht="22" customHeight="1">
      <c r="B40" s="21" t="n"/>
      <c r="C40" s="26" t="n"/>
      <c r="D40" s="26" t="n"/>
      <c r="E40" s="46" t="n">
        <v>0</v>
      </c>
      <c r="F40" s="26" t="n"/>
      <c r="G40" s="26" t="n"/>
      <c r="H40" s="26" t="inlineStr">
        <is>
          <t>Unpaid</t>
        </is>
      </c>
      <c r="I40">
        <f>IF(E40=0,"",IF(H40="Paid","✅",IF(TODAY()&gt;G40,TODAY()-G40,"On time")))</f>
        <v/>
      </c>
    </row>
    <row r="41" ht="22" customHeight="1">
      <c r="B41" s="17" t="n"/>
      <c r="C41" s="26" t="n"/>
      <c r="D41" s="26" t="n"/>
      <c r="E41" s="46" t="n">
        <v>0</v>
      </c>
      <c r="F41" s="26" t="n"/>
      <c r="G41" s="26" t="n"/>
      <c r="H41" s="26" t="inlineStr">
        <is>
          <t>Unpaid</t>
        </is>
      </c>
      <c r="I41">
        <f>IF(E41=0,"",IF(H41="Paid","✅",IF(TODAY()&gt;G41,TODAY()-G41,"On time")))</f>
        <v/>
      </c>
    </row>
    <row r="42" ht="22" customHeight="1">
      <c r="B42" s="21" t="n"/>
      <c r="C42" s="26" t="n"/>
      <c r="D42" s="26" t="n"/>
      <c r="E42" s="46" t="n">
        <v>0</v>
      </c>
      <c r="F42" s="26" t="n"/>
      <c r="G42" s="26" t="n"/>
      <c r="H42" s="26" t="inlineStr">
        <is>
          <t>Unpaid</t>
        </is>
      </c>
      <c r="I42">
        <f>IF(E42=0,"",IF(H42="Paid","✅",IF(TODAY()&gt;G42,TODAY()-G42,"On time")))</f>
        <v/>
      </c>
    </row>
    <row r="43" ht="22" customHeight="1">
      <c r="B43" s="17" t="n"/>
      <c r="C43" s="26" t="n"/>
      <c r="D43" s="26" t="n"/>
      <c r="E43" s="46" t="n">
        <v>0</v>
      </c>
      <c r="F43" s="26" t="n"/>
      <c r="G43" s="26" t="n"/>
      <c r="H43" s="26" t="inlineStr">
        <is>
          <t>Unpaid</t>
        </is>
      </c>
      <c r="I43">
        <f>IF(E43=0,"",IF(H43="Paid","✅",IF(TODAY()&gt;G43,TODAY()-G43,"On time")))</f>
        <v/>
      </c>
    </row>
    <row r="44" ht="22" customHeight="1">
      <c r="B44" s="21" t="n"/>
      <c r="C44" s="26" t="n"/>
      <c r="D44" s="26" t="n"/>
      <c r="E44" s="46" t="n">
        <v>0</v>
      </c>
      <c r="F44" s="26" t="n"/>
      <c r="G44" s="26" t="n"/>
      <c r="H44" s="26" t="inlineStr">
        <is>
          <t>Unpaid</t>
        </is>
      </c>
      <c r="I44">
        <f>IF(E44=0,"",IF(H44="Paid","✅",IF(TODAY()&gt;G44,TODAY()-G44,"On time")))</f>
        <v/>
      </c>
    </row>
    <row r="45" ht="22" customHeight="1">
      <c r="B45" s="17" t="n"/>
      <c r="C45" s="26" t="n"/>
      <c r="D45" s="26" t="n"/>
      <c r="E45" s="46" t="n">
        <v>0</v>
      </c>
      <c r="F45" s="26" t="n"/>
      <c r="G45" s="26" t="n"/>
      <c r="H45" s="26" t="inlineStr">
        <is>
          <t>Unpaid</t>
        </is>
      </c>
      <c r="I45">
        <f>IF(E45=0,"",IF(H45="Paid","✅",IF(TODAY()&gt;G45,TODAY()-G45,"On time")))</f>
        <v/>
      </c>
    </row>
    <row r="46" ht="22" customHeight="1">
      <c r="B46" s="21" t="n"/>
      <c r="C46" s="26" t="n"/>
      <c r="D46" s="26" t="n"/>
      <c r="E46" s="46" t="n">
        <v>0</v>
      </c>
      <c r="F46" s="26" t="n"/>
      <c r="G46" s="26" t="n"/>
      <c r="H46" s="26" t="inlineStr">
        <is>
          <t>Unpaid</t>
        </is>
      </c>
      <c r="I46">
        <f>IF(E46=0,"",IF(H46="Paid","✅",IF(TODAY()&gt;G46,TODAY()-G46,"On time")))</f>
        <v/>
      </c>
    </row>
    <row r="47" ht="22" customHeight="1">
      <c r="B47" s="17" t="n"/>
      <c r="C47" s="26" t="n"/>
      <c r="D47" s="26" t="n"/>
      <c r="E47" s="46" t="n">
        <v>0</v>
      </c>
      <c r="F47" s="26" t="n"/>
      <c r="G47" s="26" t="n"/>
      <c r="H47" s="26" t="inlineStr">
        <is>
          <t>Unpaid</t>
        </is>
      </c>
      <c r="I47">
        <f>IF(E47=0,"",IF(H47="Paid","✅",IF(TODAY()&gt;G47,TODAY()-G47,"On time")))</f>
        <v/>
      </c>
    </row>
    <row r="48" ht="22" customHeight="1">
      <c r="B48" s="21" t="n"/>
      <c r="C48" s="26" t="n"/>
      <c r="D48" s="26" t="n"/>
      <c r="E48" s="46" t="n">
        <v>0</v>
      </c>
      <c r="F48" s="26" t="n"/>
      <c r="G48" s="26" t="n"/>
      <c r="H48" s="26" t="inlineStr">
        <is>
          <t>Unpaid</t>
        </is>
      </c>
      <c r="I48">
        <f>IF(E48=0,"",IF(H48="Paid","✅",IF(TODAY()&gt;G48,TODAY()-G48,"On time")))</f>
        <v/>
      </c>
    </row>
    <row r="49" ht="22" customHeight="1">
      <c r="B49" s="17" t="n"/>
      <c r="C49" s="26" t="n"/>
      <c r="D49" s="26" t="n"/>
      <c r="E49" s="46" t="n">
        <v>0</v>
      </c>
      <c r="F49" s="26" t="n"/>
      <c r="G49" s="26" t="n"/>
      <c r="H49" s="26" t="inlineStr">
        <is>
          <t>Unpaid</t>
        </is>
      </c>
      <c r="I49">
        <f>IF(E49=0,"",IF(H49="Paid","✅",IF(TODAY()&gt;G49,TODAY()-G49,"On time")))</f>
        <v/>
      </c>
    </row>
    <row r="50" ht="22" customHeight="1">
      <c r="B50" s="21" t="n"/>
      <c r="C50" s="26" t="n"/>
      <c r="D50" s="26" t="n"/>
      <c r="E50" s="46" t="n">
        <v>0</v>
      </c>
      <c r="F50" s="26" t="n"/>
      <c r="G50" s="26" t="n"/>
      <c r="H50" s="26" t="inlineStr">
        <is>
          <t>Unpaid</t>
        </is>
      </c>
      <c r="I50">
        <f>IF(E50=0,"",IF(H50="Paid","✅",IF(TODAY()&gt;G50,TODAY()-G50,"On time")))</f>
        <v/>
      </c>
    </row>
    <row r="51" ht="22" customHeight="1">
      <c r="B51" s="17" t="n"/>
      <c r="C51" s="26" t="n"/>
      <c r="D51" s="26" t="n"/>
      <c r="E51" s="46" t="n">
        <v>0</v>
      </c>
      <c r="F51" s="26" t="n"/>
      <c r="G51" s="26" t="n"/>
      <c r="H51" s="26" t="inlineStr">
        <is>
          <t>Unpaid</t>
        </is>
      </c>
      <c r="I51">
        <f>IF(E51=0,"",IF(H51="Paid","✅",IF(TODAY()&gt;G51,TODAY()-G51,"On time")))</f>
        <v/>
      </c>
    </row>
    <row r="52" ht="22" customHeight="1">
      <c r="B52" s="21" t="n"/>
      <c r="C52" s="26" t="n"/>
      <c r="D52" s="26" t="n"/>
      <c r="E52" s="46" t="n">
        <v>0</v>
      </c>
      <c r="F52" s="26" t="n"/>
      <c r="G52" s="26" t="n"/>
      <c r="H52" s="26" t="inlineStr">
        <is>
          <t>Unpaid</t>
        </is>
      </c>
      <c r="I52">
        <f>IF(E52=0,"",IF(H52="Paid","✅",IF(TODAY()&gt;G52,TODAY()-G52,"On time")))</f>
        <v/>
      </c>
    </row>
    <row r="53" ht="22" customHeight="1">
      <c r="B53" s="17" t="n"/>
      <c r="C53" s="26" t="n"/>
      <c r="D53" s="26" t="n"/>
      <c r="E53" s="46" t="n">
        <v>0</v>
      </c>
      <c r="F53" s="26" t="n"/>
      <c r="G53" s="26" t="n"/>
      <c r="H53" s="26" t="inlineStr">
        <is>
          <t>Unpaid</t>
        </is>
      </c>
      <c r="I53">
        <f>IF(E53=0,"",IF(H53="Paid","✅",IF(TODAY()&gt;G53,TODAY()-G53,"On time")))</f>
        <v/>
      </c>
    </row>
    <row r="55" ht="26" customHeight="1">
      <c r="B55" s="13" t="inlineStr">
        <is>
          <t>SUMMARY</t>
        </is>
      </c>
      <c r="E55" s="25" t="inlineStr">
        <is>
          <t>Total Invoiced</t>
        </is>
      </c>
      <c r="F55" s="25" t="inlineStr">
        <is>
          <t>Total Paid</t>
        </is>
      </c>
      <c r="G55" s="25" t="inlineStr">
        <is>
          <t>Total Unpaid</t>
        </is>
      </c>
      <c r="H55" s="25" t="inlineStr">
        <is>
          <t>Total Overdue</t>
        </is>
      </c>
    </row>
    <row r="56" ht="30" customHeight="1">
      <c r="E56" s="51">
        <f>SUM(E4:E53)</f>
        <v/>
      </c>
      <c r="F56" s="51">
        <f>SUMIF(H4:H53,"Paid",E4:E53)</f>
        <v/>
      </c>
      <c r="G56" s="51">
        <f>SUMIF(H4:H53,"Unpaid",E4:E53)</f>
        <v/>
      </c>
      <c r="H56" s="51">
        <f>SUMIF(H4:H53,"Overdue",E4:E53)</f>
        <v/>
      </c>
    </row>
  </sheetData>
  <mergeCells count="2">
    <mergeCell ref="B55:D55"/>
    <mergeCell ref="B1:I1"/>
  </mergeCells>
  <dataValidations count="1">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"Paid,Unpaid,Overdue,Partial,Cancelled"</formula1>
    </dataValidation>
  </dataValidations>
  <pageMargins left="0.75" right="0.75" top="1" bottom="1" header="0.5" footer="0.5"/>
</worksheet>
</file>

<file path=xl/worksheets/sheet5.xml><?xml version="1.0" encoding="utf-8"?>
<worksheet xmlns="http://schemas.openxmlformats.org/spreadsheetml/2006/main">
  <sheetPr>
    <tabColor rgb="FF06D6A0"/>
    <outlinePr summaryBelow="1" summaryRight="1"/>
    <pageSetUpPr/>
  </sheetPr>
  <dimension ref="B1:G54"/>
  <sheetViews>
    <sheetView showGridLines="0" workbookViewId="0">
      <selection activeCell="A1" sqref="A1"/>
    </sheetView>
  </sheetViews>
  <sheetFormatPr baseColWidth="8" defaultRowHeight="15"/>
  <cols>
    <col width="2" customWidth="1" min="1" max="1"/>
    <col width="12" customWidth="1" min="2" max="2"/>
    <col width="22" customWidth="1" min="3" max="3"/>
    <col width="22" customWidth="1" min="4" max="4"/>
    <col width="18" customWidth="1" min="5" max="5"/>
    <col width="16" customWidth="1" min="6" max="6"/>
    <col width="16" customWidth="1" min="7" max="7"/>
    <col width="2" customWidth="1" min="8" max="8"/>
  </cols>
  <sheetData>
    <row r="1" ht="48" customHeight="1">
      <c r="B1" s="52" t="inlineStr">
        <is>
          <t>💰  INCOME &amp; EXPENSE TRACKER</t>
        </is>
      </c>
    </row>
    <row r="3" ht="24" customHeight="1">
      <c r="B3" s="25" t="inlineStr">
        <is>
          <t>Date</t>
        </is>
      </c>
      <c r="C3" s="25" t="inlineStr">
        <is>
          <t>Description</t>
        </is>
      </c>
      <c r="D3" s="25" t="inlineStr">
        <is>
          <t>Client/Vendor</t>
        </is>
      </c>
      <c r="E3" s="25" t="inlineStr">
        <is>
          <t>Amount</t>
        </is>
      </c>
      <c r="F3" s="25" t="inlineStr">
        <is>
          <t>Type</t>
        </is>
      </c>
      <c r="G3" s="25" t="inlineStr">
        <is>
          <t>Category</t>
        </is>
      </c>
    </row>
    <row r="4" ht="22" customHeight="1">
      <c r="B4" s="26" t="inlineStr">
        <is>
          <t>2026-01-29</t>
        </is>
      </c>
      <c r="C4" s="26" t="inlineStr">
        <is>
          <t>Website Redesign P1</t>
        </is>
      </c>
      <c r="D4" s="26" t="inlineStr">
        <is>
          <t>TechStart Inc</t>
        </is>
      </c>
      <c r="E4" s="46" t="n">
        <v>1750</v>
      </c>
      <c r="F4" s="41" t="inlineStr">
        <is>
          <t>Income</t>
        </is>
      </c>
      <c r="G4" s="26" t="inlineStr">
        <is>
          <t>Project Payment</t>
        </is>
      </c>
    </row>
    <row r="5" ht="22" customHeight="1">
      <c r="B5" s="26" t="inlineStr">
        <is>
          <t>2026-01-31</t>
        </is>
      </c>
      <c r="C5" s="26" t="inlineStr">
        <is>
          <t>Adobe CC</t>
        </is>
      </c>
      <c r="D5" s="26" t="inlineStr">
        <is>
          <t>Adobe</t>
        </is>
      </c>
      <c r="E5" s="46" t="n">
        <v>54</v>
      </c>
      <c r="F5" s="50" t="inlineStr">
        <is>
          <t>Expense</t>
        </is>
      </c>
      <c r="G5" s="26" t="inlineStr">
        <is>
          <t>Software</t>
        </is>
      </c>
    </row>
    <row r="6" ht="22" customHeight="1">
      <c r="B6" s="26" t="inlineStr">
        <is>
          <t>2026-02-14</t>
        </is>
      </c>
      <c r="C6" s="26" t="inlineStr">
        <is>
          <t>Content Writing</t>
        </is>
      </c>
      <c r="D6" s="26" t="inlineStr">
        <is>
          <t>FoodBrand</t>
        </is>
      </c>
      <c r="E6" s="46" t="n">
        <v>600</v>
      </c>
      <c r="F6" s="41" t="inlineStr">
        <is>
          <t>Income</t>
        </is>
      </c>
      <c r="G6" s="26" t="inlineStr">
        <is>
          <t>Project Payment</t>
        </is>
      </c>
    </row>
    <row r="7" ht="22" customHeight="1">
      <c r="B7" s="26" t="inlineStr">
        <is>
          <t>2026-02-15</t>
        </is>
      </c>
      <c r="C7" s="26" t="inlineStr">
        <is>
          <t>Office Supplies</t>
        </is>
      </c>
      <c r="D7" s="26" t="inlineStr">
        <is>
          <t>Amazon</t>
        </is>
      </c>
      <c r="E7" s="46" t="n">
        <v>35</v>
      </c>
      <c r="F7" s="50" t="inlineStr">
        <is>
          <t>Expense</t>
        </is>
      </c>
      <c r="G7" s="26" t="inlineStr">
        <is>
          <t>Office</t>
        </is>
      </c>
    </row>
    <row r="8" ht="22" customHeight="1">
      <c r="B8" s="26" t="inlineStr">
        <is>
          <t>2026-02-20</t>
        </is>
      </c>
      <c r="C8" s="26" t="inlineStr">
        <is>
          <t>SEO Tools</t>
        </is>
      </c>
      <c r="D8" s="26" t="inlineStr">
        <is>
          <t>Ahrefs</t>
        </is>
      </c>
      <c r="E8" s="46" t="n">
        <v>99</v>
      </c>
      <c r="F8" s="50" t="inlineStr">
        <is>
          <t>Expense</t>
        </is>
      </c>
      <c r="G8" s="26" t="inlineStr">
        <is>
          <t>Software</t>
        </is>
      </c>
    </row>
    <row r="9" ht="22" customHeight="1">
      <c r="B9" s="26" t="inlineStr">
        <is>
          <t>2026-03-01</t>
        </is>
      </c>
      <c r="C9" s="26" t="inlineStr">
        <is>
          <t>Retainer Fee</t>
        </is>
      </c>
      <c r="D9" s="26" t="inlineStr">
        <is>
          <t>Creative Agency</t>
        </is>
      </c>
      <c r="E9" s="46" t="n">
        <v>500</v>
      </c>
      <c r="F9" s="41" t="inlineStr">
        <is>
          <t>Income</t>
        </is>
      </c>
      <c r="G9" s="26" t="inlineStr">
        <is>
          <t>Retainer</t>
        </is>
      </c>
    </row>
    <row r="10" ht="22" customHeight="1">
      <c r="B10" s="26" t="n"/>
      <c r="C10" s="26" t="n"/>
      <c r="D10" s="26" t="n"/>
      <c r="E10" s="46" t="n">
        <v>0</v>
      </c>
      <c r="F10" s="26" t="inlineStr">
        <is>
          <t>Income</t>
        </is>
      </c>
      <c r="G10" s="26" t="inlineStr">
        <is>
          <t>Project Payment</t>
        </is>
      </c>
    </row>
    <row r="11" ht="22" customHeight="1">
      <c r="B11" s="26" t="n"/>
      <c r="C11" s="26" t="n"/>
      <c r="D11" s="26" t="n"/>
      <c r="E11" s="46" t="n">
        <v>0</v>
      </c>
      <c r="F11" s="26" t="inlineStr">
        <is>
          <t>Income</t>
        </is>
      </c>
      <c r="G11" s="26" t="inlineStr">
        <is>
          <t>Project Payment</t>
        </is>
      </c>
    </row>
    <row r="12" ht="22" customHeight="1">
      <c r="B12" s="26" t="n"/>
      <c r="C12" s="26" t="n"/>
      <c r="D12" s="26" t="n"/>
      <c r="E12" s="46" t="n">
        <v>0</v>
      </c>
      <c r="F12" s="26" t="inlineStr">
        <is>
          <t>Income</t>
        </is>
      </c>
      <c r="G12" s="26" t="inlineStr">
        <is>
          <t>Project Payment</t>
        </is>
      </c>
    </row>
    <row r="13" ht="22" customHeight="1">
      <c r="B13" s="26" t="n"/>
      <c r="C13" s="26" t="n"/>
      <c r="D13" s="26" t="n"/>
      <c r="E13" s="46" t="n">
        <v>0</v>
      </c>
      <c r="F13" s="26" t="inlineStr">
        <is>
          <t>Income</t>
        </is>
      </c>
      <c r="G13" s="26" t="inlineStr">
        <is>
          <t>Project Payment</t>
        </is>
      </c>
    </row>
    <row r="14" ht="22" customHeight="1">
      <c r="B14" s="26" t="n"/>
      <c r="C14" s="26" t="n"/>
      <c r="D14" s="26" t="n"/>
      <c r="E14" s="46" t="n">
        <v>0</v>
      </c>
      <c r="F14" s="26" t="inlineStr">
        <is>
          <t>Income</t>
        </is>
      </c>
      <c r="G14" s="26" t="inlineStr">
        <is>
          <t>Project Payment</t>
        </is>
      </c>
    </row>
    <row r="15" ht="22" customHeight="1">
      <c r="B15" s="26" t="n"/>
      <c r="C15" s="26" t="n"/>
      <c r="D15" s="26" t="n"/>
      <c r="E15" s="46" t="n">
        <v>0</v>
      </c>
      <c r="F15" s="26" t="inlineStr">
        <is>
          <t>Income</t>
        </is>
      </c>
      <c r="G15" s="26" t="inlineStr">
        <is>
          <t>Project Payment</t>
        </is>
      </c>
    </row>
    <row r="16" ht="22" customHeight="1">
      <c r="B16" s="26" t="n"/>
      <c r="C16" s="26" t="n"/>
      <c r="D16" s="26" t="n"/>
      <c r="E16" s="46" t="n">
        <v>0</v>
      </c>
      <c r="F16" s="26" t="inlineStr">
        <is>
          <t>Income</t>
        </is>
      </c>
      <c r="G16" s="26" t="inlineStr">
        <is>
          <t>Project Payment</t>
        </is>
      </c>
    </row>
    <row r="17" ht="22" customHeight="1">
      <c r="B17" s="26" t="n"/>
      <c r="C17" s="26" t="n"/>
      <c r="D17" s="26" t="n"/>
      <c r="E17" s="46" t="n">
        <v>0</v>
      </c>
      <c r="F17" s="26" t="inlineStr">
        <is>
          <t>Income</t>
        </is>
      </c>
      <c r="G17" s="26" t="inlineStr">
        <is>
          <t>Project Payment</t>
        </is>
      </c>
    </row>
    <row r="18" ht="22" customHeight="1">
      <c r="B18" s="26" t="n"/>
      <c r="C18" s="26" t="n"/>
      <c r="D18" s="26" t="n"/>
      <c r="E18" s="46" t="n">
        <v>0</v>
      </c>
      <c r="F18" s="26" t="inlineStr">
        <is>
          <t>Income</t>
        </is>
      </c>
      <c r="G18" s="26" t="inlineStr">
        <is>
          <t>Project Payment</t>
        </is>
      </c>
    </row>
    <row r="19" ht="22" customHeight="1">
      <c r="B19" s="26" t="n"/>
      <c r="C19" s="26" t="n"/>
      <c r="D19" s="26" t="n"/>
      <c r="E19" s="46" t="n">
        <v>0</v>
      </c>
      <c r="F19" s="26" t="inlineStr">
        <is>
          <t>Income</t>
        </is>
      </c>
      <c r="G19" s="26" t="inlineStr">
        <is>
          <t>Project Payment</t>
        </is>
      </c>
    </row>
    <row r="20" ht="22" customHeight="1">
      <c r="B20" s="26" t="n"/>
      <c r="C20" s="26" t="n"/>
      <c r="D20" s="26" t="n"/>
      <c r="E20" s="46" t="n">
        <v>0</v>
      </c>
      <c r="F20" s="26" t="inlineStr">
        <is>
          <t>Income</t>
        </is>
      </c>
      <c r="G20" s="26" t="inlineStr">
        <is>
          <t>Project Payment</t>
        </is>
      </c>
    </row>
    <row r="21" ht="22" customHeight="1">
      <c r="B21" s="26" t="n"/>
      <c r="C21" s="26" t="n"/>
      <c r="D21" s="26" t="n"/>
      <c r="E21" s="46" t="n">
        <v>0</v>
      </c>
      <c r="F21" s="26" t="inlineStr">
        <is>
          <t>Income</t>
        </is>
      </c>
      <c r="G21" s="26" t="inlineStr">
        <is>
          <t>Project Payment</t>
        </is>
      </c>
    </row>
    <row r="22" ht="22" customHeight="1">
      <c r="B22" s="26" t="n"/>
      <c r="C22" s="26" t="n"/>
      <c r="D22" s="26" t="n"/>
      <c r="E22" s="46" t="n">
        <v>0</v>
      </c>
      <c r="F22" s="26" t="inlineStr">
        <is>
          <t>Income</t>
        </is>
      </c>
      <c r="G22" s="26" t="inlineStr">
        <is>
          <t>Project Payment</t>
        </is>
      </c>
    </row>
    <row r="23" ht="22" customHeight="1">
      <c r="B23" s="26" t="n"/>
      <c r="C23" s="26" t="n"/>
      <c r="D23" s="26" t="n"/>
      <c r="E23" s="46" t="n">
        <v>0</v>
      </c>
      <c r="F23" s="26" t="inlineStr">
        <is>
          <t>Income</t>
        </is>
      </c>
      <c r="G23" s="26" t="inlineStr">
        <is>
          <t>Project Payment</t>
        </is>
      </c>
    </row>
    <row r="24" ht="22" customHeight="1">
      <c r="B24" s="26" t="n"/>
      <c r="C24" s="26" t="n"/>
      <c r="D24" s="26" t="n"/>
      <c r="E24" s="46" t="n">
        <v>0</v>
      </c>
      <c r="F24" s="26" t="inlineStr">
        <is>
          <t>Income</t>
        </is>
      </c>
      <c r="G24" s="26" t="inlineStr">
        <is>
          <t>Project Payment</t>
        </is>
      </c>
    </row>
    <row r="25" ht="22" customHeight="1">
      <c r="B25" s="26" t="n"/>
      <c r="C25" s="26" t="n"/>
      <c r="D25" s="26" t="n"/>
      <c r="E25" s="46" t="n">
        <v>0</v>
      </c>
      <c r="F25" s="26" t="inlineStr">
        <is>
          <t>Income</t>
        </is>
      </c>
      <c r="G25" s="26" t="inlineStr">
        <is>
          <t>Project Payment</t>
        </is>
      </c>
    </row>
    <row r="26" ht="22" customHeight="1">
      <c r="B26" s="26" t="n"/>
      <c r="C26" s="26" t="n"/>
      <c r="D26" s="26" t="n"/>
      <c r="E26" s="46" t="n">
        <v>0</v>
      </c>
      <c r="F26" s="26" t="inlineStr">
        <is>
          <t>Income</t>
        </is>
      </c>
      <c r="G26" s="26" t="inlineStr">
        <is>
          <t>Project Payment</t>
        </is>
      </c>
    </row>
    <row r="27" ht="22" customHeight="1">
      <c r="B27" s="26" t="n"/>
      <c r="C27" s="26" t="n"/>
      <c r="D27" s="26" t="n"/>
      <c r="E27" s="46" t="n">
        <v>0</v>
      </c>
      <c r="F27" s="26" t="inlineStr">
        <is>
          <t>Income</t>
        </is>
      </c>
      <c r="G27" s="26" t="inlineStr">
        <is>
          <t>Project Payment</t>
        </is>
      </c>
    </row>
    <row r="28" ht="22" customHeight="1">
      <c r="B28" s="26" t="n"/>
      <c r="C28" s="26" t="n"/>
      <c r="D28" s="26" t="n"/>
      <c r="E28" s="46" t="n">
        <v>0</v>
      </c>
      <c r="F28" s="26" t="inlineStr">
        <is>
          <t>Income</t>
        </is>
      </c>
      <c r="G28" s="26" t="inlineStr">
        <is>
          <t>Project Payment</t>
        </is>
      </c>
    </row>
    <row r="29" ht="22" customHeight="1">
      <c r="B29" s="26" t="n"/>
      <c r="C29" s="26" t="n"/>
      <c r="D29" s="26" t="n"/>
      <c r="E29" s="46" t="n">
        <v>0</v>
      </c>
      <c r="F29" s="26" t="inlineStr">
        <is>
          <t>Income</t>
        </is>
      </c>
      <c r="G29" s="26" t="inlineStr">
        <is>
          <t>Project Payment</t>
        </is>
      </c>
    </row>
    <row r="30" ht="22" customHeight="1">
      <c r="B30" s="26" t="n"/>
      <c r="C30" s="26" t="n"/>
      <c r="D30" s="26" t="n"/>
      <c r="E30" s="46" t="n">
        <v>0</v>
      </c>
      <c r="F30" s="26" t="inlineStr">
        <is>
          <t>Income</t>
        </is>
      </c>
      <c r="G30" s="26" t="inlineStr">
        <is>
          <t>Project Payment</t>
        </is>
      </c>
    </row>
    <row r="31" ht="22" customHeight="1">
      <c r="B31" s="26" t="n"/>
      <c r="C31" s="26" t="n"/>
      <c r="D31" s="26" t="n"/>
      <c r="E31" s="46" t="n">
        <v>0</v>
      </c>
      <c r="F31" s="26" t="inlineStr">
        <is>
          <t>Income</t>
        </is>
      </c>
      <c r="G31" s="26" t="inlineStr">
        <is>
          <t>Project Payment</t>
        </is>
      </c>
    </row>
    <row r="32" ht="22" customHeight="1">
      <c r="B32" s="26" t="n"/>
      <c r="C32" s="26" t="n"/>
      <c r="D32" s="26" t="n"/>
      <c r="E32" s="46" t="n">
        <v>0</v>
      </c>
      <c r="F32" s="26" t="inlineStr">
        <is>
          <t>Income</t>
        </is>
      </c>
      <c r="G32" s="26" t="inlineStr">
        <is>
          <t>Project Payment</t>
        </is>
      </c>
    </row>
    <row r="33" ht="22" customHeight="1">
      <c r="B33" s="26" t="n"/>
      <c r="C33" s="26" t="n"/>
      <c r="D33" s="26" t="n"/>
      <c r="E33" s="46" t="n">
        <v>0</v>
      </c>
      <c r="F33" s="26" t="inlineStr">
        <is>
          <t>Income</t>
        </is>
      </c>
      <c r="G33" s="26" t="inlineStr">
        <is>
          <t>Project Payment</t>
        </is>
      </c>
    </row>
    <row r="34" ht="22" customHeight="1">
      <c r="B34" s="26" t="n"/>
      <c r="C34" s="26" t="n"/>
      <c r="D34" s="26" t="n"/>
      <c r="E34" s="46" t="n">
        <v>0</v>
      </c>
      <c r="F34" s="26" t="inlineStr">
        <is>
          <t>Income</t>
        </is>
      </c>
      <c r="G34" s="26" t="inlineStr">
        <is>
          <t>Project Payment</t>
        </is>
      </c>
    </row>
    <row r="35" ht="22" customHeight="1">
      <c r="B35" s="26" t="n"/>
      <c r="C35" s="26" t="n"/>
      <c r="D35" s="26" t="n"/>
      <c r="E35" s="46" t="n">
        <v>0</v>
      </c>
      <c r="F35" s="26" t="inlineStr">
        <is>
          <t>Income</t>
        </is>
      </c>
      <c r="G35" s="26" t="inlineStr">
        <is>
          <t>Project Payment</t>
        </is>
      </c>
    </row>
    <row r="36" ht="22" customHeight="1">
      <c r="B36" s="26" t="n"/>
      <c r="C36" s="26" t="n"/>
      <c r="D36" s="26" t="n"/>
      <c r="E36" s="46" t="n">
        <v>0</v>
      </c>
      <c r="F36" s="26" t="inlineStr">
        <is>
          <t>Income</t>
        </is>
      </c>
      <c r="G36" s="26" t="inlineStr">
        <is>
          <t>Project Payment</t>
        </is>
      </c>
    </row>
    <row r="37" ht="22" customHeight="1">
      <c r="B37" s="26" t="n"/>
      <c r="C37" s="26" t="n"/>
      <c r="D37" s="26" t="n"/>
      <c r="E37" s="46" t="n">
        <v>0</v>
      </c>
      <c r="F37" s="26" t="inlineStr">
        <is>
          <t>Income</t>
        </is>
      </c>
      <c r="G37" s="26" t="inlineStr">
        <is>
          <t>Project Payment</t>
        </is>
      </c>
    </row>
    <row r="38" ht="22" customHeight="1">
      <c r="B38" s="26" t="n"/>
      <c r="C38" s="26" t="n"/>
      <c r="D38" s="26" t="n"/>
      <c r="E38" s="46" t="n">
        <v>0</v>
      </c>
      <c r="F38" s="26" t="inlineStr">
        <is>
          <t>Income</t>
        </is>
      </c>
      <c r="G38" s="26" t="inlineStr">
        <is>
          <t>Project Payment</t>
        </is>
      </c>
    </row>
    <row r="39" ht="22" customHeight="1">
      <c r="B39" s="26" t="n"/>
      <c r="C39" s="26" t="n"/>
      <c r="D39" s="26" t="n"/>
      <c r="E39" s="46" t="n">
        <v>0</v>
      </c>
      <c r="F39" s="26" t="inlineStr">
        <is>
          <t>Income</t>
        </is>
      </c>
      <c r="G39" s="26" t="inlineStr">
        <is>
          <t>Project Payment</t>
        </is>
      </c>
    </row>
    <row r="40" ht="22" customHeight="1">
      <c r="B40" s="26" t="n"/>
      <c r="C40" s="26" t="n"/>
      <c r="D40" s="26" t="n"/>
      <c r="E40" s="46" t="n">
        <v>0</v>
      </c>
      <c r="F40" s="26" t="inlineStr">
        <is>
          <t>Income</t>
        </is>
      </c>
      <c r="G40" s="26" t="inlineStr">
        <is>
          <t>Project Payment</t>
        </is>
      </c>
    </row>
    <row r="41" ht="22" customHeight="1">
      <c r="B41" s="26" t="n"/>
      <c r="C41" s="26" t="n"/>
      <c r="D41" s="26" t="n"/>
      <c r="E41" s="46" t="n">
        <v>0</v>
      </c>
      <c r="F41" s="26" t="inlineStr">
        <is>
          <t>Income</t>
        </is>
      </c>
      <c r="G41" s="26" t="inlineStr">
        <is>
          <t>Project Payment</t>
        </is>
      </c>
    </row>
    <row r="42" ht="22" customHeight="1">
      <c r="B42" s="26" t="n"/>
      <c r="C42" s="26" t="n"/>
      <c r="D42" s="26" t="n"/>
      <c r="E42" s="46" t="n">
        <v>0</v>
      </c>
      <c r="F42" s="26" t="inlineStr">
        <is>
          <t>Income</t>
        </is>
      </c>
      <c r="G42" s="26" t="inlineStr">
        <is>
          <t>Project Payment</t>
        </is>
      </c>
    </row>
    <row r="43" ht="22" customHeight="1">
      <c r="B43" s="26" t="n"/>
      <c r="C43" s="26" t="n"/>
      <c r="D43" s="26" t="n"/>
      <c r="E43" s="46" t="n">
        <v>0</v>
      </c>
      <c r="F43" s="26" t="inlineStr">
        <is>
          <t>Income</t>
        </is>
      </c>
      <c r="G43" s="26" t="inlineStr">
        <is>
          <t>Project Payment</t>
        </is>
      </c>
    </row>
    <row r="44" ht="22" customHeight="1">
      <c r="B44" s="26" t="n"/>
      <c r="C44" s="26" t="n"/>
      <c r="D44" s="26" t="n"/>
      <c r="E44" s="46" t="n">
        <v>0</v>
      </c>
      <c r="F44" s="26" t="inlineStr">
        <is>
          <t>Income</t>
        </is>
      </c>
      <c r="G44" s="26" t="inlineStr">
        <is>
          <t>Project Payment</t>
        </is>
      </c>
    </row>
    <row r="45" ht="22" customHeight="1">
      <c r="B45" s="26" t="n"/>
      <c r="C45" s="26" t="n"/>
      <c r="D45" s="26" t="n"/>
      <c r="E45" s="46" t="n">
        <v>0</v>
      </c>
      <c r="F45" s="26" t="inlineStr">
        <is>
          <t>Income</t>
        </is>
      </c>
      <c r="G45" s="26" t="inlineStr">
        <is>
          <t>Project Payment</t>
        </is>
      </c>
    </row>
    <row r="46" ht="22" customHeight="1">
      <c r="B46" s="26" t="n"/>
      <c r="C46" s="26" t="n"/>
      <c r="D46" s="26" t="n"/>
      <c r="E46" s="46" t="n">
        <v>0</v>
      </c>
      <c r="F46" s="26" t="inlineStr">
        <is>
          <t>Income</t>
        </is>
      </c>
      <c r="G46" s="26" t="inlineStr">
        <is>
          <t>Project Payment</t>
        </is>
      </c>
    </row>
    <row r="47" ht="22" customHeight="1">
      <c r="B47" s="26" t="n"/>
      <c r="C47" s="26" t="n"/>
      <c r="D47" s="26" t="n"/>
      <c r="E47" s="46" t="n">
        <v>0</v>
      </c>
      <c r="F47" s="26" t="inlineStr">
        <is>
          <t>Income</t>
        </is>
      </c>
      <c r="G47" s="26" t="inlineStr">
        <is>
          <t>Project Payment</t>
        </is>
      </c>
    </row>
    <row r="48" ht="22" customHeight="1">
      <c r="B48" s="26" t="n"/>
      <c r="C48" s="26" t="n"/>
      <c r="D48" s="26" t="n"/>
      <c r="E48" s="46" t="n">
        <v>0</v>
      </c>
      <c r="F48" s="26" t="inlineStr">
        <is>
          <t>Income</t>
        </is>
      </c>
      <c r="G48" s="26" t="inlineStr">
        <is>
          <t>Project Payment</t>
        </is>
      </c>
    </row>
    <row r="49" ht="22" customHeight="1">
      <c r="B49" s="26" t="n"/>
      <c r="C49" s="26" t="n"/>
      <c r="D49" s="26" t="n"/>
      <c r="E49" s="46" t="n">
        <v>0</v>
      </c>
      <c r="F49" s="26" t="inlineStr">
        <is>
          <t>Income</t>
        </is>
      </c>
      <c r="G49" s="26" t="inlineStr">
        <is>
          <t>Project Payment</t>
        </is>
      </c>
    </row>
    <row r="50" ht="22" customHeight="1">
      <c r="B50" s="26" t="n"/>
      <c r="C50" s="26" t="n"/>
      <c r="D50" s="26" t="n"/>
      <c r="E50" s="46" t="n">
        <v>0</v>
      </c>
      <c r="F50" s="26" t="inlineStr">
        <is>
          <t>Income</t>
        </is>
      </c>
      <c r="G50" s="26" t="inlineStr">
        <is>
          <t>Project Payment</t>
        </is>
      </c>
    </row>
    <row r="51" ht="22" customHeight="1">
      <c r="B51" s="26" t="n"/>
      <c r="C51" s="26" t="n"/>
      <c r="D51" s="26" t="n"/>
      <c r="E51" s="46" t="n">
        <v>0</v>
      </c>
      <c r="F51" s="26" t="inlineStr">
        <is>
          <t>Income</t>
        </is>
      </c>
      <c r="G51" s="26" t="inlineStr">
        <is>
          <t>Project Payment</t>
        </is>
      </c>
    </row>
    <row r="52">
      <c r="C52" s="53">
        <f>SUMIF(F4:F51,"Income",E4:E51)</f>
        <v/>
      </c>
    </row>
    <row r="53" ht="28" customHeight="1">
      <c r="B53" s="13" t="inlineStr">
        <is>
          <t>TOTALS</t>
        </is>
      </c>
      <c r="D53" s="25" t="inlineStr">
        <is>
          <t>Total Income</t>
        </is>
      </c>
      <c r="E53" s="25" t="inlineStr">
        <is>
          <t>Total Expenses</t>
        </is>
      </c>
      <c r="F53" s="25" t="inlineStr">
        <is>
          <t>Net Profit</t>
        </is>
      </c>
      <c r="G53" s="25" t="inlineStr">
        <is>
          <t>Tax Est. (25%)</t>
        </is>
      </c>
    </row>
    <row r="54" ht="30" customHeight="1">
      <c r="D54" s="54">
        <f>SUMIF(F4:F51,"Income",E4:E51)</f>
        <v/>
      </c>
      <c r="E54" s="55">
        <f>SUMIF(F4:F51,"Expense",E4:E51)</f>
        <v/>
      </c>
      <c r="F54" s="56">
        <f>D54-E54</f>
        <v/>
      </c>
      <c r="G54" s="57">
        <f>SUMIF(F4:F51,"Income",E4:E51)*0.25</f>
        <v/>
      </c>
    </row>
  </sheetData>
  <mergeCells count="2">
    <mergeCell ref="B53:C53"/>
    <mergeCell ref="B1:G1"/>
  </mergeCells>
  <dataValidations count="2">
    <dataValidation sqref="F4 F5 F6 F7 F8 F9 F10 F11 F12 F13 F14 F15 F16 F17 F18 F19 F20 F21 F22 F23 F24 F25 F26 F27 F28 F29 F30 F31 F32 F33 F34 F35 F36 F37 F38 F39 F40 F41 F42 F43 F44 F45 F46 F47 F48 F49 F50 F51" showDropDown="0" showInputMessage="0" showErrorMessage="0" allowBlank="1" type="list">
      <formula1>"Income,Expense"</formula1>
    </dataValidation>
    <dataValidation sqref="G4 G5 G6 G7 G8 G9 G10 G11 G12 G13 G14 G15 G16 G17 G18 G19 G20 G21 G22 G23 G24 G25 G26 G27 G28 G29 G30 G31 G32 G33 G34 G35 G36 G37 G38 G39 G40 G41 G42 G43 G44 G45 G46 G47 G48 G49 G50 G51" showDropDown="0" showInputMessage="0" showErrorMessage="0" allowBlank="1" type="list">
      <formula1>"Project Payment,Retainer,Bonus,Software,Hardware,Marketing,Office,Travel,Tax,Other"</formula1>
    </dataValidation>
  </dataValidations>
  <pageMargins left="0.75" right="0.75" top="1" bottom="1" header="0.5" footer="0.5"/>
</worksheet>
</file>

<file path=xl/worksheets/sheet6.xml><?xml version="1.0" encoding="utf-8"?>
<worksheet xmlns="http://schemas.openxmlformats.org/spreadsheetml/2006/main">
  <sheetPr>
    <tabColor rgb="FFFFD166"/>
    <outlinePr summaryBelow="1" summaryRight="1"/>
    <pageSetUpPr/>
  </sheetPr>
  <dimension ref="B1:I53"/>
  <sheetViews>
    <sheetView showGridLines="0" workbookViewId="0">
      <selection activeCell="A1" sqref="A1"/>
    </sheetView>
  </sheetViews>
  <sheetFormatPr baseColWidth="8" defaultRowHeight="15"/>
  <cols>
    <col width="2" customWidth="1" min="1" max="1"/>
    <col width="12" customWidth="1" min="2" max="2"/>
    <col width="28" customWidth="1" min="3" max="3"/>
    <col width="22" customWidth="1" min="4" max="4"/>
    <col width="10" customWidth="1" min="5" max="5"/>
    <col width="10" customWidth="1" min="6" max="6"/>
    <col width="12" customWidth="1" min="7" max="7"/>
    <col width="16" customWidth="1" min="8" max="8"/>
    <col width="18" customWidth="1" min="9" max="9"/>
    <col width="2" customWidth="1" min="10" max="10"/>
  </cols>
  <sheetData>
    <row r="1" ht="48" customHeight="1">
      <c r="B1" s="58" t="inlineStr">
        <is>
          <t>⏱️  TIME TRACKER</t>
        </is>
      </c>
    </row>
    <row r="3" ht="24" customHeight="1">
      <c r="B3" s="25" t="inlineStr">
        <is>
          <t>Date</t>
        </is>
      </c>
      <c r="C3" s="25" t="inlineStr">
        <is>
          <t>Task</t>
        </is>
      </c>
      <c r="D3" s="25" t="inlineStr">
        <is>
          <t>Client</t>
        </is>
      </c>
      <c r="E3" s="25" t="inlineStr">
        <is>
          <t>Start</t>
        </is>
      </c>
      <c r="F3" s="25" t="inlineStr">
        <is>
          <t>End</t>
        </is>
      </c>
      <c r="G3" s="25" t="inlineStr">
        <is>
          <t>Hours</t>
        </is>
      </c>
      <c r="H3" s="25" t="inlineStr">
        <is>
          <t>Rate ($/hr)</t>
        </is>
      </c>
      <c r="I3" s="25" t="inlineStr">
        <is>
          <t>Earned</t>
        </is>
      </c>
    </row>
    <row r="4" ht="22" customHeight="1">
      <c r="B4" s="26" t="inlineStr">
        <is>
          <t>2026-02-01</t>
        </is>
      </c>
      <c r="C4" s="26" t="inlineStr">
        <is>
          <t>Homepage Design</t>
        </is>
      </c>
      <c r="D4" s="26" t="inlineStr">
        <is>
          <t>TechStart Inc</t>
        </is>
      </c>
      <c r="E4" s="26" t="inlineStr">
        <is>
          <t>09:00</t>
        </is>
      </c>
      <c r="F4" s="26" t="inlineStr">
        <is>
          <t>13:00</t>
        </is>
      </c>
      <c r="G4" s="59">
        <f>IF(E4="",0,(TIMEVALUE(F4)-TIMEVALUE(E4))*24)</f>
        <v/>
      </c>
      <c r="H4" s="37" t="n">
        <v>85</v>
      </c>
      <c r="I4" s="60">
        <f>G4*H4</f>
        <v/>
      </c>
    </row>
    <row r="5" ht="22" customHeight="1">
      <c r="B5" s="26" t="inlineStr">
        <is>
          <t>2026-02-01</t>
        </is>
      </c>
      <c r="C5" s="26" t="inlineStr">
        <is>
          <t>Client Meeting</t>
        </is>
      </c>
      <c r="D5" s="26" t="inlineStr">
        <is>
          <t>Creative Agency</t>
        </is>
      </c>
      <c r="E5" s="26" t="inlineStr">
        <is>
          <t>14:00</t>
        </is>
      </c>
      <c r="F5" s="26" t="inlineStr">
        <is>
          <t>15:00</t>
        </is>
      </c>
      <c r="G5" s="61">
        <f>IF(E5="",0,(TIMEVALUE(F5)-TIMEVALUE(E5))*24)</f>
        <v/>
      </c>
      <c r="H5" s="37" t="n">
        <v>85</v>
      </c>
      <c r="I5" s="62">
        <f>G5*H5</f>
        <v/>
      </c>
    </row>
    <row r="6" ht="22" customHeight="1">
      <c r="B6" s="26" t="inlineStr">
        <is>
          <t>2026-02-02</t>
        </is>
      </c>
      <c r="C6" s="26" t="inlineStr">
        <is>
          <t>SEO Audit</t>
        </is>
      </c>
      <c r="D6" s="26" t="inlineStr">
        <is>
          <t>Creative Agency</t>
        </is>
      </c>
      <c r="E6" s="26" t="inlineStr">
        <is>
          <t>09:00</t>
        </is>
      </c>
      <c r="F6" s="26" t="inlineStr">
        <is>
          <t>12:30</t>
        </is>
      </c>
      <c r="G6" s="59">
        <f>IF(E6="",0,(TIMEVALUE(F6)-TIMEVALUE(E6))*24)</f>
        <v/>
      </c>
      <c r="H6" s="37" t="n">
        <v>75</v>
      </c>
      <c r="I6" s="60">
        <f>G6*H6</f>
        <v/>
      </c>
    </row>
    <row r="7" ht="22" customHeight="1">
      <c r="B7" s="26" t="inlineStr">
        <is>
          <t>2026-02-03</t>
        </is>
      </c>
      <c r="C7" s="26" t="inlineStr">
        <is>
          <t>App Wireframes</t>
        </is>
      </c>
      <c r="D7" s="26" t="inlineStr">
        <is>
          <t>EcomStore</t>
        </is>
      </c>
      <c r="E7" s="26" t="inlineStr">
        <is>
          <t>10:00</t>
        </is>
      </c>
      <c r="F7" s="26" t="inlineStr">
        <is>
          <t>18:00</t>
        </is>
      </c>
      <c r="G7" s="61">
        <f>IF(E7="",0,(TIMEVALUE(F7)-TIMEVALUE(E7))*24)</f>
        <v/>
      </c>
      <c r="H7" s="37" t="n">
        <v>95</v>
      </c>
      <c r="I7" s="62">
        <f>G7*H7</f>
        <v/>
      </c>
    </row>
    <row r="8" ht="22" customHeight="1">
      <c r="B8" s="26" t="inlineStr">
        <is>
          <t>2026-02-04</t>
        </is>
      </c>
      <c r="C8" s="26" t="inlineStr">
        <is>
          <t>Content Writing</t>
        </is>
      </c>
      <c r="D8" s="26" t="inlineStr">
        <is>
          <t>FoodBrand</t>
        </is>
      </c>
      <c r="E8" s="26" t="inlineStr">
        <is>
          <t>09:00</t>
        </is>
      </c>
      <c r="F8" s="26" t="inlineStr">
        <is>
          <t>12:00</t>
        </is>
      </c>
      <c r="G8" s="59">
        <f>IF(E8="",0,(TIMEVALUE(F8)-TIMEVALUE(E8))*24)</f>
        <v/>
      </c>
      <c r="H8" s="37" t="n">
        <v>65</v>
      </c>
      <c r="I8" s="60">
        <f>G8*H8</f>
        <v/>
      </c>
    </row>
    <row r="9" ht="22" customHeight="1">
      <c r="B9" s="26" t="n"/>
      <c r="C9" s="26" t="n"/>
      <c r="D9" s="26" t="n"/>
      <c r="E9" s="26" t="n"/>
      <c r="F9" s="26" t="n"/>
      <c r="G9" s="17">
        <f>IF(E9="",0,(TIMEVALUE(F9)-TIMEVALUE(E9))*24)</f>
        <v/>
      </c>
      <c r="H9" s="37" t="n">
        <v>0</v>
      </c>
      <c r="I9" s="63">
        <f>G9*H9</f>
        <v/>
      </c>
    </row>
    <row r="10" ht="22" customHeight="1">
      <c r="B10" s="26" t="n"/>
      <c r="C10" s="26" t="n"/>
      <c r="D10" s="26" t="n"/>
      <c r="E10" s="26" t="n"/>
      <c r="F10" s="26" t="n"/>
      <c r="G10" s="21">
        <f>IF(E10="",0,(TIMEVALUE(F10)-TIMEVALUE(E10))*24)</f>
        <v/>
      </c>
      <c r="H10" s="37" t="n">
        <v>0</v>
      </c>
      <c r="I10" s="63">
        <f>G10*H10</f>
        <v/>
      </c>
    </row>
    <row r="11" ht="22" customHeight="1">
      <c r="B11" s="26" t="n"/>
      <c r="C11" s="26" t="n"/>
      <c r="D11" s="26" t="n"/>
      <c r="E11" s="26" t="n"/>
      <c r="F11" s="26" t="n"/>
      <c r="G11" s="17">
        <f>IF(E11="",0,(TIMEVALUE(F11)-TIMEVALUE(E11))*24)</f>
        <v/>
      </c>
      <c r="H11" s="37" t="n">
        <v>0</v>
      </c>
      <c r="I11" s="63">
        <f>G11*H11</f>
        <v/>
      </c>
    </row>
    <row r="12" ht="22" customHeight="1">
      <c r="B12" s="26" t="n"/>
      <c r="C12" s="26" t="n"/>
      <c r="D12" s="26" t="n"/>
      <c r="E12" s="26" t="n"/>
      <c r="F12" s="26" t="n"/>
      <c r="G12" s="21">
        <f>IF(E12="",0,(TIMEVALUE(F12)-TIMEVALUE(E12))*24)</f>
        <v/>
      </c>
      <c r="H12" s="37" t="n">
        <v>0</v>
      </c>
      <c r="I12" s="63">
        <f>G12*H12</f>
        <v/>
      </c>
    </row>
    <row r="13" ht="22" customHeight="1">
      <c r="B13" s="26" t="n"/>
      <c r="C13" s="26" t="n"/>
      <c r="D13" s="26" t="n"/>
      <c r="E13" s="26" t="n"/>
      <c r="F13" s="26" t="n"/>
      <c r="G13" s="17">
        <f>IF(E13="",0,(TIMEVALUE(F13)-TIMEVALUE(E13))*24)</f>
        <v/>
      </c>
      <c r="H13" s="37" t="n">
        <v>0</v>
      </c>
      <c r="I13" s="63">
        <f>G13*H13</f>
        <v/>
      </c>
    </row>
    <row r="14" ht="22" customHeight="1">
      <c r="B14" s="26" t="n"/>
      <c r="C14" s="26" t="n"/>
      <c r="D14" s="26" t="n"/>
      <c r="E14" s="26" t="n"/>
      <c r="F14" s="26" t="n"/>
      <c r="G14" s="21">
        <f>IF(E14="",0,(TIMEVALUE(F14)-TIMEVALUE(E14))*24)</f>
        <v/>
      </c>
      <c r="H14" s="37" t="n">
        <v>0</v>
      </c>
      <c r="I14" s="63">
        <f>G14*H14</f>
        <v/>
      </c>
    </row>
    <row r="15" ht="22" customHeight="1">
      <c r="B15" s="26" t="n"/>
      <c r="C15" s="26" t="n"/>
      <c r="D15" s="26" t="n"/>
      <c r="E15" s="26" t="n"/>
      <c r="F15" s="26" t="n"/>
      <c r="G15" s="17">
        <f>IF(E15="",0,(TIMEVALUE(F15)-TIMEVALUE(E15))*24)</f>
        <v/>
      </c>
      <c r="H15" s="37" t="n">
        <v>0</v>
      </c>
      <c r="I15" s="63">
        <f>G15*H15</f>
        <v/>
      </c>
    </row>
    <row r="16" ht="22" customHeight="1">
      <c r="B16" s="26" t="n"/>
      <c r="C16" s="26" t="n"/>
      <c r="D16" s="26" t="n"/>
      <c r="E16" s="26" t="n"/>
      <c r="F16" s="26" t="n"/>
      <c r="G16" s="21">
        <f>IF(E16="",0,(TIMEVALUE(F16)-TIMEVALUE(E16))*24)</f>
        <v/>
      </c>
      <c r="H16" s="37" t="n">
        <v>0</v>
      </c>
      <c r="I16" s="63">
        <f>G16*H16</f>
        <v/>
      </c>
    </row>
    <row r="17" ht="22" customHeight="1">
      <c r="B17" s="26" t="n"/>
      <c r="C17" s="26" t="n"/>
      <c r="D17" s="26" t="n"/>
      <c r="E17" s="26" t="n"/>
      <c r="F17" s="26" t="n"/>
      <c r="G17" s="17">
        <f>IF(E17="",0,(TIMEVALUE(F17)-TIMEVALUE(E17))*24)</f>
        <v/>
      </c>
      <c r="H17" s="37" t="n">
        <v>0</v>
      </c>
      <c r="I17" s="63">
        <f>G17*H17</f>
        <v/>
      </c>
    </row>
    <row r="18" ht="22" customHeight="1">
      <c r="B18" s="26" t="n"/>
      <c r="C18" s="26" t="n"/>
      <c r="D18" s="26" t="n"/>
      <c r="E18" s="26" t="n"/>
      <c r="F18" s="26" t="n"/>
      <c r="G18" s="21">
        <f>IF(E18="",0,(TIMEVALUE(F18)-TIMEVALUE(E18))*24)</f>
        <v/>
      </c>
      <c r="H18" s="37" t="n">
        <v>0</v>
      </c>
      <c r="I18" s="63">
        <f>G18*H18</f>
        <v/>
      </c>
    </row>
    <row r="19" ht="22" customHeight="1">
      <c r="B19" s="26" t="n"/>
      <c r="C19" s="26" t="n"/>
      <c r="D19" s="26" t="n"/>
      <c r="E19" s="26" t="n"/>
      <c r="F19" s="26" t="n"/>
      <c r="G19" s="17">
        <f>IF(E19="",0,(TIMEVALUE(F19)-TIMEVALUE(E19))*24)</f>
        <v/>
      </c>
      <c r="H19" s="37" t="n">
        <v>0</v>
      </c>
      <c r="I19" s="63">
        <f>G19*H19</f>
        <v/>
      </c>
    </row>
    <row r="20" ht="22" customHeight="1">
      <c r="B20" s="26" t="n"/>
      <c r="C20" s="26" t="n"/>
      <c r="D20" s="26" t="n"/>
      <c r="E20" s="26" t="n"/>
      <c r="F20" s="26" t="n"/>
      <c r="G20" s="21">
        <f>IF(E20="",0,(TIMEVALUE(F20)-TIMEVALUE(E20))*24)</f>
        <v/>
      </c>
      <c r="H20" s="37" t="n">
        <v>0</v>
      </c>
      <c r="I20" s="63">
        <f>G20*H20</f>
        <v/>
      </c>
    </row>
    <row r="21" ht="22" customHeight="1">
      <c r="B21" s="26" t="n"/>
      <c r="C21" s="26" t="n"/>
      <c r="D21" s="26" t="n"/>
      <c r="E21" s="26" t="n"/>
      <c r="F21" s="26" t="n"/>
      <c r="G21" s="17">
        <f>IF(E21="",0,(TIMEVALUE(F21)-TIMEVALUE(E21))*24)</f>
        <v/>
      </c>
      <c r="H21" s="37" t="n">
        <v>0</v>
      </c>
      <c r="I21" s="63">
        <f>G21*H21</f>
        <v/>
      </c>
    </row>
    <row r="22" ht="22" customHeight="1">
      <c r="B22" s="26" t="n"/>
      <c r="C22" s="26" t="n"/>
      <c r="D22" s="26" t="n"/>
      <c r="E22" s="26" t="n"/>
      <c r="F22" s="26" t="n"/>
      <c r="G22" s="21">
        <f>IF(E22="",0,(TIMEVALUE(F22)-TIMEVALUE(E22))*24)</f>
        <v/>
      </c>
      <c r="H22" s="37" t="n">
        <v>0</v>
      </c>
      <c r="I22" s="63">
        <f>G22*H22</f>
        <v/>
      </c>
    </row>
    <row r="23" ht="22" customHeight="1">
      <c r="B23" s="26" t="n"/>
      <c r="C23" s="26" t="n"/>
      <c r="D23" s="26" t="n"/>
      <c r="E23" s="26" t="n"/>
      <c r="F23" s="26" t="n"/>
      <c r="G23" s="17">
        <f>IF(E23="",0,(TIMEVALUE(F23)-TIMEVALUE(E23))*24)</f>
        <v/>
      </c>
      <c r="H23" s="37" t="n">
        <v>0</v>
      </c>
      <c r="I23" s="63">
        <f>G23*H23</f>
        <v/>
      </c>
    </row>
    <row r="24" ht="22" customHeight="1">
      <c r="B24" s="26" t="n"/>
      <c r="C24" s="26" t="n"/>
      <c r="D24" s="26" t="n"/>
      <c r="E24" s="26" t="n"/>
      <c r="F24" s="26" t="n"/>
      <c r="G24" s="21">
        <f>IF(E24="",0,(TIMEVALUE(F24)-TIMEVALUE(E24))*24)</f>
        <v/>
      </c>
      <c r="H24" s="37" t="n">
        <v>0</v>
      </c>
      <c r="I24" s="63">
        <f>G24*H24</f>
        <v/>
      </c>
    </row>
    <row r="25" ht="22" customHeight="1">
      <c r="B25" s="26" t="n"/>
      <c r="C25" s="26" t="n"/>
      <c r="D25" s="26" t="n"/>
      <c r="E25" s="26" t="n"/>
      <c r="F25" s="26" t="n"/>
      <c r="G25" s="17">
        <f>IF(E25="",0,(TIMEVALUE(F25)-TIMEVALUE(E25))*24)</f>
        <v/>
      </c>
      <c r="H25" s="37" t="n">
        <v>0</v>
      </c>
      <c r="I25" s="63">
        <f>G25*H25</f>
        <v/>
      </c>
    </row>
    <row r="26" ht="22" customHeight="1">
      <c r="B26" s="26" t="n"/>
      <c r="C26" s="26" t="n"/>
      <c r="D26" s="26" t="n"/>
      <c r="E26" s="26" t="n"/>
      <c r="F26" s="26" t="n"/>
      <c r="G26" s="21">
        <f>IF(E26="",0,(TIMEVALUE(F26)-TIMEVALUE(E26))*24)</f>
        <v/>
      </c>
      <c r="H26" s="37" t="n">
        <v>0</v>
      </c>
      <c r="I26" s="63">
        <f>G26*H26</f>
        <v/>
      </c>
    </row>
    <row r="27" ht="22" customHeight="1">
      <c r="B27" s="26" t="n"/>
      <c r="C27" s="26" t="n"/>
      <c r="D27" s="26" t="n"/>
      <c r="E27" s="26" t="n"/>
      <c r="F27" s="26" t="n"/>
      <c r="G27" s="17">
        <f>IF(E27="",0,(TIMEVALUE(F27)-TIMEVALUE(E27))*24)</f>
        <v/>
      </c>
      <c r="H27" s="37" t="n">
        <v>0</v>
      </c>
      <c r="I27" s="63">
        <f>G27*H27</f>
        <v/>
      </c>
    </row>
    <row r="28" ht="22" customHeight="1">
      <c r="B28" s="26" t="n"/>
      <c r="C28" s="26" t="n"/>
      <c r="D28" s="26" t="n"/>
      <c r="E28" s="26" t="n"/>
      <c r="F28" s="26" t="n"/>
      <c r="G28" s="21">
        <f>IF(E28="",0,(TIMEVALUE(F28)-TIMEVALUE(E28))*24)</f>
        <v/>
      </c>
      <c r="H28" s="37" t="n">
        <v>0</v>
      </c>
      <c r="I28" s="63">
        <f>G28*H28</f>
        <v/>
      </c>
    </row>
    <row r="29" ht="22" customHeight="1">
      <c r="B29" s="26" t="n"/>
      <c r="C29" s="26" t="n"/>
      <c r="D29" s="26" t="n"/>
      <c r="E29" s="26" t="n"/>
      <c r="F29" s="26" t="n"/>
      <c r="G29" s="17">
        <f>IF(E29="",0,(TIMEVALUE(F29)-TIMEVALUE(E29))*24)</f>
        <v/>
      </c>
      <c r="H29" s="37" t="n">
        <v>0</v>
      </c>
      <c r="I29" s="63">
        <f>G29*H29</f>
        <v/>
      </c>
    </row>
    <row r="30" ht="22" customHeight="1">
      <c r="B30" s="26" t="n"/>
      <c r="C30" s="26" t="n"/>
      <c r="D30" s="26" t="n"/>
      <c r="E30" s="26" t="n"/>
      <c r="F30" s="26" t="n"/>
      <c r="G30" s="21">
        <f>IF(E30="",0,(TIMEVALUE(F30)-TIMEVALUE(E30))*24)</f>
        <v/>
      </c>
      <c r="H30" s="37" t="n">
        <v>0</v>
      </c>
      <c r="I30" s="63">
        <f>G30*H30</f>
        <v/>
      </c>
    </row>
    <row r="31" ht="22" customHeight="1">
      <c r="B31" s="26" t="n"/>
      <c r="C31" s="26" t="n"/>
      <c r="D31" s="26" t="n"/>
      <c r="E31" s="26" t="n"/>
      <c r="F31" s="26" t="n"/>
      <c r="G31" s="17">
        <f>IF(E31="",0,(TIMEVALUE(F31)-TIMEVALUE(E31))*24)</f>
        <v/>
      </c>
      <c r="H31" s="37" t="n">
        <v>0</v>
      </c>
      <c r="I31" s="63">
        <f>G31*H31</f>
        <v/>
      </c>
    </row>
    <row r="32" ht="22" customHeight="1">
      <c r="B32" s="26" t="n"/>
      <c r="C32" s="26" t="n"/>
      <c r="D32" s="26" t="n"/>
      <c r="E32" s="26" t="n"/>
      <c r="F32" s="26" t="n"/>
      <c r="G32" s="21">
        <f>IF(E32="",0,(TIMEVALUE(F32)-TIMEVALUE(E32))*24)</f>
        <v/>
      </c>
      <c r="H32" s="37" t="n">
        <v>0</v>
      </c>
      <c r="I32" s="63">
        <f>G32*H32</f>
        <v/>
      </c>
    </row>
    <row r="33" ht="22" customHeight="1">
      <c r="B33" s="26" t="n"/>
      <c r="C33" s="26" t="n"/>
      <c r="D33" s="26" t="n"/>
      <c r="E33" s="26" t="n"/>
      <c r="F33" s="26" t="n"/>
      <c r="G33" s="17">
        <f>IF(E33="",0,(TIMEVALUE(F33)-TIMEVALUE(E33))*24)</f>
        <v/>
      </c>
      <c r="H33" s="37" t="n">
        <v>0</v>
      </c>
      <c r="I33" s="63">
        <f>G33*H33</f>
        <v/>
      </c>
    </row>
    <row r="34" ht="22" customHeight="1">
      <c r="B34" s="26" t="n"/>
      <c r="C34" s="26" t="n"/>
      <c r="D34" s="26" t="n"/>
      <c r="E34" s="26" t="n"/>
      <c r="F34" s="26" t="n"/>
      <c r="G34" s="21">
        <f>IF(E34="",0,(TIMEVALUE(F34)-TIMEVALUE(E34))*24)</f>
        <v/>
      </c>
      <c r="H34" s="37" t="n">
        <v>0</v>
      </c>
      <c r="I34" s="63">
        <f>G34*H34</f>
        <v/>
      </c>
    </row>
    <row r="35" ht="22" customHeight="1">
      <c r="B35" s="26" t="n"/>
      <c r="C35" s="26" t="n"/>
      <c r="D35" s="26" t="n"/>
      <c r="E35" s="26" t="n"/>
      <c r="F35" s="26" t="n"/>
      <c r="G35" s="17">
        <f>IF(E35="",0,(TIMEVALUE(F35)-TIMEVALUE(E35))*24)</f>
        <v/>
      </c>
      <c r="H35" s="37" t="n">
        <v>0</v>
      </c>
      <c r="I35" s="63">
        <f>G35*H35</f>
        <v/>
      </c>
    </row>
    <row r="36" ht="22" customHeight="1">
      <c r="B36" s="26" t="n"/>
      <c r="C36" s="26" t="n"/>
      <c r="D36" s="26" t="n"/>
      <c r="E36" s="26" t="n"/>
      <c r="F36" s="26" t="n"/>
      <c r="G36" s="21">
        <f>IF(E36="",0,(TIMEVALUE(F36)-TIMEVALUE(E36))*24)</f>
        <v/>
      </c>
      <c r="H36" s="37" t="n">
        <v>0</v>
      </c>
      <c r="I36" s="63">
        <f>G36*H36</f>
        <v/>
      </c>
    </row>
    <row r="37" ht="22" customHeight="1">
      <c r="B37" s="26" t="n"/>
      <c r="C37" s="26" t="n"/>
      <c r="D37" s="26" t="n"/>
      <c r="E37" s="26" t="n"/>
      <c r="F37" s="26" t="n"/>
      <c r="G37" s="17">
        <f>IF(E37="",0,(TIMEVALUE(F37)-TIMEVALUE(E37))*24)</f>
        <v/>
      </c>
      <c r="H37" s="37" t="n">
        <v>0</v>
      </c>
      <c r="I37" s="63">
        <f>G37*H37</f>
        <v/>
      </c>
    </row>
    <row r="38" ht="22" customHeight="1">
      <c r="B38" s="26" t="n"/>
      <c r="C38" s="26" t="n"/>
      <c r="D38" s="26" t="n"/>
      <c r="E38" s="26" t="n"/>
      <c r="F38" s="26" t="n"/>
      <c r="G38" s="21">
        <f>IF(E38="",0,(TIMEVALUE(F38)-TIMEVALUE(E38))*24)</f>
        <v/>
      </c>
      <c r="H38" s="37" t="n">
        <v>0</v>
      </c>
      <c r="I38" s="63">
        <f>G38*H38</f>
        <v/>
      </c>
    </row>
    <row r="39" ht="22" customHeight="1">
      <c r="B39" s="26" t="n"/>
      <c r="C39" s="26" t="n"/>
      <c r="D39" s="26" t="n"/>
      <c r="E39" s="26" t="n"/>
      <c r="F39" s="26" t="n"/>
      <c r="G39" s="17">
        <f>IF(E39="",0,(TIMEVALUE(F39)-TIMEVALUE(E39))*24)</f>
        <v/>
      </c>
      <c r="H39" s="37" t="n">
        <v>0</v>
      </c>
      <c r="I39" s="63">
        <f>G39*H39</f>
        <v/>
      </c>
    </row>
    <row r="40" ht="22" customHeight="1">
      <c r="B40" s="26" t="n"/>
      <c r="C40" s="26" t="n"/>
      <c r="D40" s="26" t="n"/>
      <c r="E40" s="26" t="n"/>
      <c r="F40" s="26" t="n"/>
      <c r="G40" s="21">
        <f>IF(E40="",0,(TIMEVALUE(F40)-TIMEVALUE(E40))*24)</f>
        <v/>
      </c>
      <c r="H40" s="37" t="n">
        <v>0</v>
      </c>
      <c r="I40" s="63">
        <f>G40*H40</f>
        <v/>
      </c>
    </row>
    <row r="41" ht="22" customHeight="1">
      <c r="B41" s="26" t="n"/>
      <c r="C41" s="26" t="n"/>
      <c r="D41" s="26" t="n"/>
      <c r="E41" s="26" t="n"/>
      <c r="F41" s="26" t="n"/>
      <c r="G41" s="17">
        <f>IF(E41="",0,(TIMEVALUE(F41)-TIMEVALUE(E41))*24)</f>
        <v/>
      </c>
      <c r="H41" s="37" t="n">
        <v>0</v>
      </c>
      <c r="I41" s="63">
        <f>G41*H41</f>
        <v/>
      </c>
    </row>
    <row r="42" ht="22" customHeight="1">
      <c r="B42" s="26" t="n"/>
      <c r="C42" s="26" t="n"/>
      <c r="D42" s="26" t="n"/>
      <c r="E42" s="26" t="n"/>
      <c r="F42" s="26" t="n"/>
      <c r="G42" s="21">
        <f>IF(E42="",0,(TIMEVALUE(F42)-TIMEVALUE(E42))*24)</f>
        <v/>
      </c>
      <c r="H42" s="37" t="n">
        <v>0</v>
      </c>
      <c r="I42" s="63">
        <f>G42*H42</f>
        <v/>
      </c>
    </row>
    <row r="43" ht="22" customHeight="1">
      <c r="B43" s="26" t="n"/>
      <c r="C43" s="26" t="n"/>
      <c r="D43" s="26" t="n"/>
      <c r="E43" s="26" t="n"/>
      <c r="F43" s="26" t="n"/>
      <c r="G43" s="17">
        <f>IF(E43="",0,(TIMEVALUE(F43)-TIMEVALUE(E43))*24)</f>
        <v/>
      </c>
      <c r="H43" s="37" t="n">
        <v>0</v>
      </c>
      <c r="I43" s="63">
        <f>G43*H43</f>
        <v/>
      </c>
    </row>
    <row r="44" ht="22" customHeight="1">
      <c r="B44" s="26" t="n"/>
      <c r="C44" s="26" t="n"/>
      <c r="D44" s="26" t="n"/>
      <c r="E44" s="26" t="n"/>
      <c r="F44" s="26" t="n"/>
      <c r="G44" s="21">
        <f>IF(E44="",0,(TIMEVALUE(F44)-TIMEVALUE(E44))*24)</f>
        <v/>
      </c>
      <c r="H44" s="37" t="n">
        <v>0</v>
      </c>
      <c r="I44" s="63">
        <f>G44*H44</f>
        <v/>
      </c>
    </row>
    <row r="45" ht="22" customHeight="1">
      <c r="B45" s="26" t="n"/>
      <c r="C45" s="26" t="n"/>
      <c r="D45" s="26" t="n"/>
      <c r="E45" s="26" t="n"/>
      <c r="F45" s="26" t="n"/>
      <c r="G45" s="17">
        <f>IF(E45="",0,(TIMEVALUE(F45)-TIMEVALUE(E45))*24)</f>
        <v/>
      </c>
      <c r="H45" s="37" t="n">
        <v>0</v>
      </c>
      <c r="I45" s="63">
        <f>G45*H45</f>
        <v/>
      </c>
    </row>
    <row r="46" ht="22" customHeight="1">
      <c r="B46" s="26" t="n"/>
      <c r="C46" s="26" t="n"/>
      <c r="D46" s="26" t="n"/>
      <c r="E46" s="26" t="n"/>
      <c r="F46" s="26" t="n"/>
      <c r="G46" s="21">
        <f>IF(E46="",0,(TIMEVALUE(F46)-TIMEVALUE(E46))*24)</f>
        <v/>
      </c>
      <c r="H46" s="37" t="n">
        <v>0</v>
      </c>
      <c r="I46" s="63">
        <f>G46*H46</f>
        <v/>
      </c>
    </row>
    <row r="47" ht="22" customHeight="1">
      <c r="B47" s="26" t="n"/>
      <c r="C47" s="26" t="n"/>
      <c r="D47" s="26" t="n"/>
      <c r="E47" s="26" t="n"/>
      <c r="F47" s="26" t="n"/>
      <c r="G47" s="17">
        <f>IF(E47="",0,(TIMEVALUE(F47)-TIMEVALUE(E47))*24)</f>
        <v/>
      </c>
      <c r="H47" s="37" t="n">
        <v>0</v>
      </c>
      <c r="I47" s="63">
        <f>G47*H47</f>
        <v/>
      </c>
    </row>
    <row r="48" ht="22" customHeight="1">
      <c r="B48" s="26" t="n"/>
      <c r="C48" s="26" t="n"/>
      <c r="D48" s="26" t="n"/>
      <c r="E48" s="26" t="n"/>
      <c r="F48" s="26" t="n"/>
      <c r="G48" s="21">
        <f>IF(E48="",0,(TIMEVALUE(F48)-TIMEVALUE(E48))*24)</f>
        <v/>
      </c>
      <c r="H48" s="37" t="n">
        <v>0</v>
      </c>
      <c r="I48" s="63">
        <f>G48*H48</f>
        <v/>
      </c>
    </row>
    <row r="49" ht="22" customHeight="1">
      <c r="B49" s="26" t="n"/>
      <c r="C49" s="26" t="n"/>
      <c r="D49" s="26" t="n"/>
      <c r="E49" s="26" t="n"/>
      <c r="F49" s="26" t="n"/>
      <c r="G49" s="17">
        <f>IF(E49="",0,(TIMEVALUE(F49)-TIMEVALUE(E49))*24)</f>
        <v/>
      </c>
      <c r="H49" s="37" t="n">
        <v>0</v>
      </c>
      <c r="I49" s="63">
        <f>G49*H49</f>
        <v/>
      </c>
    </row>
    <row r="50" ht="22" customHeight="1">
      <c r="B50" s="26" t="n"/>
      <c r="C50" s="26" t="n"/>
      <c r="D50" s="26" t="n"/>
      <c r="E50" s="26" t="n"/>
      <c r="F50" s="26" t="n"/>
      <c r="G50" s="21">
        <f>IF(E50="",0,(TIMEVALUE(F50)-TIMEVALUE(E50))*24)</f>
        <v/>
      </c>
      <c r="H50" s="37" t="n">
        <v>0</v>
      </c>
      <c r="I50" s="63">
        <f>G50*H50</f>
        <v/>
      </c>
    </row>
    <row r="51" ht="22" customHeight="1">
      <c r="B51" s="26" t="n"/>
      <c r="C51" s="26" t="n"/>
      <c r="D51" s="26" t="n"/>
      <c r="E51" s="26" t="n"/>
      <c r="F51" s="26" t="n"/>
      <c r="G51" s="17">
        <f>IF(E51="",0,(TIMEVALUE(F51)-TIMEVALUE(E51))*24)</f>
        <v/>
      </c>
      <c r="H51" s="37" t="n">
        <v>0</v>
      </c>
      <c r="I51" s="63">
        <f>G51*H51</f>
        <v/>
      </c>
    </row>
    <row r="53" ht="28" customHeight="1">
      <c r="B53" s="13" t="inlineStr">
        <is>
          <t>TOTALS</t>
        </is>
      </c>
      <c r="G53" s="64">
        <f>SUM(G4:G51)</f>
        <v/>
      </c>
      <c r="I53" s="54">
        <f>SUM(I4:I51)</f>
        <v/>
      </c>
    </row>
  </sheetData>
  <mergeCells count="2">
    <mergeCell ref="B53:F53"/>
    <mergeCell ref="B1:I1"/>
  </mergeCells>
  <pageMargins left="0.75" right="0.75" top="1" bottom="1" header="0.5" footer="0.5"/>
</worksheet>
</file>

<file path=xl/worksheets/sheet7.xml><?xml version="1.0" encoding="utf-8"?>
<worksheet xmlns="http://schemas.openxmlformats.org/spreadsheetml/2006/main">
  <sheetPr>
    <tabColor rgb="FFEF233C"/>
    <outlinePr summaryBelow="1" summaryRight="1"/>
    <pageSetUpPr/>
  </sheetPr>
  <dimension ref="B1:D32"/>
  <sheetViews>
    <sheetView showGridLines="0" workbookViewId="0">
      <selection activeCell="A1" sqref="A1"/>
    </sheetView>
  </sheetViews>
  <sheetFormatPr baseColWidth="8" defaultRowHeight="15"/>
  <cols>
    <col width="2" customWidth="1" min="1" max="1"/>
    <col width="28" customWidth="1" min="2" max="2"/>
    <col width="20" customWidth="1" min="3" max="3"/>
    <col width="20" customWidth="1" min="4" max="4"/>
    <col width="2" customWidth="1" min="5" max="5"/>
  </cols>
  <sheetData>
    <row r="1" ht="48" customHeight="1">
      <c r="B1" s="65" t="inlineStr">
        <is>
          <t>📊  AUTO REPORTS</t>
        </is>
      </c>
    </row>
    <row r="3" ht="28" customHeight="1">
      <c r="B3" s="66" t="inlineStr">
        <is>
          <t>💰 FINANCIAL SUMMARY</t>
        </is>
      </c>
    </row>
    <row r="4" ht="24" customHeight="1">
      <c r="B4" s="29" t="inlineStr">
        <is>
          <t>Total Revenue</t>
        </is>
      </c>
      <c r="C4" s="67">
        <f>'💰 Income &amp; Expenses'!D54</f>
        <v/>
      </c>
      <c r="D4" s="21" t="n"/>
    </row>
    <row r="5" ht="24" customHeight="1">
      <c r="B5" s="32" t="inlineStr">
        <is>
          <t>Total Expenses</t>
        </is>
      </c>
      <c r="C5" s="68">
        <f>'💰 Income &amp; Expenses'!E54</f>
        <v/>
      </c>
      <c r="D5" s="17" t="n"/>
    </row>
    <row r="6" ht="24" customHeight="1">
      <c r="B6" s="29" t="inlineStr">
        <is>
          <t>Net Profit</t>
        </is>
      </c>
      <c r="C6" s="67">
        <f>'💰 Income &amp; Expenses'!F54</f>
        <v/>
      </c>
      <c r="D6" s="21" t="n"/>
    </row>
    <row r="7" ht="24" customHeight="1">
      <c r="B7" s="32" t="inlineStr">
        <is>
          <t>Tax Estimate</t>
        </is>
      </c>
      <c r="C7" s="69">
        <f>'💰 Income &amp; Expenses'!G54</f>
        <v/>
      </c>
      <c r="D7" s="17" t="n"/>
    </row>
    <row r="8" ht="24" customHeight="1">
      <c r="B8" s="29" t="inlineStr">
        <is>
          <t>Profit Margin %</t>
        </is>
      </c>
      <c r="C8" s="67">
        <f>IF(D4=0,0,F4/D4*100)</f>
        <v/>
      </c>
      <c r="D8" s="21" t="n"/>
    </row>
    <row r="9" ht="24" customHeight="1">
      <c r="B9" s="32" t="inlineStr">
        <is>
          <t>Monthly Average</t>
        </is>
      </c>
      <c r="C9" s="68">
        <f>F4/12</f>
        <v/>
      </c>
      <c r="D9" s="17" t="n"/>
    </row>
    <row r="10" ht="24" customHeight="1">
      <c r="B10" s="29" t="inlineStr">
        <is>
          <t>Best Month</t>
        </is>
      </c>
      <c r="C10" s="70">
        <f>MAX('🏠 Dashboard'!C11:C22)</f>
        <v/>
      </c>
      <c r="D10" s="21" t="n"/>
    </row>
    <row r="11" ht="24" customHeight="1">
      <c r="B11" s="32" t="inlineStr">
        <is>
          <t>Worst Month</t>
        </is>
      </c>
      <c r="C11" s="68">
        <f>MIN(IF('🏠 Dashboard'!C11:C22&gt;0,'🏠 Dashboard'!C11:C22))</f>
        <v/>
      </c>
      <c r="D11" s="17" t="n"/>
    </row>
    <row r="13" ht="28" customHeight="1">
      <c r="B13" s="71" t="inlineStr">
        <is>
          <t>📋 PROJECT SUMMARY</t>
        </is>
      </c>
    </row>
    <row r="14" ht="24" customHeight="1">
      <c r="B14" s="29" t="inlineStr">
        <is>
          <t>Total Projects</t>
        </is>
      </c>
      <c r="C14" s="72">
        <f>COUNTA('📋 Projects'!C4:C53)</f>
        <v/>
      </c>
      <c r="D14" s="21" t="n"/>
    </row>
    <row r="15" ht="24" customHeight="1">
      <c r="B15" s="32" t="inlineStr">
        <is>
          <t>Active Projects</t>
        </is>
      </c>
      <c r="C15" s="73">
        <f>COUNTIF('📋 Projects'!F4:F53,"Active")</f>
        <v/>
      </c>
      <c r="D15" s="17" t="n"/>
    </row>
    <row r="16" ht="24" customHeight="1">
      <c r="B16" s="29" t="inlineStr">
        <is>
          <t>Completed</t>
        </is>
      </c>
      <c r="C16" s="72">
        <f>COUNTIF('📋 Projects'!F4:F53,"Completed")</f>
        <v/>
      </c>
      <c r="D16" s="21" t="n"/>
    </row>
    <row r="17" ht="24" customHeight="1">
      <c r="B17" s="32" t="inlineStr">
        <is>
          <t>Total Project Value</t>
        </is>
      </c>
      <c r="C17" s="74">
        <f>SUM('📋 Projects'!I4:I53)</f>
        <v/>
      </c>
      <c r="D17" s="17" t="n"/>
    </row>
    <row r="18" ht="24" customHeight="1">
      <c r="B18" s="29" t="inlineStr">
        <is>
          <t>Avg Project Value</t>
        </is>
      </c>
      <c r="C18" s="75">
        <f>IFERROR(D28/D25,0)</f>
        <v/>
      </c>
      <c r="D18" s="21" t="n"/>
    </row>
    <row r="19" ht="24" customHeight="1">
      <c r="B19" s="32" t="inlineStr">
        <is>
          <t>Completion Rate %</t>
        </is>
      </c>
      <c r="C19" s="76">
        <f>IFERROR(D26/D25*100,0)</f>
        <v/>
      </c>
      <c r="D19" s="17" t="n"/>
    </row>
    <row r="21" ht="28" customHeight="1">
      <c r="B21" s="77" t="inlineStr">
        <is>
          <t>🧾 INVOICE SUMMARY</t>
        </is>
      </c>
    </row>
    <row r="22" ht="24" customHeight="1">
      <c r="B22" s="29" t="inlineStr">
        <is>
          <t>Total Invoiced</t>
        </is>
      </c>
      <c r="C22" s="78">
        <f>SUM('🧾 Invoices'!E4:E53)</f>
        <v/>
      </c>
      <c r="D22" s="21" t="n"/>
    </row>
    <row r="23" ht="24" customHeight="1">
      <c r="B23" s="32" t="inlineStr">
        <is>
          <t>Total Paid</t>
        </is>
      </c>
      <c r="C23" s="79">
        <f>SUMIF('🧾 Invoices'!H4:H53,"Paid",'🧾 Invoices'!E4:E53)</f>
        <v/>
      </c>
      <c r="D23" s="17" t="n"/>
    </row>
    <row r="24" ht="24" customHeight="1">
      <c r="B24" s="29" t="inlineStr">
        <is>
          <t>Unpaid</t>
        </is>
      </c>
      <c r="C24" s="78">
        <f>SUMIF('🧾 Invoices'!H4:H53,"Unpaid",'🧾 Invoices'!E4:E53)</f>
        <v/>
      </c>
      <c r="D24" s="21" t="n"/>
    </row>
    <row r="25" ht="24" customHeight="1">
      <c r="B25" s="32" t="inlineStr">
        <is>
          <t>Overdue</t>
        </is>
      </c>
      <c r="C25" s="79">
        <f>SUMIF('🧾 Invoices'!H4:H53,"Overdue",'🧾 Invoices'!E4:E53)</f>
        <v/>
      </c>
      <c r="D25" s="17" t="n"/>
    </row>
    <row r="26" ht="24" customHeight="1">
      <c r="B26" s="29" t="inlineStr">
        <is>
          <t>Collection Rate %</t>
        </is>
      </c>
      <c r="C26" s="80">
        <f>IFERROR(D38/D37*100,0)</f>
        <v/>
      </c>
      <c r="D26" s="21" t="n"/>
    </row>
    <row r="28" ht="28" customHeight="1">
      <c r="B28" s="81" t="inlineStr">
        <is>
          <t>⏱️ TIME SUMMARY</t>
        </is>
      </c>
    </row>
    <row r="29" ht="24" customHeight="1">
      <c r="B29" s="32" t="inlineStr">
        <is>
          <t>Total Hours Tracked</t>
        </is>
      </c>
      <c r="C29" s="82">
        <f>SUM('⏱️ Time Tracker'!G4:G51)</f>
        <v/>
      </c>
      <c r="D29" s="17" t="n"/>
    </row>
    <row r="30" ht="24" customHeight="1">
      <c r="B30" s="29" t="inlineStr">
        <is>
          <t>Total Earned</t>
        </is>
      </c>
      <c r="C30" s="83">
        <f>SUM('⏱️ Time Tracker'!I4:I51)</f>
        <v/>
      </c>
      <c r="D30" s="21" t="n"/>
    </row>
    <row r="31" ht="24" customHeight="1">
      <c r="B31" s="32" t="inlineStr">
        <is>
          <t>Avg Hourly Rate</t>
        </is>
      </c>
      <c r="C31" s="84">
        <f>IFERROR(D49/D48,0)</f>
        <v/>
      </c>
      <c r="D31" s="17" t="n"/>
    </row>
    <row r="32" ht="24" customHeight="1">
      <c r="B32" s="29" t="inlineStr">
        <is>
          <t>Most Productive Day</t>
        </is>
      </c>
      <c r="C32" s="85">
        <f>TEXT(INDEX('⏱️ Time Tracker'!B4:B51,MATCH(MAX('⏱️ Time Tracker'!G4:G51),'⏱️ Time Tracker'!G4:G51,0)),"DD/MM/YYYY")</f>
        <v/>
      </c>
      <c r="D32" s="21" t="n"/>
    </row>
  </sheetData>
  <mergeCells count="5">
    <mergeCell ref="B28:D28"/>
    <mergeCell ref="B3:D3"/>
    <mergeCell ref="B1:D1"/>
    <mergeCell ref="B13:D13"/>
    <mergeCell ref="B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2026-06-15T17:41:57Z</dcterms:created>
  <dcterms:modified xsi:type="dcterms:W3CDTF">2026-06-15T17:41:57Z</dcterms:modified>
</cp:coreProperties>
</file>