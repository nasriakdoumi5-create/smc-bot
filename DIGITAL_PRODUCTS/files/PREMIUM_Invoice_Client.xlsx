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ART HERE" sheetId="1" state="visible" r:id="rId1"/>
    <sheet name="🏠 DASHBOARD" sheetId="2" state="visible" r:id="rId2"/>
    <sheet name="🧾 Invoices" sheetId="3" state="visible" r:id="rId3"/>
    <sheet name="👥 Clients" sheetId="4" state="visible" r:id="rId4"/>
    <sheet name="📊 Statu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color rgb="002E5496"/>
      <sz val="14"/>
    </font>
    <font>
      <name val="Calibri"/>
      <b val="1"/>
      <color rgb="00ED7D3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2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Invoice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Status Summary'!B1</f>
            </strRef>
          </tx>
          <spPr>
            <a:ln>
              <a:prstDash val="solid"/>
            </a:ln>
          </spPr>
          <cat>
            <numRef>
              <f>'📊 Status Summary'!$A$2:$A$5</f>
            </numRef>
          </cat>
          <val>
            <numRef>
              <f>'📊 Status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Invoices by Status</a:t>
            </a:r>
          </a:p>
        </rich>
      </tx>
    </title>
    <plotArea>
      <pieChart>
        <varyColors val="1"/>
        <ser>
          <idx val="0"/>
          <order val="0"/>
          <tx>
            <strRef>
              <f>'📊 Status Summary'!B1</f>
            </strRef>
          </tx>
          <spPr>
            <a:ln>
              <a:prstDash val="solid"/>
            </a:ln>
          </spPr>
          <cat>
            <numRef>
              <f>'📊 Status Summary'!$A$2:$A$5</f>
            </numRef>
          </cat>
          <val>
            <numRef>
              <f>'📊 Status 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8" customHeight="1">
      <c r="A1" s="1" t="inlineStr">
        <is>
          <t>Invoice &amp; Client Tracker — Quick Start Guide</t>
        </is>
      </c>
    </row>
    <row r="3" ht="24" customHeight="1">
      <c r="B3" s="2" t="inlineStr">
        <is>
          <t>Welcome! Follow these steps and your dashboard fills itself. ✨</t>
        </is>
      </c>
    </row>
    <row r="5" ht="30" customHeight="1">
      <c r="A5" s="3" t="n">
        <v>1</v>
      </c>
      <c r="B5" s="4" t="inlineStr">
        <is>
          <t>Open '🧾 Invoices' and enter each invoice in the YELLOW cells.</t>
        </is>
      </c>
    </row>
    <row r="7" ht="30" customHeight="1">
      <c r="A7" s="3" t="n">
        <v>2</v>
      </c>
      <c r="B7" s="4" t="inlineStr">
        <is>
          <t>Set the Status (Draft / Sent / Paid / Overdue) from the dropdown.</t>
        </is>
      </c>
    </row>
    <row r="9" ht="30" customHeight="1">
      <c r="A9" s="3" t="n">
        <v>3</v>
      </c>
      <c r="B9" s="4" t="inlineStr">
        <is>
          <t>Add your clients in the '👥 Clients' tab — their totals calculate automatically.</t>
        </is>
      </c>
    </row>
    <row r="11" ht="30" customHeight="1">
      <c r="A11" s="3" t="n">
        <v>4</v>
      </c>
      <c r="B11" s="4" t="inlineStr">
        <is>
          <t>Check '🏠 DASHBOARD' for outstanding payments and collection rate.</t>
        </is>
      </c>
    </row>
    <row r="14">
      <c r="B14" s="5" t="inlineStr">
        <is>
          <t>💡 TIPS</t>
        </is>
      </c>
    </row>
    <row r="15" ht="20" customHeight="1">
      <c r="B15" s="6" t="inlineStr">
        <is>
          <t>• Use the same client name spelling in both tabs so totals match.</t>
        </is>
      </c>
    </row>
    <row r="16" ht="20" customHeight="1">
      <c r="B16" s="6" t="inlineStr">
        <is>
          <t>• Tax % accepts values like 0.21 for 21% VAT.</t>
        </is>
      </c>
    </row>
    <row r="17" ht="20" customHeight="1">
      <c r="B17" s="6" t="inlineStr">
        <is>
          <t>• Mark invoices as Overdue to see them highlighted on the dashboard.</t>
        </is>
      </c>
    </row>
    <row r="18" ht="20" customHeight="1">
      <c r="B18" s="6" t="inlineStr">
        <is>
          <t>• Works in Google Sheets and Microsoft Excel.</t>
        </is>
      </c>
    </row>
    <row r="21" ht="30" customHeight="1">
      <c r="B21" s="7" t="inlineStr">
        <is>
          <t>Need help? Message me on Etsy — I reply within 24h 🧡  |  NasriTools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" customWidth="1" min="5" max="5"/>
    <col width="19" customWidth="1" min="6" max="6"/>
    <col width="19" customWidth="1" min="7" max="7"/>
    <col width="19" customWidth="1" min="8" max="8"/>
  </cols>
  <sheetData>
    <row r="1" ht="40" customHeight="1">
      <c r="A1" s="1" t="inlineStr">
        <is>
          <t>🧾 INVOICE &amp; CLIENT DASHBOARD</t>
        </is>
      </c>
    </row>
    <row r="3" ht="20" customHeight="1">
      <c r="A3" s="8" t="inlineStr">
        <is>
          <t>TOTAL BILLED</t>
        </is>
      </c>
      <c r="B3" s="8" t="inlineStr">
        <is>
          <t>TOTAL PAID</t>
        </is>
      </c>
      <c r="C3" s="8" t="inlineStr">
        <is>
          <t>OUTSTANDING</t>
        </is>
      </c>
      <c r="D3" s="8" t="inlineStr">
        <is>
          <t>OVERDUE</t>
        </is>
      </c>
    </row>
    <row r="4" ht="28" customHeight="1">
      <c r="A4" s="9">
        <f>SUM('🧾 Invoices'!$G$3:$G$200)</f>
        <v/>
      </c>
      <c r="B4" s="9">
        <f>SUMIF('🧾 Invoices'!$H$3:$H$200,"Paid",'🧾 Invoices'!$G$3:$G$200)</f>
        <v/>
      </c>
      <c r="C4" s="9">
        <f>A4-B4</f>
        <v/>
      </c>
      <c r="D4" s="9">
        <f>SUMIF('🧾 Invoices'!$H$3:$H$200,"Overdue",'🧾 Invoices'!$G$3:$G$200)</f>
        <v/>
      </c>
    </row>
    <row r="7" ht="20" customHeight="1">
      <c r="A7" s="8" t="inlineStr">
        <is>
          <t>INVOICES SENT</t>
        </is>
      </c>
      <c r="B7" s="8" t="inlineStr">
        <is>
          <t>PAID COUNT</t>
        </is>
      </c>
      <c r="C7" s="8" t="inlineStr">
        <is>
          <t>AVG INVOICE</t>
        </is>
      </c>
      <c r="D7" s="8" t="inlineStr">
        <is>
          <t>COLLECTION RATE</t>
        </is>
      </c>
    </row>
    <row r="8" ht="28" customHeight="1">
      <c r="A8" s="10">
        <f>COUNTA('🧾 Invoices'!$A$3:$A$200)</f>
        <v/>
      </c>
      <c r="B8" s="10">
        <f>COUNTIF('🧾 Invoices'!$H$3:$H$200,"Paid")</f>
        <v/>
      </c>
      <c r="C8" s="9">
        <f>IFERROR(AVERAGE('🧾 Invoices'!$G$3:$G$200),0)</f>
        <v/>
      </c>
      <c r="D8" s="11">
        <f>IFERROR(B4/A4,0)</f>
        <v/>
      </c>
    </row>
    <row r="30" ht="28" customHeight="1">
      <c r="A30" s="7" t="inlineStr">
        <is>
          <t>✏️ Log invoices in '🧾 Invoices' and clients in '👥 Clients' — totals update automatically.</t>
        </is>
      </c>
    </row>
  </sheetData>
  <mergeCells count="2"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30" customWidth="1" min="4" max="4"/>
    <col width="14" customWidth="1" min="5" max="5"/>
    <col width="9" customWidth="1" min="6" max="6"/>
    <col width="14" customWidth="1" min="7" max="7"/>
    <col width="13" customWidth="1" min="8" max="8"/>
    <col width="13" customWidth="1" min="9" max="9"/>
  </cols>
  <sheetData>
    <row r="1" ht="38" customHeight="1">
      <c r="A1" s="1" t="inlineStr">
        <is>
          <t>Invoice Tracker — Log every invoice you send</t>
        </is>
      </c>
    </row>
    <row r="2" ht="26" customHeight="1">
      <c r="A2" s="12" t="inlineStr">
        <is>
          <t>Invoice #</t>
        </is>
      </c>
      <c r="B2" s="12" t="inlineStr">
        <is>
          <t>Date</t>
        </is>
      </c>
      <c r="C2" s="12" t="inlineStr">
        <is>
          <t>Client</t>
        </is>
      </c>
      <c r="D2" s="12" t="inlineStr">
        <is>
          <t>Description</t>
        </is>
      </c>
      <c r="E2" s="12" t="inlineStr">
        <is>
          <t>Amount</t>
        </is>
      </c>
      <c r="F2" s="12" t="inlineStr">
        <is>
          <t>Tax %</t>
        </is>
      </c>
      <c r="G2" s="12" t="inlineStr">
        <is>
          <t>Total</t>
        </is>
      </c>
      <c r="H2" s="12" t="inlineStr">
        <is>
          <t>Status</t>
        </is>
      </c>
      <c r="I2" s="12" t="inlineStr">
        <is>
          <t>Paid Date</t>
        </is>
      </c>
    </row>
    <row r="3">
      <c r="A3" s="13" t="n"/>
      <c r="B3" s="13" t="n"/>
      <c r="C3" s="13" t="n"/>
      <c r="D3" s="13" t="n"/>
      <c r="E3" s="14" t="n"/>
      <c r="F3" s="15" t="n"/>
      <c r="G3" s="16">
        <f>IFERROR(E3*(1+F3),"")</f>
        <v/>
      </c>
      <c r="H3" s="13" t="n"/>
      <c r="I3" s="13" t="n"/>
    </row>
    <row r="4">
      <c r="A4" s="13" t="n"/>
      <c r="B4" s="13" t="n"/>
      <c r="C4" s="13" t="n"/>
      <c r="D4" s="13" t="n"/>
      <c r="E4" s="14" t="n"/>
      <c r="F4" s="15" t="n"/>
      <c r="G4" s="16">
        <f>IFERROR(E4*(1+F4),"")</f>
        <v/>
      </c>
      <c r="H4" s="13" t="n"/>
      <c r="I4" s="13" t="n"/>
    </row>
    <row r="5">
      <c r="A5" s="13" t="n"/>
      <c r="B5" s="13" t="n"/>
      <c r="C5" s="13" t="n"/>
      <c r="D5" s="13" t="n"/>
      <c r="E5" s="14" t="n"/>
      <c r="F5" s="15" t="n"/>
      <c r="G5" s="16">
        <f>IFERROR(E5*(1+F5),"")</f>
        <v/>
      </c>
      <c r="H5" s="13" t="n"/>
      <c r="I5" s="13" t="n"/>
    </row>
    <row r="6">
      <c r="A6" s="13" t="n"/>
      <c r="B6" s="13" t="n"/>
      <c r="C6" s="13" t="n"/>
      <c r="D6" s="13" t="n"/>
      <c r="E6" s="14" t="n"/>
      <c r="F6" s="15" t="n"/>
      <c r="G6" s="16">
        <f>IFERROR(E6*(1+F6),"")</f>
        <v/>
      </c>
      <c r="H6" s="13" t="n"/>
      <c r="I6" s="13" t="n"/>
    </row>
    <row r="7">
      <c r="A7" s="13" t="n"/>
      <c r="B7" s="13" t="n"/>
      <c r="C7" s="13" t="n"/>
      <c r="D7" s="13" t="n"/>
      <c r="E7" s="14" t="n"/>
      <c r="F7" s="15" t="n"/>
      <c r="G7" s="16">
        <f>IFERROR(E7*(1+F7),"")</f>
        <v/>
      </c>
      <c r="H7" s="13" t="n"/>
      <c r="I7" s="13" t="n"/>
    </row>
    <row r="8">
      <c r="A8" s="13" t="n"/>
      <c r="B8" s="13" t="n"/>
      <c r="C8" s="13" t="n"/>
      <c r="D8" s="13" t="n"/>
      <c r="E8" s="14" t="n"/>
      <c r="F8" s="15" t="n"/>
      <c r="G8" s="16">
        <f>IFERROR(E8*(1+F8),"")</f>
        <v/>
      </c>
      <c r="H8" s="13" t="n"/>
      <c r="I8" s="13" t="n"/>
    </row>
    <row r="9">
      <c r="A9" s="13" t="n"/>
      <c r="B9" s="13" t="n"/>
      <c r="C9" s="13" t="n"/>
      <c r="D9" s="13" t="n"/>
      <c r="E9" s="14" t="n"/>
      <c r="F9" s="15" t="n"/>
      <c r="G9" s="16">
        <f>IFERROR(E9*(1+F9),"")</f>
        <v/>
      </c>
      <c r="H9" s="13" t="n"/>
      <c r="I9" s="13" t="n"/>
    </row>
    <row r="10">
      <c r="A10" s="13" t="n"/>
      <c r="B10" s="13" t="n"/>
      <c r="C10" s="13" t="n"/>
      <c r="D10" s="13" t="n"/>
      <c r="E10" s="14" t="n"/>
      <c r="F10" s="15" t="n"/>
      <c r="G10" s="16">
        <f>IFERROR(E10*(1+F10),"")</f>
        <v/>
      </c>
      <c r="H10" s="13" t="n"/>
      <c r="I10" s="13" t="n"/>
    </row>
    <row r="11">
      <c r="A11" s="13" t="n"/>
      <c r="B11" s="13" t="n"/>
      <c r="C11" s="13" t="n"/>
      <c r="D11" s="13" t="n"/>
      <c r="E11" s="14" t="n"/>
      <c r="F11" s="15" t="n"/>
      <c r="G11" s="16">
        <f>IFERROR(E11*(1+F11),"")</f>
        <v/>
      </c>
      <c r="H11" s="13" t="n"/>
      <c r="I11" s="13" t="n"/>
    </row>
    <row r="12">
      <c r="A12" s="13" t="n"/>
      <c r="B12" s="13" t="n"/>
      <c r="C12" s="13" t="n"/>
      <c r="D12" s="13" t="n"/>
      <c r="E12" s="14" t="n"/>
      <c r="F12" s="15" t="n"/>
      <c r="G12" s="16">
        <f>IFERROR(E12*(1+F12),"")</f>
        <v/>
      </c>
      <c r="H12" s="13" t="n"/>
      <c r="I12" s="13" t="n"/>
    </row>
    <row r="13">
      <c r="A13" s="13" t="n"/>
      <c r="B13" s="13" t="n"/>
      <c r="C13" s="13" t="n"/>
      <c r="D13" s="13" t="n"/>
      <c r="E13" s="14" t="n"/>
      <c r="F13" s="15" t="n"/>
      <c r="G13" s="16">
        <f>IFERROR(E13*(1+F13),"")</f>
        <v/>
      </c>
      <c r="H13" s="13" t="n"/>
      <c r="I13" s="13" t="n"/>
    </row>
    <row r="14">
      <c r="A14" s="13" t="n"/>
      <c r="B14" s="13" t="n"/>
      <c r="C14" s="13" t="n"/>
      <c r="D14" s="13" t="n"/>
      <c r="E14" s="14" t="n"/>
      <c r="F14" s="15" t="n"/>
      <c r="G14" s="16">
        <f>IFERROR(E14*(1+F14),"")</f>
        <v/>
      </c>
      <c r="H14" s="13" t="n"/>
      <c r="I14" s="13" t="n"/>
    </row>
    <row r="15">
      <c r="A15" s="13" t="n"/>
      <c r="B15" s="13" t="n"/>
      <c r="C15" s="13" t="n"/>
      <c r="D15" s="13" t="n"/>
      <c r="E15" s="14" t="n"/>
      <c r="F15" s="15" t="n"/>
      <c r="G15" s="16">
        <f>IFERROR(E15*(1+F15),"")</f>
        <v/>
      </c>
      <c r="H15" s="13" t="n"/>
      <c r="I15" s="13" t="n"/>
    </row>
    <row r="16">
      <c r="A16" s="13" t="n"/>
      <c r="B16" s="13" t="n"/>
      <c r="C16" s="13" t="n"/>
      <c r="D16" s="13" t="n"/>
      <c r="E16" s="14" t="n"/>
      <c r="F16" s="15" t="n"/>
      <c r="G16" s="16">
        <f>IFERROR(E16*(1+F16),"")</f>
        <v/>
      </c>
      <c r="H16" s="13" t="n"/>
      <c r="I16" s="13" t="n"/>
    </row>
    <row r="17">
      <c r="A17" s="13" t="n"/>
      <c r="B17" s="13" t="n"/>
      <c r="C17" s="13" t="n"/>
      <c r="D17" s="13" t="n"/>
      <c r="E17" s="14" t="n"/>
      <c r="F17" s="15" t="n"/>
      <c r="G17" s="16">
        <f>IFERROR(E17*(1+F17),"")</f>
        <v/>
      </c>
      <c r="H17" s="13" t="n"/>
      <c r="I17" s="13" t="n"/>
    </row>
    <row r="18">
      <c r="A18" s="13" t="n"/>
      <c r="B18" s="13" t="n"/>
      <c r="C18" s="13" t="n"/>
      <c r="D18" s="13" t="n"/>
      <c r="E18" s="14" t="n"/>
      <c r="F18" s="15" t="n"/>
      <c r="G18" s="16">
        <f>IFERROR(E18*(1+F18),"")</f>
        <v/>
      </c>
      <c r="H18" s="13" t="n"/>
      <c r="I18" s="13" t="n"/>
    </row>
    <row r="19">
      <c r="A19" s="13" t="n"/>
      <c r="B19" s="13" t="n"/>
      <c r="C19" s="13" t="n"/>
      <c r="D19" s="13" t="n"/>
      <c r="E19" s="14" t="n"/>
      <c r="F19" s="15" t="n"/>
      <c r="G19" s="16">
        <f>IFERROR(E19*(1+F19),"")</f>
        <v/>
      </c>
      <c r="H19" s="13" t="n"/>
      <c r="I19" s="13" t="n"/>
    </row>
    <row r="20">
      <c r="A20" s="13" t="n"/>
      <c r="B20" s="13" t="n"/>
      <c r="C20" s="13" t="n"/>
      <c r="D20" s="13" t="n"/>
      <c r="E20" s="14" t="n"/>
      <c r="F20" s="15" t="n"/>
      <c r="G20" s="16">
        <f>IFERROR(E20*(1+F20),"")</f>
        <v/>
      </c>
      <c r="H20" s="13" t="n"/>
      <c r="I20" s="13" t="n"/>
    </row>
    <row r="21">
      <c r="A21" s="13" t="n"/>
      <c r="B21" s="13" t="n"/>
      <c r="C21" s="13" t="n"/>
      <c r="D21" s="13" t="n"/>
      <c r="E21" s="14" t="n"/>
      <c r="F21" s="15" t="n"/>
      <c r="G21" s="16">
        <f>IFERROR(E21*(1+F21),"")</f>
        <v/>
      </c>
      <c r="H21" s="13" t="n"/>
      <c r="I21" s="13" t="n"/>
    </row>
    <row r="22">
      <c r="A22" s="13" t="n"/>
      <c r="B22" s="13" t="n"/>
      <c r="C22" s="13" t="n"/>
      <c r="D22" s="13" t="n"/>
      <c r="E22" s="14" t="n"/>
      <c r="F22" s="15" t="n"/>
      <c r="G22" s="16">
        <f>IFERROR(E22*(1+F22),"")</f>
        <v/>
      </c>
      <c r="H22" s="13" t="n"/>
      <c r="I22" s="13" t="n"/>
    </row>
    <row r="23">
      <c r="A23" s="13" t="n"/>
      <c r="B23" s="13" t="n"/>
      <c r="C23" s="13" t="n"/>
      <c r="D23" s="13" t="n"/>
      <c r="E23" s="14" t="n"/>
      <c r="F23" s="15" t="n"/>
      <c r="G23" s="16">
        <f>IFERROR(E23*(1+F23),"")</f>
        <v/>
      </c>
      <c r="H23" s="13" t="n"/>
      <c r="I23" s="13" t="n"/>
    </row>
    <row r="24">
      <c r="A24" s="13" t="n"/>
      <c r="B24" s="13" t="n"/>
      <c r="C24" s="13" t="n"/>
      <c r="D24" s="13" t="n"/>
      <c r="E24" s="14" t="n"/>
      <c r="F24" s="15" t="n"/>
      <c r="G24" s="16">
        <f>IFERROR(E24*(1+F24),"")</f>
        <v/>
      </c>
      <c r="H24" s="13" t="n"/>
      <c r="I24" s="13" t="n"/>
    </row>
    <row r="25">
      <c r="A25" s="13" t="n"/>
      <c r="B25" s="13" t="n"/>
      <c r="C25" s="13" t="n"/>
      <c r="D25" s="13" t="n"/>
      <c r="E25" s="14" t="n"/>
      <c r="F25" s="15" t="n"/>
      <c r="G25" s="16">
        <f>IFERROR(E25*(1+F25),"")</f>
        <v/>
      </c>
      <c r="H25" s="13" t="n"/>
      <c r="I25" s="13" t="n"/>
    </row>
    <row r="26">
      <c r="A26" s="13" t="n"/>
      <c r="B26" s="13" t="n"/>
      <c r="C26" s="13" t="n"/>
      <c r="D26" s="13" t="n"/>
      <c r="E26" s="14" t="n"/>
      <c r="F26" s="15" t="n"/>
      <c r="G26" s="16">
        <f>IFERROR(E26*(1+F26),"")</f>
        <v/>
      </c>
      <c r="H26" s="13" t="n"/>
      <c r="I26" s="13" t="n"/>
    </row>
    <row r="27">
      <c r="A27" s="13" t="n"/>
      <c r="B27" s="13" t="n"/>
      <c r="C27" s="13" t="n"/>
      <c r="D27" s="13" t="n"/>
      <c r="E27" s="14" t="n"/>
      <c r="F27" s="15" t="n"/>
      <c r="G27" s="16">
        <f>IFERROR(E27*(1+F27),"")</f>
        <v/>
      </c>
      <c r="H27" s="13" t="n"/>
      <c r="I27" s="13" t="n"/>
    </row>
    <row r="28">
      <c r="A28" s="13" t="n"/>
      <c r="B28" s="13" t="n"/>
      <c r="C28" s="13" t="n"/>
      <c r="D28" s="13" t="n"/>
      <c r="E28" s="14" t="n"/>
      <c r="F28" s="15" t="n"/>
      <c r="G28" s="16">
        <f>IFERROR(E28*(1+F28),"")</f>
        <v/>
      </c>
      <c r="H28" s="13" t="n"/>
      <c r="I28" s="13" t="n"/>
    </row>
    <row r="29">
      <c r="A29" s="13" t="n"/>
      <c r="B29" s="13" t="n"/>
      <c r="C29" s="13" t="n"/>
      <c r="D29" s="13" t="n"/>
      <c r="E29" s="14" t="n"/>
      <c r="F29" s="15" t="n"/>
      <c r="G29" s="16">
        <f>IFERROR(E29*(1+F29),"")</f>
        <v/>
      </c>
      <c r="H29" s="13" t="n"/>
      <c r="I29" s="13" t="n"/>
    </row>
    <row r="30">
      <c r="A30" s="13" t="n"/>
      <c r="B30" s="13" t="n"/>
      <c r="C30" s="13" t="n"/>
      <c r="D30" s="13" t="n"/>
      <c r="E30" s="14" t="n"/>
      <c r="F30" s="15" t="n"/>
      <c r="G30" s="16">
        <f>IFERROR(E30*(1+F30),"")</f>
        <v/>
      </c>
      <c r="H30" s="13" t="n"/>
      <c r="I30" s="13" t="n"/>
    </row>
    <row r="31">
      <c r="A31" s="13" t="n"/>
      <c r="B31" s="13" t="n"/>
      <c r="C31" s="13" t="n"/>
      <c r="D31" s="13" t="n"/>
      <c r="E31" s="14" t="n"/>
      <c r="F31" s="15" t="n"/>
      <c r="G31" s="16">
        <f>IFERROR(E31*(1+F31),"")</f>
        <v/>
      </c>
      <c r="H31" s="13" t="n"/>
      <c r="I31" s="13" t="n"/>
    </row>
    <row r="32">
      <c r="A32" s="13" t="n"/>
      <c r="B32" s="13" t="n"/>
      <c r="C32" s="13" t="n"/>
      <c r="D32" s="13" t="n"/>
      <c r="E32" s="14" t="n"/>
      <c r="F32" s="15" t="n"/>
      <c r="G32" s="16">
        <f>IFERROR(E32*(1+F32),"")</f>
        <v/>
      </c>
      <c r="H32" s="13" t="n"/>
      <c r="I32" s="13" t="n"/>
    </row>
    <row r="33">
      <c r="A33" s="13" t="n"/>
      <c r="B33" s="13" t="n"/>
      <c r="C33" s="13" t="n"/>
      <c r="D33" s="13" t="n"/>
      <c r="E33" s="14" t="n"/>
      <c r="F33" s="15" t="n"/>
      <c r="G33" s="16">
        <f>IFERROR(E33*(1+F33),"")</f>
        <v/>
      </c>
      <c r="H33" s="13" t="n"/>
      <c r="I33" s="13" t="n"/>
    </row>
    <row r="34">
      <c r="A34" s="13" t="n"/>
      <c r="B34" s="13" t="n"/>
      <c r="C34" s="13" t="n"/>
      <c r="D34" s="13" t="n"/>
      <c r="E34" s="14" t="n"/>
      <c r="F34" s="15" t="n"/>
      <c r="G34" s="16">
        <f>IFERROR(E34*(1+F34),"")</f>
        <v/>
      </c>
      <c r="H34" s="13" t="n"/>
      <c r="I34" s="13" t="n"/>
    </row>
    <row r="35">
      <c r="A35" s="13" t="n"/>
      <c r="B35" s="13" t="n"/>
      <c r="C35" s="13" t="n"/>
      <c r="D35" s="13" t="n"/>
      <c r="E35" s="14" t="n"/>
      <c r="F35" s="15" t="n"/>
      <c r="G35" s="16">
        <f>IFERROR(E35*(1+F35),"")</f>
        <v/>
      </c>
      <c r="H35" s="13" t="n"/>
      <c r="I35" s="13" t="n"/>
    </row>
    <row r="36">
      <c r="A36" s="13" t="n"/>
      <c r="B36" s="13" t="n"/>
      <c r="C36" s="13" t="n"/>
      <c r="D36" s="13" t="n"/>
      <c r="E36" s="14" t="n"/>
      <c r="F36" s="15" t="n"/>
      <c r="G36" s="16">
        <f>IFERROR(E36*(1+F36),"")</f>
        <v/>
      </c>
      <c r="H36" s="13" t="n"/>
      <c r="I36" s="13" t="n"/>
    </row>
    <row r="37">
      <c r="A37" s="13" t="n"/>
      <c r="B37" s="13" t="n"/>
      <c r="C37" s="13" t="n"/>
      <c r="D37" s="13" t="n"/>
      <c r="E37" s="14" t="n"/>
      <c r="F37" s="15" t="n"/>
      <c r="G37" s="16">
        <f>IFERROR(E37*(1+F37),"")</f>
        <v/>
      </c>
      <c r="H37" s="13" t="n"/>
      <c r="I37" s="13" t="n"/>
    </row>
    <row r="38">
      <c r="A38" s="13" t="n"/>
      <c r="B38" s="13" t="n"/>
      <c r="C38" s="13" t="n"/>
      <c r="D38" s="13" t="n"/>
      <c r="E38" s="14" t="n"/>
      <c r="F38" s="15" t="n"/>
      <c r="G38" s="16">
        <f>IFERROR(E38*(1+F38),"")</f>
        <v/>
      </c>
      <c r="H38" s="13" t="n"/>
      <c r="I38" s="13" t="n"/>
    </row>
    <row r="39">
      <c r="A39" s="13" t="n"/>
      <c r="B39" s="13" t="n"/>
      <c r="C39" s="13" t="n"/>
      <c r="D39" s="13" t="n"/>
      <c r="E39" s="14" t="n"/>
      <c r="F39" s="15" t="n"/>
      <c r="G39" s="16">
        <f>IFERROR(E39*(1+F39),"")</f>
        <v/>
      </c>
      <c r="H39" s="13" t="n"/>
      <c r="I39" s="13" t="n"/>
    </row>
    <row r="40">
      <c r="A40" s="13" t="n"/>
      <c r="B40" s="13" t="n"/>
      <c r="C40" s="13" t="n"/>
      <c r="D40" s="13" t="n"/>
      <c r="E40" s="14" t="n"/>
      <c r="F40" s="15" t="n"/>
      <c r="G40" s="16">
        <f>IFERROR(E40*(1+F40),"")</f>
        <v/>
      </c>
      <c r="H40" s="13" t="n"/>
      <c r="I40" s="13" t="n"/>
    </row>
    <row r="41">
      <c r="A41" s="13" t="n"/>
      <c r="B41" s="13" t="n"/>
      <c r="C41" s="13" t="n"/>
      <c r="D41" s="13" t="n"/>
      <c r="E41" s="14" t="n"/>
      <c r="F41" s="15" t="n"/>
      <c r="G41" s="16">
        <f>IFERROR(E41*(1+F41),"")</f>
        <v/>
      </c>
      <c r="H41" s="13" t="n"/>
      <c r="I41" s="13" t="n"/>
    </row>
    <row r="42">
      <c r="A42" s="13" t="n"/>
      <c r="B42" s="13" t="n"/>
      <c r="C42" s="13" t="n"/>
      <c r="D42" s="13" t="n"/>
      <c r="E42" s="14" t="n"/>
      <c r="F42" s="15" t="n"/>
      <c r="G42" s="16">
        <f>IFERROR(E42*(1+F42),"")</f>
        <v/>
      </c>
      <c r="H42" s="13" t="n"/>
      <c r="I42" s="13" t="n"/>
    </row>
    <row r="43">
      <c r="A43" s="13" t="n"/>
      <c r="B43" s="13" t="n"/>
      <c r="C43" s="13" t="n"/>
      <c r="D43" s="13" t="n"/>
      <c r="E43" s="14" t="n"/>
      <c r="F43" s="15" t="n"/>
      <c r="G43" s="16">
        <f>IFERROR(E43*(1+F43),"")</f>
        <v/>
      </c>
      <c r="H43" s="13" t="n"/>
      <c r="I43" s="13" t="n"/>
    </row>
    <row r="44">
      <c r="A44" s="13" t="n"/>
      <c r="B44" s="13" t="n"/>
      <c r="C44" s="13" t="n"/>
      <c r="D44" s="13" t="n"/>
      <c r="E44" s="14" t="n"/>
      <c r="F44" s="15" t="n"/>
      <c r="G44" s="16">
        <f>IFERROR(E44*(1+F44),"")</f>
        <v/>
      </c>
      <c r="H44" s="13" t="n"/>
      <c r="I44" s="13" t="n"/>
    </row>
    <row r="45">
      <c r="A45" s="13" t="n"/>
      <c r="B45" s="13" t="n"/>
      <c r="C45" s="13" t="n"/>
      <c r="D45" s="13" t="n"/>
      <c r="E45" s="14" t="n"/>
      <c r="F45" s="15" t="n"/>
      <c r="G45" s="16">
        <f>IFERROR(E45*(1+F45),"")</f>
        <v/>
      </c>
      <c r="H45" s="13" t="n"/>
      <c r="I45" s="13" t="n"/>
    </row>
    <row r="46">
      <c r="A46" s="13" t="n"/>
      <c r="B46" s="13" t="n"/>
      <c r="C46" s="13" t="n"/>
      <c r="D46" s="13" t="n"/>
      <c r="E46" s="14" t="n"/>
      <c r="F46" s="15" t="n"/>
      <c r="G46" s="16">
        <f>IFERROR(E46*(1+F46),"")</f>
        <v/>
      </c>
      <c r="H46" s="13" t="n"/>
      <c r="I46" s="13" t="n"/>
    </row>
    <row r="47">
      <c r="A47" s="13" t="n"/>
      <c r="B47" s="13" t="n"/>
      <c r="C47" s="13" t="n"/>
      <c r="D47" s="13" t="n"/>
      <c r="E47" s="14" t="n"/>
      <c r="F47" s="15" t="n"/>
      <c r="G47" s="16">
        <f>IFERROR(E47*(1+F47),"")</f>
        <v/>
      </c>
      <c r="H47" s="13" t="n"/>
      <c r="I47" s="13" t="n"/>
    </row>
    <row r="48">
      <c r="A48" s="13" t="n"/>
      <c r="B48" s="13" t="n"/>
      <c r="C48" s="13" t="n"/>
      <c r="D48" s="13" t="n"/>
      <c r="E48" s="14" t="n"/>
      <c r="F48" s="15" t="n"/>
      <c r="G48" s="16">
        <f>IFERROR(E48*(1+F48),"")</f>
        <v/>
      </c>
      <c r="H48" s="13" t="n"/>
      <c r="I48" s="13" t="n"/>
    </row>
    <row r="49">
      <c r="A49" s="13" t="n"/>
      <c r="B49" s="13" t="n"/>
      <c r="C49" s="13" t="n"/>
      <c r="D49" s="13" t="n"/>
      <c r="E49" s="14" t="n"/>
      <c r="F49" s="15" t="n"/>
      <c r="G49" s="16">
        <f>IFERROR(E49*(1+F49),"")</f>
        <v/>
      </c>
      <c r="H49" s="13" t="n"/>
      <c r="I49" s="13" t="n"/>
    </row>
    <row r="50">
      <c r="A50" s="13" t="n"/>
      <c r="B50" s="13" t="n"/>
      <c r="C50" s="13" t="n"/>
      <c r="D50" s="13" t="n"/>
      <c r="E50" s="14" t="n"/>
      <c r="F50" s="15" t="n"/>
      <c r="G50" s="16">
        <f>IFERROR(E50*(1+F50),"")</f>
        <v/>
      </c>
      <c r="H50" s="13" t="n"/>
      <c r="I50" s="13" t="n"/>
    </row>
    <row r="51">
      <c r="A51" s="13" t="n"/>
      <c r="B51" s="13" t="n"/>
      <c r="C51" s="13" t="n"/>
      <c r="D51" s="13" t="n"/>
      <c r="E51" s="14" t="n"/>
      <c r="F51" s="15" t="n"/>
      <c r="G51" s="16">
        <f>IFERROR(E51*(1+F51),"")</f>
        <v/>
      </c>
      <c r="H51" s="13" t="n"/>
      <c r="I51" s="13" t="n"/>
    </row>
    <row r="52">
      <c r="A52" s="13" t="n"/>
      <c r="B52" s="13" t="n"/>
      <c r="C52" s="13" t="n"/>
      <c r="D52" s="13" t="n"/>
      <c r="E52" s="14" t="n"/>
      <c r="F52" s="15" t="n"/>
      <c r="G52" s="16">
        <f>IFERROR(E52*(1+F52),"")</f>
        <v/>
      </c>
      <c r="H52" s="13" t="n"/>
      <c r="I52" s="13" t="n"/>
    </row>
    <row r="53">
      <c r="A53" s="13" t="n"/>
      <c r="B53" s="13" t="n"/>
      <c r="C53" s="13" t="n"/>
      <c r="D53" s="13" t="n"/>
      <c r="E53" s="14" t="n"/>
      <c r="F53" s="15" t="n"/>
      <c r="G53" s="16">
        <f>IFERROR(E53*(1+F53),"")</f>
        <v/>
      </c>
      <c r="H53" s="13" t="n"/>
      <c r="I53" s="13" t="n"/>
    </row>
    <row r="54">
      <c r="A54" s="13" t="n"/>
      <c r="B54" s="13" t="n"/>
      <c r="C54" s="13" t="n"/>
      <c r="D54" s="13" t="n"/>
      <c r="E54" s="14" t="n"/>
      <c r="F54" s="15" t="n"/>
      <c r="G54" s="16">
        <f>IFERROR(E54*(1+F54),"")</f>
        <v/>
      </c>
      <c r="H54" s="13" t="n"/>
      <c r="I54" s="13" t="n"/>
    </row>
    <row r="55">
      <c r="A55" s="13" t="n"/>
      <c r="B55" s="13" t="n"/>
      <c r="C55" s="13" t="n"/>
      <c r="D55" s="13" t="n"/>
      <c r="E55" s="14" t="n"/>
      <c r="F55" s="15" t="n"/>
      <c r="G55" s="16">
        <f>IFERROR(E55*(1+F55),"")</f>
        <v/>
      </c>
      <c r="H55" s="13" t="n"/>
      <c r="I55" s="13" t="n"/>
    </row>
    <row r="56">
      <c r="A56" s="13" t="n"/>
      <c r="B56" s="13" t="n"/>
      <c r="C56" s="13" t="n"/>
      <c r="D56" s="13" t="n"/>
      <c r="E56" s="14" t="n"/>
      <c r="F56" s="15" t="n"/>
      <c r="G56" s="16">
        <f>IFERROR(E56*(1+F56),"")</f>
        <v/>
      </c>
      <c r="H56" s="13" t="n"/>
      <c r="I56" s="13" t="n"/>
    </row>
    <row r="57">
      <c r="A57" s="13" t="n"/>
      <c r="B57" s="13" t="n"/>
      <c r="C57" s="13" t="n"/>
      <c r="D57" s="13" t="n"/>
      <c r="E57" s="14" t="n"/>
      <c r="F57" s="15" t="n"/>
      <c r="G57" s="16">
        <f>IFERROR(E57*(1+F57),"")</f>
        <v/>
      </c>
      <c r="H57" s="13" t="n"/>
      <c r="I57" s="13" t="n"/>
    </row>
    <row r="58">
      <c r="A58" s="13" t="n"/>
      <c r="B58" s="13" t="n"/>
      <c r="C58" s="13" t="n"/>
      <c r="D58" s="13" t="n"/>
      <c r="E58" s="14" t="n"/>
      <c r="F58" s="15" t="n"/>
      <c r="G58" s="16">
        <f>IFERROR(E58*(1+F58),"")</f>
        <v/>
      </c>
      <c r="H58" s="13" t="n"/>
      <c r="I58" s="13" t="n"/>
    </row>
    <row r="59">
      <c r="A59" s="13" t="n"/>
      <c r="B59" s="13" t="n"/>
      <c r="C59" s="13" t="n"/>
      <c r="D59" s="13" t="n"/>
      <c r="E59" s="14" t="n"/>
      <c r="F59" s="15" t="n"/>
      <c r="G59" s="16">
        <f>IFERROR(E59*(1+F59),"")</f>
        <v/>
      </c>
      <c r="H59" s="13" t="n"/>
      <c r="I59" s="13" t="n"/>
    </row>
    <row r="60">
      <c r="A60" s="13" t="n"/>
      <c r="B60" s="13" t="n"/>
      <c r="C60" s="13" t="n"/>
      <c r="D60" s="13" t="n"/>
      <c r="E60" s="14" t="n"/>
      <c r="F60" s="15" t="n"/>
      <c r="G60" s="16">
        <f>IFERROR(E60*(1+F60),"")</f>
        <v/>
      </c>
      <c r="H60" s="13" t="n"/>
      <c r="I60" s="13" t="n"/>
    </row>
    <row r="61">
      <c r="A61" s="13" t="n"/>
      <c r="B61" s="13" t="n"/>
      <c r="C61" s="13" t="n"/>
      <c r="D61" s="13" t="n"/>
      <c r="E61" s="14" t="n"/>
      <c r="F61" s="15" t="n"/>
      <c r="G61" s="16">
        <f>IFERROR(E61*(1+F61),"")</f>
        <v/>
      </c>
      <c r="H61" s="13" t="n"/>
      <c r="I61" s="13" t="n"/>
    </row>
    <row r="62">
      <c r="A62" s="13" t="n"/>
      <c r="B62" s="13" t="n"/>
      <c r="C62" s="13" t="n"/>
      <c r="D62" s="13" t="n"/>
      <c r="E62" s="14" t="n"/>
      <c r="F62" s="15" t="n"/>
      <c r="G62" s="16">
        <f>IFERROR(E62*(1+F62),"")</f>
        <v/>
      </c>
      <c r="H62" s="13" t="n"/>
      <c r="I62" s="13" t="n"/>
    </row>
    <row r="63">
      <c r="A63" s="13" t="n"/>
      <c r="B63" s="13" t="n"/>
      <c r="C63" s="13" t="n"/>
      <c r="D63" s="13" t="n"/>
      <c r="E63" s="14" t="n"/>
      <c r="F63" s="15" t="n"/>
      <c r="G63" s="16">
        <f>IFERROR(E63*(1+F63),"")</f>
        <v/>
      </c>
      <c r="H63" s="13" t="n"/>
      <c r="I63" s="13" t="n"/>
    </row>
    <row r="64">
      <c r="A64" s="13" t="n"/>
      <c r="B64" s="13" t="n"/>
      <c r="C64" s="13" t="n"/>
      <c r="D64" s="13" t="n"/>
      <c r="E64" s="14" t="n"/>
      <c r="F64" s="15" t="n"/>
      <c r="G64" s="16">
        <f>IFERROR(E64*(1+F64),"")</f>
        <v/>
      </c>
      <c r="H64" s="13" t="n"/>
      <c r="I64" s="13" t="n"/>
    </row>
    <row r="65">
      <c r="A65" s="13" t="n"/>
      <c r="B65" s="13" t="n"/>
      <c r="C65" s="13" t="n"/>
      <c r="D65" s="13" t="n"/>
      <c r="E65" s="14" t="n"/>
      <c r="F65" s="15" t="n"/>
      <c r="G65" s="16">
        <f>IFERROR(E65*(1+F65),"")</f>
        <v/>
      </c>
      <c r="H65" s="13" t="n"/>
      <c r="I65" s="13" t="n"/>
    </row>
    <row r="66">
      <c r="A66" s="13" t="n"/>
      <c r="B66" s="13" t="n"/>
      <c r="C66" s="13" t="n"/>
      <c r="D66" s="13" t="n"/>
      <c r="E66" s="14" t="n"/>
      <c r="F66" s="15" t="n"/>
      <c r="G66" s="16">
        <f>IFERROR(E66*(1+F66),"")</f>
        <v/>
      </c>
      <c r="H66" s="13" t="n"/>
      <c r="I66" s="13" t="n"/>
    </row>
    <row r="67">
      <c r="A67" s="13" t="n"/>
      <c r="B67" s="13" t="n"/>
      <c r="C67" s="13" t="n"/>
      <c r="D67" s="13" t="n"/>
      <c r="E67" s="14" t="n"/>
      <c r="F67" s="15" t="n"/>
      <c r="G67" s="16">
        <f>IFERROR(E67*(1+F67),"")</f>
        <v/>
      </c>
      <c r="H67" s="13" t="n"/>
      <c r="I67" s="13" t="n"/>
    </row>
    <row r="68">
      <c r="A68" s="13" t="n"/>
      <c r="B68" s="13" t="n"/>
      <c r="C68" s="13" t="n"/>
      <c r="D68" s="13" t="n"/>
      <c r="E68" s="14" t="n"/>
      <c r="F68" s="15" t="n"/>
      <c r="G68" s="16">
        <f>IFERROR(E68*(1+F68),"")</f>
        <v/>
      </c>
      <c r="H68" s="13" t="n"/>
      <c r="I68" s="13" t="n"/>
    </row>
    <row r="69">
      <c r="A69" s="13" t="n"/>
      <c r="B69" s="13" t="n"/>
      <c r="C69" s="13" t="n"/>
      <c r="D69" s="13" t="n"/>
      <c r="E69" s="14" t="n"/>
      <c r="F69" s="15" t="n"/>
      <c r="G69" s="16">
        <f>IFERROR(E69*(1+F69),"")</f>
        <v/>
      </c>
      <c r="H69" s="13" t="n"/>
      <c r="I69" s="13" t="n"/>
    </row>
    <row r="70">
      <c r="A70" s="13" t="n"/>
      <c r="B70" s="13" t="n"/>
      <c r="C70" s="13" t="n"/>
      <c r="D70" s="13" t="n"/>
      <c r="E70" s="14" t="n"/>
      <c r="F70" s="15" t="n"/>
      <c r="G70" s="16">
        <f>IFERROR(E70*(1+F70),"")</f>
        <v/>
      </c>
      <c r="H70" s="13" t="n"/>
      <c r="I70" s="13" t="n"/>
    </row>
    <row r="71">
      <c r="A71" s="13" t="n"/>
      <c r="B71" s="13" t="n"/>
      <c r="C71" s="13" t="n"/>
      <c r="D71" s="13" t="n"/>
      <c r="E71" s="14" t="n"/>
      <c r="F71" s="15" t="n"/>
      <c r="G71" s="16">
        <f>IFERROR(E71*(1+F71),"")</f>
        <v/>
      </c>
      <c r="H71" s="13" t="n"/>
      <c r="I71" s="13" t="n"/>
    </row>
    <row r="72">
      <c r="A72" s="13" t="n"/>
      <c r="B72" s="13" t="n"/>
      <c r="C72" s="13" t="n"/>
      <c r="D72" s="13" t="n"/>
      <c r="E72" s="14" t="n"/>
      <c r="F72" s="15" t="n"/>
      <c r="G72" s="16">
        <f>IFERROR(E72*(1+F72),"")</f>
        <v/>
      </c>
      <c r="H72" s="13" t="n"/>
      <c r="I72" s="13" t="n"/>
    </row>
    <row r="73">
      <c r="A73" s="13" t="n"/>
      <c r="B73" s="13" t="n"/>
      <c r="C73" s="13" t="n"/>
      <c r="D73" s="13" t="n"/>
      <c r="E73" s="14" t="n"/>
      <c r="F73" s="15" t="n"/>
      <c r="G73" s="16">
        <f>IFERROR(E73*(1+F73),"")</f>
        <v/>
      </c>
      <c r="H73" s="13" t="n"/>
      <c r="I73" s="13" t="n"/>
    </row>
    <row r="74">
      <c r="A74" s="13" t="n"/>
      <c r="B74" s="13" t="n"/>
      <c r="C74" s="13" t="n"/>
      <c r="D74" s="13" t="n"/>
      <c r="E74" s="14" t="n"/>
      <c r="F74" s="15" t="n"/>
      <c r="G74" s="16">
        <f>IFERROR(E74*(1+F74),"")</f>
        <v/>
      </c>
      <c r="H74" s="13" t="n"/>
      <c r="I74" s="13" t="n"/>
    </row>
    <row r="75">
      <c r="A75" s="13" t="n"/>
      <c r="B75" s="13" t="n"/>
      <c r="C75" s="13" t="n"/>
      <c r="D75" s="13" t="n"/>
      <c r="E75" s="14" t="n"/>
      <c r="F75" s="15" t="n"/>
      <c r="G75" s="16">
        <f>IFERROR(E75*(1+F75),"")</f>
        <v/>
      </c>
      <c r="H75" s="13" t="n"/>
      <c r="I75" s="13" t="n"/>
    </row>
    <row r="76">
      <c r="A76" s="13" t="n"/>
      <c r="B76" s="13" t="n"/>
      <c r="C76" s="13" t="n"/>
      <c r="D76" s="13" t="n"/>
      <c r="E76" s="14" t="n"/>
      <c r="F76" s="15" t="n"/>
      <c r="G76" s="16">
        <f>IFERROR(E76*(1+F76),"")</f>
        <v/>
      </c>
      <c r="H76" s="13" t="n"/>
      <c r="I76" s="13" t="n"/>
    </row>
    <row r="77">
      <c r="A77" s="13" t="n"/>
      <c r="B77" s="13" t="n"/>
      <c r="C77" s="13" t="n"/>
      <c r="D77" s="13" t="n"/>
      <c r="E77" s="14" t="n"/>
      <c r="F77" s="15" t="n"/>
      <c r="G77" s="16">
        <f>IFERROR(E77*(1+F77),"")</f>
        <v/>
      </c>
      <c r="H77" s="13" t="n"/>
      <c r="I77" s="13" t="n"/>
    </row>
    <row r="78">
      <c r="A78" s="13" t="n"/>
      <c r="B78" s="13" t="n"/>
      <c r="C78" s="13" t="n"/>
      <c r="D78" s="13" t="n"/>
      <c r="E78" s="14" t="n"/>
      <c r="F78" s="15" t="n"/>
      <c r="G78" s="16">
        <f>IFERROR(E78*(1+F78),"")</f>
        <v/>
      </c>
      <c r="H78" s="13" t="n"/>
      <c r="I78" s="13" t="n"/>
    </row>
    <row r="79">
      <c r="A79" s="13" t="n"/>
      <c r="B79" s="13" t="n"/>
      <c r="C79" s="13" t="n"/>
      <c r="D79" s="13" t="n"/>
      <c r="E79" s="14" t="n"/>
      <c r="F79" s="15" t="n"/>
      <c r="G79" s="16">
        <f>IFERROR(E79*(1+F79),"")</f>
        <v/>
      </c>
      <c r="H79" s="13" t="n"/>
      <c r="I79" s="13" t="n"/>
    </row>
    <row r="80">
      <c r="A80" s="13" t="n"/>
      <c r="B80" s="13" t="n"/>
      <c r="C80" s="13" t="n"/>
      <c r="D80" s="13" t="n"/>
      <c r="E80" s="14" t="n"/>
      <c r="F80" s="15" t="n"/>
      <c r="G80" s="16">
        <f>IFERROR(E80*(1+F80),"")</f>
        <v/>
      </c>
      <c r="H80" s="13" t="n"/>
      <c r="I80" s="13" t="n"/>
    </row>
    <row r="81">
      <c r="A81" s="13" t="n"/>
      <c r="B81" s="13" t="n"/>
      <c r="C81" s="13" t="n"/>
      <c r="D81" s="13" t="n"/>
      <c r="E81" s="14" t="n"/>
      <c r="F81" s="15" t="n"/>
      <c r="G81" s="16">
        <f>IFERROR(E81*(1+F81),"")</f>
        <v/>
      </c>
      <c r="H81" s="13" t="n"/>
      <c r="I81" s="13" t="n"/>
    </row>
    <row r="82">
      <c r="A82" s="13" t="n"/>
      <c r="B82" s="13" t="n"/>
      <c r="C82" s="13" t="n"/>
      <c r="D82" s="13" t="n"/>
      <c r="E82" s="14" t="n"/>
      <c r="F82" s="15" t="n"/>
      <c r="G82" s="16">
        <f>IFERROR(E82*(1+F82),"")</f>
        <v/>
      </c>
      <c r="H82" s="13" t="n"/>
      <c r="I82" s="13" t="n"/>
    </row>
    <row r="83">
      <c r="A83" s="13" t="n"/>
      <c r="B83" s="13" t="n"/>
      <c r="C83" s="13" t="n"/>
      <c r="D83" s="13" t="n"/>
      <c r="E83" s="14" t="n"/>
      <c r="F83" s="15" t="n"/>
      <c r="G83" s="16">
        <f>IFERROR(E83*(1+F83),"")</f>
        <v/>
      </c>
      <c r="H83" s="13" t="n"/>
      <c r="I83" s="13" t="n"/>
    </row>
    <row r="84">
      <c r="A84" s="13" t="n"/>
      <c r="B84" s="13" t="n"/>
      <c r="C84" s="13" t="n"/>
      <c r="D84" s="13" t="n"/>
      <c r="E84" s="14" t="n"/>
      <c r="F84" s="15" t="n"/>
      <c r="G84" s="16">
        <f>IFERROR(E84*(1+F84),"")</f>
        <v/>
      </c>
      <c r="H84" s="13" t="n"/>
      <c r="I84" s="13" t="n"/>
    </row>
    <row r="85">
      <c r="A85" s="13" t="n"/>
      <c r="B85" s="13" t="n"/>
      <c r="C85" s="13" t="n"/>
      <c r="D85" s="13" t="n"/>
      <c r="E85" s="14" t="n"/>
      <c r="F85" s="15" t="n"/>
      <c r="G85" s="16">
        <f>IFERROR(E85*(1+F85),"")</f>
        <v/>
      </c>
      <c r="H85" s="13" t="n"/>
      <c r="I85" s="13" t="n"/>
    </row>
    <row r="86">
      <c r="A86" s="13" t="n"/>
      <c r="B86" s="13" t="n"/>
      <c r="C86" s="13" t="n"/>
      <c r="D86" s="13" t="n"/>
      <c r="E86" s="14" t="n"/>
      <c r="F86" s="15" t="n"/>
      <c r="G86" s="16">
        <f>IFERROR(E86*(1+F86),"")</f>
        <v/>
      </c>
      <c r="H86" s="13" t="n"/>
      <c r="I86" s="13" t="n"/>
    </row>
    <row r="87">
      <c r="A87" s="13" t="n"/>
      <c r="B87" s="13" t="n"/>
      <c r="C87" s="13" t="n"/>
      <c r="D87" s="13" t="n"/>
      <c r="E87" s="14" t="n"/>
      <c r="F87" s="15" t="n"/>
      <c r="G87" s="16">
        <f>IFERROR(E87*(1+F87),"")</f>
        <v/>
      </c>
      <c r="H87" s="13" t="n"/>
      <c r="I87" s="13" t="n"/>
    </row>
    <row r="88">
      <c r="A88" s="13" t="n"/>
      <c r="B88" s="13" t="n"/>
      <c r="C88" s="13" t="n"/>
      <c r="D88" s="13" t="n"/>
      <c r="E88" s="14" t="n"/>
      <c r="F88" s="15" t="n"/>
      <c r="G88" s="16">
        <f>IFERROR(E88*(1+F88),"")</f>
        <v/>
      </c>
      <c r="H88" s="13" t="n"/>
      <c r="I88" s="13" t="n"/>
    </row>
    <row r="89">
      <c r="A89" s="13" t="n"/>
      <c r="B89" s="13" t="n"/>
      <c r="C89" s="13" t="n"/>
      <c r="D89" s="13" t="n"/>
      <c r="E89" s="14" t="n"/>
      <c r="F89" s="15" t="n"/>
      <c r="G89" s="16">
        <f>IFERROR(E89*(1+F89),"")</f>
        <v/>
      </c>
      <c r="H89" s="13" t="n"/>
      <c r="I89" s="13" t="n"/>
    </row>
    <row r="90">
      <c r="A90" s="13" t="n"/>
      <c r="B90" s="13" t="n"/>
      <c r="C90" s="13" t="n"/>
      <c r="D90" s="13" t="n"/>
      <c r="E90" s="14" t="n"/>
      <c r="F90" s="15" t="n"/>
      <c r="G90" s="16">
        <f>IFERROR(E90*(1+F90),"")</f>
        <v/>
      </c>
      <c r="H90" s="13" t="n"/>
      <c r="I90" s="13" t="n"/>
    </row>
    <row r="91">
      <c r="A91" s="13" t="n"/>
      <c r="B91" s="13" t="n"/>
      <c r="C91" s="13" t="n"/>
      <c r="D91" s="13" t="n"/>
      <c r="E91" s="14" t="n"/>
      <c r="F91" s="15" t="n"/>
      <c r="G91" s="16">
        <f>IFERROR(E91*(1+F91),"")</f>
        <v/>
      </c>
      <c r="H91" s="13" t="n"/>
      <c r="I91" s="13" t="n"/>
    </row>
    <row r="92">
      <c r="A92" s="13" t="n"/>
      <c r="B92" s="13" t="n"/>
      <c r="C92" s="13" t="n"/>
      <c r="D92" s="13" t="n"/>
      <c r="E92" s="14" t="n"/>
      <c r="F92" s="15" t="n"/>
      <c r="G92" s="16">
        <f>IFERROR(E92*(1+F92),"")</f>
        <v/>
      </c>
      <c r="H92" s="13" t="n"/>
      <c r="I92" s="13" t="n"/>
    </row>
    <row r="93">
      <c r="A93" s="13" t="n"/>
      <c r="B93" s="13" t="n"/>
      <c r="C93" s="13" t="n"/>
      <c r="D93" s="13" t="n"/>
      <c r="E93" s="14" t="n"/>
      <c r="F93" s="15" t="n"/>
      <c r="G93" s="16">
        <f>IFERROR(E93*(1+F93),"")</f>
        <v/>
      </c>
      <c r="H93" s="13" t="n"/>
      <c r="I93" s="13" t="n"/>
    </row>
    <row r="94">
      <c r="A94" s="13" t="n"/>
      <c r="B94" s="13" t="n"/>
      <c r="C94" s="13" t="n"/>
      <c r="D94" s="13" t="n"/>
      <c r="E94" s="14" t="n"/>
      <c r="F94" s="15" t="n"/>
      <c r="G94" s="16">
        <f>IFERROR(E94*(1+F94),"")</f>
        <v/>
      </c>
      <c r="H94" s="13" t="n"/>
      <c r="I94" s="13" t="n"/>
    </row>
    <row r="95">
      <c r="A95" s="13" t="n"/>
      <c r="B95" s="13" t="n"/>
      <c r="C95" s="13" t="n"/>
      <c r="D95" s="13" t="n"/>
      <c r="E95" s="14" t="n"/>
      <c r="F95" s="15" t="n"/>
      <c r="G95" s="16">
        <f>IFERROR(E95*(1+F95),"")</f>
        <v/>
      </c>
      <c r="H95" s="13" t="n"/>
      <c r="I95" s="13" t="n"/>
    </row>
    <row r="96">
      <c r="A96" s="13" t="n"/>
      <c r="B96" s="13" t="n"/>
      <c r="C96" s="13" t="n"/>
      <c r="D96" s="13" t="n"/>
      <c r="E96" s="14" t="n"/>
      <c r="F96" s="15" t="n"/>
      <c r="G96" s="16">
        <f>IFERROR(E96*(1+F96),"")</f>
        <v/>
      </c>
      <c r="H96" s="13" t="n"/>
      <c r="I96" s="13" t="n"/>
    </row>
    <row r="97">
      <c r="A97" s="13" t="n"/>
      <c r="B97" s="13" t="n"/>
      <c r="C97" s="13" t="n"/>
      <c r="D97" s="13" t="n"/>
      <c r="E97" s="14" t="n"/>
      <c r="F97" s="15" t="n"/>
      <c r="G97" s="16">
        <f>IFERROR(E97*(1+F97),"")</f>
        <v/>
      </c>
      <c r="H97" s="13" t="n"/>
      <c r="I97" s="13" t="n"/>
    </row>
    <row r="98">
      <c r="A98" s="13" t="n"/>
      <c r="B98" s="13" t="n"/>
      <c r="C98" s="13" t="n"/>
      <c r="D98" s="13" t="n"/>
      <c r="E98" s="14" t="n"/>
      <c r="F98" s="15" t="n"/>
      <c r="G98" s="16">
        <f>IFERROR(E98*(1+F98),"")</f>
        <v/>
      </c>
      <c r="H98" s="13" t="n"/>
      <c r="I98" s="13" t="n"/>
    </row>
    <row r="99">
      <c r="A99" s="13" t="n"/>
      <c r="B99" s="13" t="n"/>
      <c r="C99" s="13" t="n"/>
      <c r="D99" s="13" t="n"/>
      <c r="E99" s="14" t="n"/>
      <c r="F99" s="15" t="n"/>
      <c r="G99" s="16">
        <f>IFERROR(E99*(1+F99),"")</f>
        <v/>
      </c>
      <c r="H99" s="13" t="n"/>
      <c r="I99" s="13" t="n"/>
    </row>
    <row r="100">
      <c r="A100" s="13" t="n"/>
      <c r="B100" s="13" t="n"/>
      <c r="C100" s="13" t="n"/>
      <c r="D100" s="13" t="n"/>
      <c r="E100" s="14" t="n"/>
      <c r="F100" s="15" t="n"/>
      <c r="G100" s="16">
        <f>IFERROR(E100*(1+F100),"")</f>
        <v/>
      </c>
      <c r="H100" s="13" t="n"/>
      <c r="I100" s="13" t="n"/>
    </row>
    <row r="101">
      <c r="A101" s="13" t="n"/>
      <c r="B101" s="13" t="n"/>
      <c r="C101" s="13" t="n"/>
      <c r="D101" s="13" t="n"/>
      <c r="E101" s="14" t="n"/>
      <c r="F101" s="15" t="n"/>
      <c r="G101" s="16">
        <f>IFERROR(E101*(1+F101),"")</f>
        <v/>
      </c>
      <c r="H101" s="13" t="n"/>
      <c r="I101" s="13" t="n"/>
    </row>
    <row r="102">
      <c r="A102" s="13" t="n"/>
      <c r="B102" s="13" t="n"/>
      <c r="C102" s="13" t="n"/>
      <c r="D102" s="13" t="n"/>
      <c r="E102" s="14" t="n"/>
      <c r="F102" s="15" t="n"/>
      <c r="G102" s="16">
        <f>IFERROR(E102*(1+F102),"")</f>
        <v/>
      </c>
      <c r="H102" s="13" t="n"/>
      <c r="I102" s="13" t="n"/>
    </row>
    <row r="103">
      <c r="A103" s="13" t="n"/>
      <c r="B103" s="13" t="n"/>
      <c r="C103" s="13" t="n"/>
      <c r="D103" s="13" t="n"/>
      <c r="E103" s="14" t="n"/>
      <c r="F103" s="15" t="n"/>
      <c r="G103" s="16">
        <f>IFERROR(E103*(1+F103),"")</f>
        <v/>
      </c>
      <c r="H103" s="13" t="n"/>
      <c r="I103" s="13" t="n"/>
    </row>
    <row r="104">
      <c r="A104" s="13" t="n"/>
      <c r="B104" s="13" t="n"/>
      <c r="C104" s="13" t="n"/>
      <c r="D104" s="13" t="n"/>
      <c r="E104" s="14" t="n"/>
      <c r="F104" s="15" t="n"/>
      <c r="G104" s="16">
        <f>IFERROR(E104*(1+F104),"")</f>
        <v/>
      </c>
      <c r="H104" s="13" t="n"/>
      <c r="I104" s="13" t="n"/>
    </row>
    <row r="105">
      <c r="A105" s="13" t="n"/>
      <c r="B105" s="13" t="n"/>
      <c r="C105" s="13" t="n"/>
      <c r="D105" s="13" t="n"/>
      <c r="E105" s="14" t="n"/>
      <c r="F105" s="15" t="n"/>
      <c r="G105" s="16">
        <f>IFERROR(E105*(1+F105),"")</f>
        <v/>
      </c>
      <c r="H105" s="13" t="n"/>
      <c r="I105" s="13" t="n"/>
    </row>
    <row r="106">
      <c r="A106" s="13" t="n"/>
      <c r="B106" s="13" t="n"/>
      <c r="C106" s="13" t="n"/>
      <c r="D106" s="13" t="n"/>
      <c r="E106" s="14" t="n"/>
      <c r="F106" s="15" t="n"/>
      <c r="G106" s="16">
        <f>IFERROR(E106*(1+F106),"")</f>
        <v/>
      </c>
      <c r="H106" s="13" t="n"/>
      <c r="I106" s="13" t="n"/>
    </row>
    <row r="107">
      <c r="A107" s="13" t="n"/>
      <c r="B107" s="13" t="n"/>
      <c r="C107" s="13" t="n"/>
      <c r="D107" s="13" t="n"/>
      <c r="E107" s="14" t="n"/>
      <c r="F107" s="15" t="n"/>
      <c r="G107" s="16">
        <f>IFERROR(E107*(1+F107),"")</f>
        <v/>
      </c>
      <c r="H107" s="13" t="n"/>
      <c r="I107" s="13" t="n"/>
    </row>
    <row r="108">
      <c r="A108" s="13" t="n"/>
      <c r="B108" s="13" t="n"/>
      <c r="C108" s="13" t="n"/>
      <c r="D108" s="13" t="n"/>
      <c r="E108" s="14" t="n"/>
      <c r="F108" s="15" t="n"/>
      <c r="G108" s="16">
        <f>IFERROR(E108*(1+F108),"")</f>
        <v/>
      </c>
      <c r="H108" s="13" t="n"/>
      <c r="I108" s="13" t="n"/>
    </row>
    <row r="109">
      <c r="A109" s="13" t="n"/>
      <c r="B109" s="13" t="n"/>
      <c r="C109" s="13" t="n"/>
      <c r="D109" s="13" t="n"/>
      <c r="E109" s="14" t="n"/>
      <c r="F109" s="15" t="n"/>
      <c r="G109" s="16">
        <f>IFERROR(E109*(1+F109),"")</f>
        <v/>
      </c>
      <c r="H109" s="13" t="n"/>
      <c r="I109" s="13" t="n"/>
    </row>
    <row r="110">
      <c r="A110" s="13" t="n"/>
      <c r="B110" s="13" t="n"/>
      <c r="C110" s="13" t="n"/>
      <c r="D110" s="13" t="n"/>
      <c r="E110" s="14" t="n"/>
      <c r="F110" s="15" t="n"/>
      <c r="G110" s="16">
        <f>IFERROR(E110*(1+F110),"")</f>
        <v/>
      </c>
      <c r="H110" s="13" t="n"/>
      <c r="I110" s="13" t="n"/>
    </row>
    <row r="111">
      <c r="A111" s="13" t="n"/>
      <c r="B111" s="13" t="n"/>
      <c r="C111" s="13" t="n"/>
      <c r="D111" s="13" t="n"/>
      <c r="E111" s="14" t="n"/>
      <c r="F111" s="15" t="n"/>
      <c r="G111" s="16">
        <f>IFERROR(E111*(1+F111),"")</f>
        <v/>
      </c>
      <c r="H111" s="13" t="n"/>
      <c r="I111" s="13" t="n"/>
    </row>
    <row r="112">
      <c r="A112" s="13" t="n"/>
      <c r="B112" s="13" t="n"/>
      <c r="C112" s="13" t="n"/>
      <c r="D112" s="13" t="n"/>
      <c r="E112" s="14" t="n"/>
      <c r="F112" s="15" t="n"/>
      <c r="G112" s="16">
        <f>IFERROR(E112*(1+F112),"")</f>
        <v/>
      </c>
      <c r="H112" s="13" t="n"/>
      <c r="I112" s="13" t="n"/>
    </row>
    <row r="113">
      <c r="A113" s="13" t="n"/>
      <c r="B113" s="13" t="n"/>
      <c r="C113" s="13" t="n"/>
      <c r="D113" s="13" t="n"/>
      <c r="E113" s="14" t="n"/>
      <c r="F113" s="15" t="n"/>
      <c r="G113" s="16">
        <f>IFERROR(E113*(1+F113),"")</f>
        <v/>
      </c>
      <c r="H113" s="13" t="n"/>
      <c r="I113" s="13" t="n"/>
    </row>
    <row r="114">
      <c r="A114" s="13" t="n"/>
      <c r="B114" s="13" t="n"/>
      <c r="C114" s="13" t="n"/>
      <c r="D114" s="13" t="n"/>
      <c r="E114" s="14" t="n"/>
      <c r="F114" s="15" t="n"/>
      <c r="G114" s="16">
        <f>IFERROR(E114*(1+F114),"")</f>
        <v/>
      </c>
      <c r="H114" s="13" t="n"/>
      <c r="I114" s="13" t="n"/>
    </row>
    <row r="115">
      <c r="A115" s="13" t="n"/>
      <c r="B115" s="13" t="n"/>
      <c r="C115" s="13" t="n"/>
      <c r="D115" s="13" t="n"/>
      <c r="E115" s="14" t="n"/>
      <c r="F115" s="15" t="n"/>
      <c r="G115" s="16">
        <f>IFERROR(E115*(1+F115),"")</f>
        <v/>
      </c>
      <c r="H115" s="13" t="n"/>
      <c r="I115" s="13" t="n"/>
    </row>
    <row r="116">
      <c r="A116" s="13" t="n"/>
      <c r="B116" s="13" t="n"/>
      <c r="C116" s="13" t="n"/>
      <c r="D116" s="13" t="n"/>
      <c r="E116" s="14" t="n"/>
      <c r="F116" s="15" t="n"/>
      <c r="G116" s="16">
        <f>IFERROR(E116*(1+F116),"")</f>
        <v/>
      </c>
      <c r="H116" s="13" t="n"/>
      <c r="I116" s="13" t="n"/>
    </row>
    <row r="117">
      <c r="A117" s="13" t="n"/>
      <c r="B117" s="13" t="n"/>
      <c r="C117" s="13" t="n"/>
      <c r="D117" s="13" t="n"/>
      <c r="E117" s="14" t="n"/>
      <c r="F117" s="15" t="n"/>
      <c r="G117" s="16">
        <f>IFERROR(E117*(1+F117),"")</f>
        <v/>
      </c>
      <c r="H117" s="13" t="n"/>
      <c r="I117" s="13" t="n"/>
    </row>
    <row r="118">
      <c r="A118" s="13" t="n"/>
      <c r="B118" s="13" t="n"/>
      <c r="C118" s="13" t="n"/>
      <c r="D118" s="13" t="n"/>
      <c r="E118" s="14" t="n"/>
      <c r="F118" s="15" t="n"/>
      <c r="G118" s="16">
        <f>IFERROR(E118*(1+F118),"")</f>
        <v/>
      </c>
      <c r="H118" s="13" t="n"/>
      <c r="I118" s="13" t="n"/>
    </row>
    <row r="119">
      <c r="A119" s="13" t="n"/>
      <c r="B119" s="13" t="n"/>
      <c r="C119" s="13" t="n"/>
      <c r="D119" s="13" t="n"/>
      <c r="E119" s="14" t="n"/>
      <c r="F119" s="15" t="n"/>
      <c r="G119" s="16">
        <f>IFERROR(E119*(1+F119),"")</f>
        <v/>
      </c>
      <c r="H119" s="13" t="n"/>
      <c r="I119" s="13" t="n"/>
    </row>
    <row r="120">
      <c r="A120" s="13" t="n"/>
      <c r="B120" s="13" t="n"/>
      <c r="C120" s="13" t="n"/>
      <c r="D120" s="13" t="n"/>
      <c r="E120" s="14" t="n"/>
      <c r="F120" s="15" t="n"/>
      <c r="G120" s="16">
        <f>IFERROR(E120*(1+F120),"")</f>
        <v/>
      </c>
      <c r="H120" s="13" t="n"/>
      <c r="I120" s="13" t="n"/>
    </row>
    <row r="121">
      <c r="A121" s="13" t="n"/>
      <c r="B121" s="13" t="n"/>
      <c r="C121" s="13" t="n"/>
      <c r="D121" s="13" t="n"/>
      <c r="E121" s="14" t="n"/>
      <c r="F121" s="15" t="n"/>
      <c r="G121" s="16">
        <f>IFERROR(E121*(1+F121),"")</f>
        <v/>
      </c>
      <c r="H121" s="13" t="n"/>
      <c r="I121" s="13" t="n"/>
    </row>
    <row r="122">
      <c r="A122" s="13" t="n"/>
      <c r="B122" s="13" t="n"/>
      <c r="C122" s="13" t="n"/>
      <c r="D122" s="13" t="n"/>
      <c r="E122" s="14" t="n"/>
      <c r="F122" s="15" t="n"/>
      <c r="G122" s="16">
        <f>IFERROR(E122*(1+F122),"")</f>
        <v/>
      </c>
      <c r="H122" s="13" t="n"/>
      <c r="I122" s="13" t="n"/>
    </row>
    <row r="123">
      <c r="A123" s="13" t="n"/>
      <c r="B123" s="13" t="n"/>
      <c r="C123" s="13" t="n"/>
      <c r="D123" s="13" t="n"/>
      <c r="E123" s="14" t="n"/>
      <c r="F123" s="15" t="n"/>
      <c r="G123" s="16">
        <f>IFERROR(E123*(1+F123),"")</f>
        <v/>
      </c>
      <c r="H123" s="13" t="n"/>
      <c r="I123" s="13" t="n"/>
    </row>
    <row r="124">
      <c r="A124" s="13" t="n"/>
      <c r="B124" s="13" t="n"/>
      <c r="C124" s="13" t="n"/>
      <c r="D124" s="13" t="n"/>
      <c r="E124" s="14" t="n"/>
      <c r="F124" s="15" t="n"/>
      <c r="G124" s="16">
        <f>IFERROR(E124*(1+F124),"")</f>
        <v/>
      </c>
      <c r="H124" s="13" t="n"/>
      <c r="I124" s="13" t="n"/>
    </row>
    <row r="125">
      <c r="A125" s="13" t="n"/>
      <c r="B125" s="13" t="n"/>
      <c r="C125" s="13" t="n"/>
      <c r="D125" s="13" t="n"/>
      <c r="E125" s="14" t="n"/>
      <c r="F125" s="15" t="n"/>
      <c r="G125" s="16">
        <f>IFERROR(E125*(1+F125),"")</f>
        <v/>
      </c>
      <c r="H125" s="13" t="n"/>
      <c r="I125" s="13" t="n"/>
    </row>
    <row r="126">
      <c r="A126" s="13" t="n"/>
      <c r="B126" s="13" t="n"/>
      <c r="C126" s="13" t="n"/>
      <c r="D126" s="13" t="n"/>
      <c r="E126" s="14" t="n"/>
      <c r="F126" s="15" t="n"/>
      <c r="G126" s="16">
        <f>IFERROR(E126*(1+F126),"")</f>
        <v/>
      </c>
      <c r="H126" s="13" t="n"/>
      <c r="I126" s="13" t="n"/>
    </row>
    <row r="127">
      <c r="A127" s="13" t="n"/>
      <c r="B127" s="13" t="n"/>
      <c r="C127" s="13" t="n"/>
      <c r="D127" s="13" t="n"/>
      <c r="E127" s="14" t="n"/>
      <c r="F127" s="15" t="n"/>
      <c r="G127" s="16">
        <f>IFERROR(E127*(1+F127),"")</f>
        <v/>
      </c>
      <c r="H127" s="13" t="n"/>
      <c r="I127" s="13" t="n"/>
    </row>
    <row r="128">
      <c r="A128" s="13" t="n"/>
      <c r="B128" s="13" t="n"/>
      <c r="C128" s="13" t="n"/>
      <c r="D128" s="13" t="n"/>
      <c r="E128" s="14" t="n"/>
      <c r="F128" s="15" t="n"/>
      <c r="G128" s="16">
        <f>IFERROR(E128*(1+F128),"")</f>
        <v/>
      </c>
      <c r="H128" s="13" t="n"/>
      <c r="I128" s="13" t="n"/>
    </row>
    <row r="129">
      <c r="A129" s="13" t="n"/>
      <c r="B129" s="13" t="n"/>
      <c r="C129" s="13" t="n"/>
      <c r="D129" s="13" t="n"/>
      <c r="E129" s="14" t="n"/>
      <c r="F129" s="15" t="n"/>
      <c r="G129" s="16">
        <f>IFERROR(E129*(1+F129),"")</f>
        <v/>
      </c>
      <c r="H129" s="13" t="n"/>
      <c r="I129" s="13" t="n"/>
    </row>
    <row r="130">
      <c r="A130" s="13" t="n"/>
      <c r="B130" s="13" t="n"/>
      <c r="C130" s="13" t="n"/>
      <c r="D130" s="13" t="n"/>
      <c r="E130" s="14" t="n"/>
      <c r="F130" s="15" t="n"/>
      <c r="G130" s="16">
        <f>IFERROR(E130*(1+F130),"")</f>
        <v/>
      </c>
      <c r="H130" s="13" t="n"/>
      <c r="I130" s="13" t="n"/>
    </row>
    <row r="131">
      <c r="A131" s="13" t="n"/>
      <c r="B131" s="13" t="n"/>
      <c r="C131" s="13" t="n"/>
      <c r="D131" s="13" t="n"/>
      <c r="E131" s="14" t="n"/>
      <c r="F131" s="15" t="n"/>
      <c r="G131" s="16">
        <f>IFERROR(E131*(1+F131),"")</f>
        <v/>
      </c>
      <c r="H131" s="13" t="n"/>
      <c r="I131" s="13" t="n"/>
    </row>
    <row r="132">
      <c r="A132" s="13" t="n"/>
      <c r="B132" s="13" t="n"/>
      <c r="C132" s="13" t="n"/>
      <c r="D132" s="13" t="n"/>
      <c r="E132" s="14" t="n"/>
      <c r="F132" s="15" t="n"/>
      <c r="G132" s="16">
        <f>IFERROR(E132*(1+F132),"")</f>
        <v/>
      </c>
      <c r="H132" s="13" t="n"/>
      <c r="I132" s="13" t="n"/>
    </row>
    <row r="133">
      <c r="A133" s="13" t="n"/>
      <c r="B133" s="13" t="n"/>
      <c r="C133" s="13" t="n"/>
      <c r="D133" s="13" t="n"/>
      <c r="E133" s="14" t="n"/>
      <c r="F133" s="15" t="n"/>
      <c r="G133" s="16">
        <f>IFERROR(E133*(1+F133),"")</f>
        <v/>
      </c>
      <c r="H133" s="13" t="n"/>
      <c r="I133" s="13" t="n"/>
    </row>
    <row r="134">
      <c r="A134" s="13" t="n"/>
      <c r="B134" s="13" t="n"/>
      <c r="C134" s="13" t="n"/>
      <c r="D134" s="13" t="n"/>
      <c r="E134" s="14" t="n"/>
      <c r="F134" s="15" t="n"/>
      <c r="G134" s="16">
        <f>IFERROR(E134*(1+F134),"")</f>
        <v/>
      </c>
      <c r="H134" s="13" t="n"/>
      <c r="I134" s="13" t="n"/>
    </row>
    <row r="135">
      <c r="A135" s="13" t="n"/>
      <c r="B135" s="13" t="n"/>
      <c r="C135" s="13" t="n"/>
      <c r="D135" s="13" t="n"/>
      <c r="E135" s="14" t="n"/>
      <c r="F135" s="15" t="n"/>
      <c r="G135" s="16">
        <f>IFERROR(E135*(1+F135),"")</f>
        <v/>
      </c>
      <c r="H135" s="13" t="n"/>
      <c r="I135" s="13" t="n"/>
    </row>
    <row r="136">
      <c r="A136" s="13" t="n"/>
      <c r="B136" s="13" t="n"/>
      <c r="C136" s="13" t="n"/>
      <c r="D136" s="13" t="n"/>
      <c r="E136" s="14" t="n"/>
      <c r="F136" s="15" t="n"/>
      <c r="G136" s="16">
        <f>IFERROR(E136*(1+F136),"")</f>
        <v/>
      </c>
      <c r="H136" s="13" t="n"/>
      <c r="I136" s="13" t="n"/>
    </row>
    <row r="137">
      <c r="A137" s="13" t="n"/>
      <c r="B137" s="13" t="n"/>
      <c r="C137" s="13" t="n"/>
      <c r="D137" s="13" t="n"/>
      <c r="E137" s="14" t="n"/>
      <c r="F137" s="15" t="n"/>
      <c r="G137" s="16">
        <f>IFERROR(E137*(1+F137),"")</f>
        <v/>
      </c>
      <c r="H137" s="13" t="n"/>
      <c r="I137" s="13" t="n"/>
    </row>
    <row r="138">
      <c r="A138" s="13" t="n"/>
      <c r="B138" s="13" t="n"/>
      <c r="C138" s="13" t="n"/>
      <c r="D138" s="13" t="n"/>
      <c r="E138" s="14" t="n"/>
      <c r="F138" s="15" t="n"/>
      <c r="G138" s="16">
        <f>IFERROR(E138*(1+F138),"")</f>
        <v/>
      </c>
      <c r="H138" s="13" t="n"/>
      <c r="I138" s="13" t="n"/>
    </row>
    <row r="139">
      <c r="A139" s="13" t="n"/>
      <c r="B139" s="13" t="n"/>
      <c r="C139" s="13" t="n"/>
      <c r="D139" s="13" t="n"/>
      <c r="E139" s="14" t="n"/>
      <c r="F139" s="15" t="n"/>
      <c r="G139" s="16">
        <f>IFERROR(E139*(1+F139),"")</f>
        <v/>
      </c>
      <c r="H139" s="13" t="n"/>
      <c r="I139" s="13" t="n"/>
    </row>
    <row r="140">
      <c r="A140" s="13" t="n"/>
      <c r="B140" s="13" t="n"/>
      <c r="C140" s="13" t="n"/>
      <c r="D140" s="13" t="n"/>
      <c r="E140" s="14" t="n"/>
      <c r="F140" s="15" t="n"/>
      <c r="G140" s="16">
        <f>IFERROR(E140*(1+F140),"")</f>
        <v/>
      </c>
      <c r="H140" s="13" t="n"/>
      <c r="I140" s="13" t="n"/>
    </row>
    <row r="141">
      <c r="A141" s="13" t="n"/>
      <c r="B141" s="13" t="n"/>
      <c r="C141" s="13" t="n"/>
      <c r="D141" s="13" t="n"/>
      <c r="E141" s="14" t="n"/>
      <c r="F141" s="15" t="n"/>
      <c r="G141" s="16">
        <f>IFERROR(E141*(1+F141),"")</f>
        <v/>
      </c>
      <c r="H141" s="13" t="n"/>
      <c r="I141" s="13" t="n"/>
    </row>
    <row r="142">
      <c r="A142" s="13" t="n"/>
      <c r="B142" s="13" t="n"/>
      <c r="C142" s="13" t="n"/>
      <c r="D142" s="13" t="n"/>
      <c r="E142" s="14" t="n"/>
      <c r="F142" s="15" t="n"/>
      <c r="G142" s="16">
        <f>IFERROR(E142*(1+F142),"")</f>
        <v/>
      </c>
      <c r="H142" s="13" t="n"/>
      <c r="I142" s="13" t="n"/>
    </row>
    <row r="143">
      <c r="A143" s="13" t="n"/>
      <c r="B143" s="13" t="n"/>
      <c r="C143" s="13" t="n"/>
      <c r="D143" s="13" t="n"/>
      <c r="E143" s="14" t="n"/>
      <c r="F143" s="15" t="n"/>
      <c r="G143" s="16">
        <f>IFERROR(E143*(1+F143),"")</f>
        <v/>
      </c>
      <c r="H143" s="13" t="n"/>
      <c r="I143" s="13" t="n"/>
    </row>
    <row r="144">
      <c r="A144" s="13" t="n"/>
      <c r="B144" s="13" t="n"/>
      <c r="C144" s="13" t="n"/>
      <c r="D144" s="13" t="n"/>
      <c r="E144" s="14" t="n"/>
      <c r="F144" s="15" t="n"/>
      <c r="G144" s="16">
        <f>IFERROR(E144*(1+F144),"")</f>
        <v/>
      </c>
      <c r="H144" s="13" t="n"/>
      <c r="I144" s="13" t="n"/>
    </row>
    <row r="145">
      <c r="A145" s="13" t="n"/>
      <c r="B145" s="13" t="n"/>
      <c r="C145" s="13" t="n"/>
      <c r="D145" s="13" t="n"/>
      <c r="E145" s="14" t="n"/>
      <c r="F145" s="15" t="n"/>
      <c r="G145" s="16">
        <f>IFERROR(E145*(1+F145),"")</f>
        <v/>
      </c>
      <c r="H145" s="13" t="n"/>
      <c r="I145" s="13" t="n"/>
    </row>
    <row r="146">
      <c r="A146" s="13" t="n"/>
      <c r="B146" s="13" t="n"/>
      <c r="C146" s="13" t="n"/>
      <c r="D146" s="13" t="n"/>
      <c r="E146" s="14" t="n"/>
      <c r="F146" s="15" t="n"/>
      <c r="G146" s="16">
        <f>IFERROR(E146*(1+F146),"")</f>
        <v/>
      </c>
      <c r="H146" s="13" t="n"/>
      <c r="I146" s="13" t="n"/>
    </row>
    <row r="147">
      <c r="A147" s="13" t="n"/>
      <c r="B147" s="13" t="n"/>
      <c r="C147" s="13" t="n"/>
      <c r="D147" s="13" t="n"/>
      <c r="E147" s="14" t="n"/>
      <c r="F147" s="15" t="n"/>
      <c r="G147" s="16">
        <f>IFERROR(E147*(1+F147),"")</f>
        <v/>
      </c>
      <c r="H147" s="13" t="n"/>
      <c r="I147" s="13" t="n"/>
    </row>
    <row r="148">
      <c r="A148" s="13" t="n"/>
      <c r="B148" s="13" t="n"/>
      <c r="C148" s="13" t="n"/>
      <c r="D148" s="13" t="n"/>
      <c r="E148" s="14" t="n"/>
      <c r="F148" s="15" t="n"/>
      <c r="G148" s="16">
        <f>IFERROR(E148*(1+F148),"")</f>
        <v/>
      </c>
      <c r="H148" s="13" t="n"/>
      <c r="I148" s="13" t="n"/>
    </row>
    <row r="149">
      <c r="A149" s="13" t="n"/>
      <c r="B149" s="13" t="n"/>
      <c r="C149" s="13" t="n"/>
      <c r="D149" s="13" t="n"/>
      <c r="E149" s="14" t="n"/>
      <c r="F149" s="15" t="n"/>
      <c r="G149" s="16">
        <f>IFERROR(E149*(1+F149),"")</f>
        <v/>
      </c>
      <c r="H149" s="13" t="n"/>
      <c r="I149" s="13" t="n"/>
    </row>
    <row r="150">
      <c r="A150" s="13" t="n"/>
      <c r="B150" s="13" t="n"/>
      <c r="C150" s="13" t="n"/>
      <c r="D150" s="13" t="n"/>
      <c r="E150" s="14" t="n"/>
      <c r="F150" s="15" t="n"/>
      <c r="G150" s="16">
        <f>IFERROR(E150*(1+F150),"")</f>
        <v/>
      </c>
      <c r="H150" s="13" t="n"/>
      <c r="I150" s="13" t="n"/>
    </row>
    <row r="151">
      <c r="A151" s="13" t="n"/>
      <c r="B151" s="13" t="n"/>
      <c r="C151" s="13" t="n"/>
      <c r="D151" s="13" t="n"/>
      <c r="E151" s="14" t="n"/>
      <c r="F151" s="15" t="n"/>
      <c r="G151" s="16">
        <f>IFERROR(E151*(1+F151),"")</f>
        <v/>
      </c>
      <c r="H151" s="13" t="n"/>
      <c r="I151" s="13" t="n"/>
    </row>
    <row r="152">
      <c r="A152" s="13" t="n"/>
      <c r="B152" s="13" t="n"/>
      <c r="C152" s="13" t="n"/>
      <c r="D152" s="13" t="n"/>
      <c r="E152" s="14" t="n"/>
      <c r="F152" s="15" t="n"/>
      <c r="G152" s="16">
        <f>IFERROR(E152*(1+F152),"")</f>
        <v/>
      </c>
      <c r="H152" s="13" t="n"/>
      <c r="I152" s="13" t="n"/>
    </row>
    <row r="153">
      <c r="A153" s="13" t="n"/>
      <c r="B153" s="13" t="n"/>
      <c r="C153" s="13" t="n"/>
      <c r="D153" s="13" t="n"/>
      <c r="E153" s="14" t="n"/>
      <c r="F153" s="15" t="n"/>
      <c r="G153" s="16">
        <f>IFERROR(E153*(1+F153),"")</f>
        <v/>
      </c>
      <c r="H153" s="13" t="n"/>
      <c r="I153" s="13" t="n"/>
    </row>
    <row r="154">
      <c r="A154" s="13" t="n"/>
      <c r="B154" s="13" t="n"/>
      <c r="C154" s="13" t="n"/>
      <c r="D154" s="13" t="n"/>
      <c r="E154" s="14" t="n"/>
      <c r="F154" s="15" t="n"/>
      <c r="G154" s="16">
        <f>IFERROR(E154*(1+F154),"")</f>
        <v/>
      </c>
      <c r="H154" s="13" t="n"/>
      <c r="I154" s="13" t="n"/>
    </row>
    <row r="155">
      <c r="A155" s="13" t="n"/>
      <c r="B155" s="13" t="n"/>
      <c r="C155" s="13" t="n"/>
      <c r="D155" s="13" t="n"/>
      <c r="E155" s="14" t="n"/>
      <c r="F155" s="15" t="n"/>
      <c r="G155" s="16">
        <f>IFERROR(E155*(1+F155),"")</f>
        <v/>
      </c>
      <c r="H155" s="13" t="n"/>
      <c r="I155" s="13" t="n"/>
    </row>
    <row r="156">
      <c r="A156" s="13" t="n"/>
      <c r="B156" s="13" t="n"/>
      <c r="C156" s="13" t="n"/>
      <c r="D156" s="13" t="n"/>
      <c r="E156" s="14" t="n"/>
      <c r="F156" s="15" t="n"/>
      <c r="G156" s="16">
        <f>IFERROR(E156*(1+F156),"")</f>
        <v/>
      </c>
      <c r="H156" s="13" t="n"/>
      <c r="I156" s="13" t="n"/>
    </row>
    <row r="157">
      <c r="A157" s="13" t="n"/>
      <c r="B157" s="13" t="n"/>
      <c r="C157" s="13" t="n"/>
      <c r="D157" s="13" t="n"/>
      <c r="E157" s="14" t="n"/>
      <c r="F157" s="15" t="n"/>
      <c r="G157" s="16">
        <f>IFERROR(E157*(1+F157),"")</f>
        <v/>
      </c>
      <c r="H157" s="13" t="n"/>
      <c r="I157" s="13" t="n"/>
    </row>
    <row r="158">
      <c r="A158" s="13" t="n"/>
      <c r="B158" s="13" t="n"/>
      <c r="C158" s="13" t="n"/>
      <c r="D158" s="13" t="n"/>
      <c r="E158" s="14" t="n"/>
      <c r="F158" s="15" t="n"/>
      <c r="G158" s="16">
        <f>IFERROR(E158*(1+F158),"")</f>
        <v/>
      </c>
      <c r="H158" s="13" t="n"/>
      <c r="I158" s="13" t="n"/>
    </row>
    <row r="159">
      <c r="A159" s="13" t="n"/>
      <c r="B159" s="13" t="n"/>
      <c r="C159" s="13" t="n"/>
      <c r="D159" s="13" t="n"/>
      <c r="E159" s="14" t="n"/>
      <c r="F159" s="15" t="n"/>
      <c r="G159" s="16">
        <f>IFERROR(E159*(1+F159),"")</f>
        <v/>
      </c>
      <c r="H159" s="13" t="n"/>
      <c r="I159" s="13" t="n"/>
    </row>
    <row r="160">
      <c r="A160" s="13" t="n"/>
      <c r="B160" s="13" t="n"/>
      <c r="C160" s="13" t="n"/>
      <c r="D160" s="13" t="n"/>
      <c r="E160" s="14" t="n"/>
      <c r="F160" s="15" t="n"/>
      <c r="G160" s="16">
        <f>IFERROR(E160*(1+F160),"")</f>
        <v/>
      </c>
      <c r="H160" s="13" t="n"/>
      <c r="I160" s="13" t="n"/>
    </row>
    <row r="161">
      <c r="A161" s="13" t="n"/>
      <c r="B161" s="13" t="n"/>
      <c r="C161" s="13" t="n"/>
      <c r="D161" s="13" t="n"/>
      <c r="E161" s="14" t="n"/>
      <c r="F161" s="15" t="n"/>
      <c r="G161" s="16">
        <f>IFERROR(E161*(1+F161),"")</f>
        <v/>
      </c>
      <c r="H161" s="13" t="n"/>
      <c r="I161" s="13" t="n"/>
    </row>
    <row r="162">
      <c r="A162" s="13" t="n"/>
      <c r="B162" s="13" t="n"/>
      <c r="C162" s="13" t="n"/>
      <c r="D162" s="13" t="n"/>
      <c r="E162" s="14" t="n"/>
      <c r="F162" s="15" t="n"/>
      <c r="G162" s="16">
        <f>IFERROR(E162*(1+F162),"")</f>
        <v/>
      </c>
      <c r="H162" s="13" t="n"/>
      <c r="I162" s="13" t="n"/>
    </row>
    <row r="163">
      <c r="A163" s="13" t="n"/>
      <c r="B163" s="13" t="n"/>
      <c r="C163" s="13" t="n"/>
      <c r="D163" s="13" t="n"/>
      <c r="E163" s="14" t="n"/>
      <c r="F163" s="15" t="n"/>
      <c r="G163" s="16">
        <f>IFERROR(E163*(1+F163),"")</f>
        <v/>
      </c>
      <c r="H163" s="13" t="n"/>
      <c r="I163" s="13" t="n"/>
    </row>
    <row r="164">
      <c r="A164" s="13" t="n"/>
      <c r="B164" s="13" t="n"/>
      <c r="C164" s="13" t="n"/>
      <c r="D164" s="13" t="n"/>
      <c r="E164" s="14" t="n"/>
      <c r="F164" s="15" t="n"/>
      <c r="G164" s="16">
        <f>IFERROR(E164*(1+F164),"")</f>
        <v/>
      </c>
      <c r="H164" s="13" t="n"/>
      <c r="I164" s="13" t="n"/>
    </row>
    <row r="165">
      <c r="A165" s="13" t="n"/>
      <c r="B165" s="13" t="n"/>
      <c r="C165" s="13" t="n"/>
      <c r="D165" s="13" t="n"/>
      <c r="E165" s="14" t="n"/>
      <c r="F165" s="15" t="n"/>
      <c r="G165" s="16">
        <f>IFERROR(E165*(1+F165),"")</f>
        <v/>
      </c>
      <c r="H165" s="13" t="n"/>
      <c r="I165" s="13" t="n"/>
    </row>
    <row r="166">
      <c r="A166" s="13" t="n"/>
      <c r="B166" s="13" t="n"/>
      <c r="C166" s="13" t="n"/>
      <c r="D166" s="13" t="n"/>
      <c r="E166" s="14" t="n"/>
      <c r="F166" s="15" t="n"/>
      <c r="G166" s="16">
        <f>IFERROR(E166*(1+F166),"")</f>
        <v/>
      </c>
      <c r="H166" s="13" t="n"/>
      <c r="I166" s="13" t="n"/>
    </row>
    <row r="167">
      <c r="A167" s="13" t="n"/>
      <c r="B167" s="13" t="n"/>
      <c r="C167" s="13" t="n"/>
      <c r="D167" s="13" t="n"/>
      <c r="E167" s="14" t="n"/>
      <c r="F167" s="15" t="n"/>
      <c r="G167" s="16">
        <f>IFERROR(E167*(1+F167),"")</f>
        <v/>
      </c>
      <c r="H167" s="13" t="n"/>
      <c r="I167" s="13" t="n"/>
    </row>
    <row r="168">
      <c r="A168" s="13" t="n"/>
      <c r="B168" s="13" t="n"/>
      <c r="C168" s="13" t="n"/>
      <c r="D168" s="13" t="n"/>
      <c r="E168" s="14" t="n"/>
      <c r="F168" s="15" t="n"/>
      <c r="G168" s="16">
        <f>IFERROR(E168*(1+F168),"")</f>
        <v/>
      </c>
      <c r="H168" s="13" t="n"/>
      <c r="I168" s="13" t="n"/>
    </row>
    <row r="169">
      <c r="A169" s="13" t="n"/>
      <c r="B169" s="13" t="n"/>
      <c r="C169" s="13" t="n"/>
      <c r="D169" s="13" t="n"/>
      <c r="E169" s="14" t="n"/>
      <c r="F169" s="15" t="n"/>
      <c r="G169" s="16">
        <f>IFERROR(E169*(1+F169),"")</f>
        <v/>
      </c>
      <c r="H169" s="13" t="n"/>
      <c r="I169" s="13" t="n"/>
    </row>
    <row r="170">
      <c r="A170" s="13" t="n"/>
      <c r="B170" s="13" t="n"/>
      <c r="C170" s="13" t="n"/>
      <c r="D170" s="13" t="n"/>
      <c r="E170" s="14" t="n"/>
      <c r="F170" s="15" t="n"/>
      <c r="G170" s="16">
        <f>IFERROR(E170*(1+F170),"")</f>
        <v/>
      </c>
      <c r="H170" s="13" t="n"/>
      <c r="I170" s="13" t="n"/>
    </row>
    <row r="171">
      <c r="A171" s="13" t="n"/>
      <c r="B171" s="13" t="n"/>
      <c r="C171" s="13" t="n"/>
      <c r="D171" s="13" t="n"/>
      <c r="E171" s="14" t="n"/>
      <c r="F171" s="15" t="n"/>
      <c r="G171" s="16">
        <f>IFERROR(E171*(1+F171),"")</f>
        <v/>
      </c>
      <c r="H171" s="13" t="n"/>
      <c r="I171" s="13" t="n"/>
    </row>
    <row r="172">
      <c r="A172" s="13" t="n"/>
      <c r="B172" s="13" t="n"/>
      <c r="C172" s="13" t="n"/>
      <c r="D172" s="13" t="n"/>
      <c r="E172" s="14" t="n"/>
      <c r="F172" s="15" t="n"/>
      <c r="G172" s="16">
        <f>IFERROR(E172*(1+F172),"")</f>
        <v/>
      </c>
      <c r="H172" s="13" t="n"/>
      <c r="I172" s="13" t="n"/>
    </row>
    <row r="173">
      <c r="A173" s="13" t="n"/>
      <c r="B173" s="13" t="n"/>
      <c r="C173" s="13" t="n"/>
      <c r="D173" s="13" t="n"/>
      <c r="E173" s="14" t="n"/>
      <c r="F173" s="15" t="n"/>
      <c r="G173" s="16">
        <f>IFERROR(E173*(1+F173),"")</f>
        <v/>
      </c>
      <c r="H173" s="13" t="n"/>
      <c r="I173" s="13" t="n"/>
    </row>
    <row r="174">
      <c r="A174" s="13" t="n"/>
      <c r="B174" s="13" t="n"/>
      <c r="C174" s="13" t="n"/>
      <c r="D174" s="13" t="n"/>
      <c r="E174" s="14" t="n"/>
      <c r="F174" s="15" t="n"/>
      <c r="G174" s="16">
        <f>IFERROR(E174*(1+F174),"")</f>
        <v/>
      </c>
      <c r="H174" s="13" t="n"/>
      <c r="I174" s="13" t="n"/>
    </row>
    <row r="175">
      <c r="A175" s="13" t="n"/>
      <c r="B175" s="13" t="n"/>
      <c r="C175" s="13" t="n"/>
      <c r="D175" s="13" t="n"/>
      <c r="E175" s="14" t="n"/>
      <c r="F175" s="15" t="n"/>
      <c r="G175" s="16">
        <f>IFERROR(E175*(1+F175),"")</f>
        <v/>
      </c>
      <c r="H175" s="13" t="n"/>
      <c r="I175" s="13" t="n"/>
    </row>
    <row r="176">
      <c r="A176" s="13" t="n"/>
      <c r="B176" s="13" t="n"/>
      <c r="C176" s="13" t="n"/>
      <c r="D176" s="13" t="n"/>
      <c r="E176" s="14" t="n"/>
      <c r="F176" s="15" t="n"/>
      <c r="G176" s="16">
        <f>IFERROR(E176*(1+F176),"")</f>
        <v/>
      </c>
      <c r="H176" s="13" t="n"/>
      <c r="I176" s="13" t="n"/>
    </row>
    <row r="177">
      <c r="A177" s="13" t="n"/>
      <c r="B177" s="13" t="n"/>
      <c r="C177" s="13" t="n"/>
      <c r="D177" s="13" t="n"/>
      <c r="E177" s="14" t="n"/>
      <c r="F177" s="15" t="n"/>
      <c r="G177" s="16">
        <f>IFERROR(E177*(1+F177),"")</f>
        <v/>
      </c>
      <c r="H177" s="13" t="n"/>
      <c r="I177" s="13" t="n"/>
    </row>
    <row r="178">
      <c r="A178" s="13" t="n"/>
      <c r="B178" s="13" t="n"/>
      <c r="C178" s="13" t="n"/>
      <c r="D178" s="13" t="n"/>
      <c r="E178" s="14" t="n"/>
      <c r="F178" s="15" t="n"/>
      <c r="G178" s="16">
        <f>IFERROR(E178*(1+F178),"")</f>
        <v/>
      </c>
      <c r="H178" s="13" t="n"/>
      <c r="I178" s="13" t="n"/>
    </row>
    <row r="179">
      <c r="A179" s="13" t="n"/>
      <c r="B179" s="13" t="n"/>
      <c r="C179" s="13" t="n"/>
      <c r="D179" s="13" t="n"/>
      <c r="E179" s="14" t="n"/>
      <c r="F179" s="15" t="n"/>
      <c r="G179" s="16">
        <f>IFERROR(E179*(1+F179),"")</f>
        <v/>
      </c>
      <c r="H179" s="13" t="n"/>
      <c r="I179" s="13" t="n"/>
    </row>
    <row r="180">
      <c r="A180" s="13" t="n"/>
      <c r="B180" s="13" t="n"/>
      <c r="C180" s="13" t="n"/>
      <c r="D180" s="13" t="n"/>
      <c r="E180" s="14" t="n"/>
      <c r="F180" s="15" t="n"/>
      <c r="G180" s="16">
        <f>IFERROR(E180*(1+F180),"")</f>
        <v/>
      </c>
      <c r="H180" s="13" t="n"/>
      <c r="I180" s="13" t="n"/>
    </row>
    <row r="181">
      <c r="A181" s="13" t="n"/>
      <c r="B181" s="13" t="n"/>
      <c r="C181" s="13" t="n"/>
      <c r="D181" s="13" t="n"/>
      <c r="E181" s="14" t="n"/>
      <c r="F181" s="15" t="n"/>
      <c r="G181" s="16">
        <f>IFERROR(E181*(1+F181),"")</f>
        <v/>
      </c>
      <c r="H181" s="13" t="n"/>
      <c r="I181" s="13" t="n"/>
    </row>
    <row r="182">
      <c r="A182" s="13" t="n"/>
      <c r="B182" s="13" t="n"/>
      <c r="C182" s="13" t="n"/>
      <c r="D182" s="13" t="n"/>
      <c r="E182" s="14" t="n"/>
      <c r="F182" s="15" t="n"/>
      <c r="G182" s="16">
        <f>IFERROR(E182*(1+F182),"")</f>
        <v/>
      </c>
      <c r="H182" s="13" t="n"/>
      <c r="I182" s="13" t="n"/>
    </row>
    <row r="183">
      <c r="A183" s="13" t="n"/>
      <c r="B183" s="13" t="n"/>
      <c r="C183" s="13" t="n"/>
      <c r="D183" s="13" t="n"/>
      <c r="E183" s="14" t="n"/>
      <c r="F183" s="15" t="n"/>
      <c r="G183" s="16">
        <f>IFERROR(E183*(1+F183),"")</f>
        <v/>
      </c>
      <c r="H183" s="13" t="n"/>
      <c r="I183" s="13" t="n"/>
    </row>
    <row r="184">
      <c r="A184" s="13" t="n"/>
      <c r="B184" s="13" t="n"/>
      <c r="C184" s="13" t="n"/>
      <c r="D184" s="13" t="n"/>
      <c r="E184" s="14" t="n"/>
      <c r="F184" s="15" t="n"/>
      <c r="G184" s="16">
        <f>IFERROR(E184*(1+F184),"")</f>
        <v/>
      </c>
      <c r="H184" s="13" t="n"/>
      <c r="I184" s="13" t="n"/>
    </row>
    <row r="185">
      <c r="A185" s="13" t="n"/>
      <c r="B185" s="13" t="n"/>
      <c r="C185" s="13" t="n"/>
      <c r="D185" s="13" t="n"/>
      <c r="E185" s="14" t="n"/>
      <c r="F185" s="15" t="n"/>
      <c r="G185" s="16">
        <f>IFERROR(E185*(1+F185),"")</f>
        <v/>
      </c>
      <c r="H185" s="13" t="n"/>
      <c r="I185" s="13" t="n"/>
    </row>
    <row r="186">
      <c r="A186" s="13" t="n"/>
      <c r="B186" s="13" t="n"/>
      <c r="C186" s="13" t="n"/>
      <c r="D186" s="13" t="n"/>
      <c r="E186" s="14" t="n"/>
      <c r="F186" s="15" t="n"/>
      <c r="G186" s="16">
        <f>IFERROR(E186*(1+F186),"")</f>
        <v/>
      </c>
      <c r="H186" s="13" t="n"/>
      <c r="I186" s="13" t="n"/>
    </row>
    <row r="187">
      <c r="A187" s="13" t="n"/>
      <c r="B187" s="13" t="n"/>
      <c r="C187" s="13" t="n"/>
      <c r="D187" s="13" t="n"/>
      <c r="E187" s="14" t="n"/>
      <c r="F187" s="15" t="n"/>
      <c r="G187" s="16">
        <f>IFERROR(E187*(1+F187),"")</f>
        <v/>
      </c>
      <c r="H187" s="13" t="n"/>
      <c r="I187" s="13" t="n"/>
    </row>
    <row r="188">
      <c r="A188" s="13" t="n"/>
      <c r="B188" s="13" t="n"/>
      <c r="C188" s="13" t="n"/>
      <c r="D188" s="13" t="n"/>
      <c r="E188" s="14" t="n"/>
      <c r="F188" s="15" t="n"/>
      <c r="G188" s="16">
        <f>IFERROR(E188*(1+F188),"")</f>
        <v/>
      </c>
      <c r="H188" s="13" t="n"/>
      <c r="I188" s="13" t="n"/>
    </row>
    <row r="189">
      <c r="A189" s="13" t="n"/>
      <c r="B189" s="13" t="n"/>
      <c r="C189" s="13" t="n"/>
      <c r="D189" s="13" t="n"/>
      <c r="E189" s="14" t="n"/>
      <c r="F189" s="15" t="n"/>
      <c r="G189" s="16">
        <f>IFERROR(E189*(1+F189),"")</f>
        <v/>
      </c>
      <c r="H189" s="13" t="n"/>
      <c r="I189" s="13" t="n"/>
    </row>
    <row r="190">
      <c r="A190" s="13" t="n"/>
      <c r="B190" s="13" t="n"/>
      <c r="C190" s="13" t="n"/>
      <c r="D190" s="13" t="n"/>
      <c r="E190" s="14" t="n"/>
      <c r="F190" s="15" t="n"/>
      <c r="G190" s="16">
        <f>IFERROR(E190*(1+F190),"")</f>
        <v/>
      </c>
      <c r="H190" s="13" t="n"/>
      <c r="I190" s="13" t="n"/>
    </row>
    <row r="191">
      <c r="A191" s="13" t="n"/>
      <c r="B191" s="13" t="n"/>
      <c r="C191" s="13" t="n"/>
      <c r="D191" s="13" t="n"/>
      <c r="E191" s="14" t="n"/>
      <c r="F191" s="15" t="n"/>
      <c r="G191" s="16">
        <f>IFERROR(E191*(1+F191),"")</f>
        <v/>
      </c>
      <c r="H191" s="13" t="n"/>
      <c r="I191" s="13" t="n"/>
    </row>
    <row r="192">
      <c r="A192" s="13" t="n"/>
      <c r="B192" s="13" t="n"/>
      <c r="C192" s="13" t="n"/>
      <c r="D192" s="13" t="n"/>
      <c r="E192" s="14" t="n"/>
      <c r="F192" s="15" t="n"/>
      <c r="G192" s="16">
        <f>IFERROR(E192*(1+F192),"")</f>
        <v/>
      </c>
      <c r="H192" s="13" t="n"/>
      <c r="I192" s="13" t="n"/>
    </row>
    <row r="193">
      <c r="A193" s="13" t="n"/>
      <c r="B193" s="13" t="n"/>
      <c r="C193" s="13" t="n"/>
      <c r="D193" s="13" t="n"/>
      <c r="E193" s="14" t="n"/>
      <c r="F193" s="15" t="n"/>
      <c r="G193" s="16">
        <f>IFERROR(E193*(1+F193),"")</f>
        <v/>
      </c>
      <c r="H193" s="13" t="n"/>
      <c r="I193" s="13" t="n"/>
    </row>
    <row r="194">
      <c r="A194" s="13" t="n"/>
      <c r="B194" s="13" t="n"/>
      <c r="C194" s="13" t="n"/>
      <c r="D194" s="13" t="n"/>
      <c r="E194" s="14" t="n"/>
      <c r="F194" s="15" t="n"/>
      <c r="G194" s="16">
        <f>IFERROR(E194*(1+F194),"")</f>
        <v/>
      </c>
      <c r="H194" s="13" t="n"/>
      <c r="I194" s="13" t="n"/>
    </row>
    <row r="195">
      <c r="A195" s="13" t="n"/>
      <c r="B195" s="13" t="n"/>
      <c r="C195" s="13" t="n"/>
      <c r="D195" s="13" t="n"/>
      <c r="E195" s="14" t="n"/>
      <c r="F195" s="15" t="n"/>
      <c r="G195" s="16">
        <f>IFERROR(E195*(1+F195),"")</f>
        <v/>
      </c>
      <c r="H195" s="13" t="n"/>
      <c r="I195" s="13" t="n"/>
    </row>
    <row r="196">
      <c r="A196" s="13" t="n"/>
      <c r="B196" s="13" t="n"/>
      <c r="C196" s="13" t="n"/>
      <c r="D196" s="13" t="n"/>
      <c r="E196" s="14" t="n"/>
      <c r="F196" s="15" t="n"/>
      <c r="G196" s="16">
        <f>IFERROR(E196*(1+F196),"")</f>
        <v/>
      </c>
      <c r="H196" s="13" t="n"/>
      <c r="I196" s="13" t="n"/>
    </row>
    <row r="197">
      <c r="A197" s="13" t="n"/>
      <c r="B197" s="13" t="n"/>
      <c r="C197" s="13" t="n"/>
      <c r="D197" s="13" t="n"/>
      <c r="E197" s="14" t="n"/>
      <c r="F197" s="15" t="n"/>
      <c r="G197" s="16">
        <f>IFERROR(E197*(1+F197),"")</f>
        <v/>
      </c>
      <c r="H197" s="13" t="n"/>
      <c r="I197" s="13" t="n"/>
    </row>
    <row r="198">
      <c r="A198" s="13" t="n"/>
      <c r="B198" s="13" t="n"/>
      <c r="C198" s="13" t="n"/>
      <c r="D198" s="13" t="n"/>
      <c r="E198" s="14" t="n"/>
      <c r="F198" s="15" t="n"/>
      <c r="G198" s="16">
        <f>IFERROR(E198*(1+F198),"")</f>
        <v/>
      </c>
      <c r="H198" s="13" t="n"/>
      <c r="I198" s="13" t="n"/>
    </row>
    <row r="199">
      <c r="A199" s="13" t="n"/>
      <c r="B199" s="13" t="n"/>
      <c r="C199" s="13" t="n"/>
      <c r="D199" s="13" t="n"/>
      <c r="E199" s="14" t="n"/>
      <c r="F199" s="15" t="n"/>
      <c r="G199" s="16">
        <f>IFERROR(E199*(1+F199),"")</f>
        <v/>
      </c>
      <c r="H199" s="13" t="n"/>
      <c r="I199" s="13" t="n"/>
    </row>
  </sheetData>
  <mergeCells count="1">
    <mergeCell ref="A1:I1"/>
  </mergeCells>
  <dataValidations count="1">
    <dataValidation sqref="H3:H200" showDropDown="0" showInputMessage="0" showErrorMessage="0" allowBlank="1" type="list">
      <formula1>"Draft,Sent,Paid,Overdue"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2" t="inlineStr">
        <is>
          <t>Client</t>
        </is>
      </c>
      <c r="B1" s="12" t="inlineStr">
        <is>
          <t>Email</t>
        </is>
      </c>
      <c r="C1" s="12" t="inlineStr">
        <is>
          <t>Phone</t>
        </is>
      </c>
      <c r="D1" s="12" t="inlineStr">
        <is>
          <t>Total Billed</t>
        </is>
      </c>
      <c r="E1" s="12" t="inlineStr">
        <is>
          <t>Total Paid</t>
        </is>
      </c>
      <c r="F1" s="12" t="inlineStr">
        <is>
          <t>Outstanding</t>
        </is>
      </c>
    </row>
    <row r="2">
      <c r="A2" s="13" t="n"/>
      <c r="B2" s="13" t="n"/>
      <c r="C2" s="13" t="n"/>
      <c r="D2" s="16">
        <f>SUMIF('🧾 Invoices'!$C$3:$C$200,$A2,'🧾 Invoices'!$G$3:$G$200)</f>
        <v/>
      </c>
      <c r="E2" s="16">
        <f>SUMIFS('🧾 Invoices'!$G$3:$G$200,'🧾 Invoices'!$C$3:$C$200,$A2,'🧾 Invoices'!$H$3:$H$200,"Paid")</f>
        <v/>
      </c>
      <c r="F2" s="16">
        <f>D2-E2</f>
        <v/>
      </c>
    </row>
    <row r="3">
      <c r="A3" s="13" t="n"/>
      <c r="B3" s="13" t="n"/>
      <c r="C3" s="13" t="n"/>
      <c r="D3" s="16">
        <f>SUMIF('🧾 Invoices'!$C$3:$C$200,$A3,'🧾 Invoices'!$G$3:$G$200)</f>
        <v/>
      </c>
      <c r="E3" s="16">
        <f>SUMIFS('🧾 Invoices'!$G$3:$G$200,'🧾 Invoices'!$C$3:$C$200,$A3,'🧾 Invoices'!$H$3:$H$200,"Paid")</f>
        <v/>
      </c>
      <c r="F3" s="16">
        <f>D3-E3</f>
        <v/>
      </c>
    </row>
    <row r="4">
      <c r="A4" s="13" t="n"/>
      <c r="B4" s="13" t="n"/>
      <c r="C4" s="13" t="n"/>
      <c r="D4" s="16">
        <f>SUMIF('🧾 Invoices'!$C$3:$C$200,$A4,'🧾 Invoices'!$G$3:$G$200)</f>
        <v/>
      </c>
      <c r="E4" s="16">
        <f>SUMIFS('🧾 Invoices'!$G$3:$G$200,'🧾 Invoices'!$C$3:$C$200,$A4,'🧾 Invoices'!$H$3:$H$200,"Paid")</f>
        <v/>
      </c>
      <c r="F4" s="16">
        <f>D4-E4</f>
        <v/>
      </c>
    </row>
    <row r="5">
      <c r="A5" s="13" t="n"/>
      <c r="B5" s="13" t="n"/>
      <c r="C5" s="13" t="n"/>
      <c r="D5" s="16">
        <f>SUMIF('🧾 Invoices'!$C$3:$C$200,$A5,'🧾 Invoices'!$G$3:$G$200)</f>
        <v/>
      </c>
      <c r="E5" s="16">
        <f>SUMIFS('🧾 Invoices'!$G$3:$G$200,'🧾 Invoices'!$C$3:$C$200,$A5,'🧾 Invoices'!$H$3:$H$200,"Paid")</f>
        <v/>
      </c>
      <c r="F5" s="16">
        <f>D5-E5</f>
        <v/>
      </c>
    </row>
    <row r="6">
      <c r="A6" s="13" t="n"/>
      <c r="B6" s="13" t="n"/>
      <c r="C6" s="13" t="n"/>
      <c r="D6" s="16">
        <f>SUMIF('🧾 Invoices'!$C$3:$C$200,$A6,'🧾 Invoices'!$G$3:$G$200)</f>
        <v/>
      </c>
      <c r="E6" s="16">
        <f>SUMIFS('🧾 Invoices'!$G$3:$G$200,'🧾 Invoices'!$C$3:$C$200,$A6,'🧾 Invoices'!$H$3:$H$200,"Paid")</f>
        <v/>
      </c>
      <c r="F6" s="16">
        <f>D6-E6</f>
        <v/>
      </c>
    </row>
    <row r="7">
      <c r="A7" s="13" t="n"/>
      <c r="B7" s="13" t="n"/>
      <c r="C7" s="13" t="n"/>
      <c r="D7" s="16">
        <f>SUMIF('🧾 Invoices'!$C$3:$C$200,$A7,'🧾 Invoices'!$G$3:$G$200)</f>
        <v/>
      </c>
      <c r="E7" s="16">
        <f>SUMIFS('🧾 Invoices'!$G$3:$G$200,'🧾 Invoices'!$C$3:$C$200,$A7,'🧾 Invoices'!$H$3:$H$200,"Paid")</f>
        <v/>
      </c>
      <c r="F7" s="16">
        <f>D7-E7</f>
        <v/>
      </c>
    </row>
    <row r="8">
      <c r="A8" s="13" t="n"/>
      <c r="B8" s="13" t="n"/>
      <c r="C8" s="13" t="n"/>
      <c r="D8" s="16">
        <f>SUMIF('🧾 Invoices'!$C$3:$C$200,$A8,'🧾 Invoices'!$G$3:$G$200)</f>
        <v/>
      </c>
      <c r="E8" s="16">
        <f>SUMIFS('🧾 Invoices'!$G$3:$G$200,'🧾 Invoices'!$C$3:$C$200,$A8,'🧾 Invoices'!$H$3:$H$200,"Paid")</f>
        <v/>
      </c>
      <c r="F8" s="16">
        <f>D8-E8</f>
        <v/>
      </c>
    </row>
    <row r="9">
      <c r="A9" s="13" t="n"/>
      <c r="B9" s="13" t="n"/>
      <c r="C9" s="13" t="n"/>
      <c r="D9" s="16">
        <f>SUMIF('🧾 Invoices'!$C$3:$C$200,$A9,'🧾 Invoices'!$G$3:$G$200)</f>
        <v/>
      </c>
      <c r="E9" s="16">
        <f>SUMIFS('🧾 Invoices'!$G$3:$G$200,'🧾 Invoices'!$C$3:$C$200,$A9,'🧾 Invoices'!$H$3:$H$200,"Paid")</f>
        <v/>
      </c>
      <c r="F9" s="16">
        <f>D9-E9</f>
        <v/>
      </c>
    </row>
    <row r="10">
      <c r="A10" s="13" t="n"/>
      <c r="B10" s="13" t="n"/>
      <c r="C10" s="13" t="n"/>
      <c r="D10" s="16">
        <f>SUMIF('🧾 Invoices'!$C$3:$C$200,$A10,'🧾 Invoices'!$G$3:$G$200)</f>
        <v/>
      </c>
      <c r="E10" s="16">
        <f>SUMIFS('🧾 Invoices'!$G$3:$G$200,'🧾 Invoices'!$C$3:$C$200,$A10,'🧾 Invoices'!$H$3:$H$200,"Paid")</f>
        <v/>
      </c>
      <c r="F10" s="16">
        <f>D10-E10</f>
        <v/>
      </c>
    </row>
    <row r="11">
      <c r="A11" s="13" t="n"/>
      <c r="B11" s="13" t="n"/>
      <c r="C11" s="13" t="n"/>
      <c r="D11" s="16">
        <f>SUMIF('🧾 Invoices'!$C$3:$C$200,$A11,'🧾 Invoices'!$G$3:$G$200)</f>
        <v/>
      </c>
      <c r="E11" s="16">
        <f>SUMIFS('🧾 Invoices'!$G$3:$G$200,'🧾 Invoices'!$C$3:$C$200,$A11,'🧾 Invoices'!$H$3:$H$200,"Paid")</f>
        <v/>
      </c>
      <c r="F11" s="16">
        <f>D11-E11</f>
        <v/>
      </c>
    </row>
    <row r="12">
      <c r="A12" s="13" t="n"/>
      <c r="B12" s="13" t="n"/>
      <c r="C12" s="13" t="n"/>
      <c r="D12" s="16">
        <f>SUMIF('🧾 Invoices'!$C$3:$C$200,$A12,'🧾 Invoices'!$G$3:$G$200)</f>
        <v/>
      </c>
      <c r="E12" s="16">
        <f>SUMIFS('🧾 Invoices'!$G$3:$G$200,'🧾 Invoices'!$C$3:$C$200,$A12,'🧾 Invoices'!$H$3:$H$200,"Paid")</f>
        <v/>
      </c>
      <c r="F12" s="16">
        <f>D12-E12</f>
        <v/>
      </c>
    </row>
    <row r="13">
      <c r="A13" s="13" t="n"/>
      <c r="B13" s="13" t="n"/>
      <c r="C13" s="13" t="n"/>
      <c r="D13" s="16">
        <f>SUMIF('🧾 Invoices'!$C$3:$C$200,$A13,'🧾 Invoices'!$G$3:$G$200)</f>
        <v/>
      </c>
      <c r="E13" s="16">
        <f>SUMIFS('🧾 Invoices'!$G$3:$G$200,'🧾 Invoices'!$C$3:$C$200,$A13,'🧾 Invoices'!$H$3:$H$200,"Paid")</f>
        <v/>
      </c>
      <c r="F13" s="16">
        <f>D13-E13</f>
        <v/>
      </c>
    </row>
    <row r="14">
      <c r="A14" s="13" t="n"/>
      <c r="B14" s="13" t="n"/>
      <c r="C14" s="13" t="n"/>
      <c r="D14" s="16">
        <f>SUMIF('🧾 Invoices'!$C$3:$C$200,$A14,'🧾 Invoices'!$G$3:$G$200)</f>
        <v/>
      </c>
      <c r="E14" s="16">
        <f>SUMIFS('🧾 Invoices'!$G$3:$G$200,'🧾 Invoices'!$C$3:$C$200,$A14,'🧾 Invoices'!$H$3:$H$200,"Paid")</f>
        <v/>
      </c>
      <c r="F14" s="16">
        <f>D14-E14</f>
        <v/>
      </c>
    </row>
    <row r="15">
      <c r="A15" s="13" t="n"/>
      <c r="B15" s="13" t="n"/>
      <c r="C15" s="13" t="n"/>
      <c r="D15" s="16">
        <f>SUMIF('🧾 Invoices'!$C$3:$C$200,$A15,'🧾 Invoices'!$G$3:$G$200)</f>
        <v/>
      </c>
      <c r="E15" s="16">
        <f>SUMIFS('🧾 Invoices'!$G$3:$G$200,'🧾 Invoices'!$C$3:$C$200,$A15,'🧾 Invoices'!$H$3:$H$200,"Paid")</f>
        <v/>
      </c>
      <c r="F15" s="16">
        <f>D15-E15</f>
        <v/>
      </c>
    </row>
    <row r="16">
      <c r="A16" s="13" t="n"/>
      <c r="B16" s="13" t="n"/>
      <c r="C16" s="13" t="n"/>
      <c r="D16" s="16">
        <f>SUMIF('🧾 Invoices'!$C$3:$C$200,$A16,'🧾 Invoices'!$G$3:$G$200)</f>
        <v/>
      </c>
      <c r="E16" s="16">
        <f>SUMIFS('🧾 Invoices'!$G$3:$G$200,'🧾 Invoices'!$C$3:$C$200,$A16,'🧾 Invoices'!$H$3:$H$200,"Paid")</f>
        <v/>
      </c>
      <c r="F16" s="16">
        <f>D16-E16</f>
        <v/>
      </c>
    </row>
    <row r="17">
      <c r="A17" s="13" t="n"/>
      <c r="B17" s="13" t="n"/>
      <c r="C17" s="13" t="n"/>
      <c r="D17" s="16">
        <f>SUMIF('🧾 Invoices'!$C$3:$C$200,$A17,'🧾 Invoices'!$G$3:$G$200)</f>
        <v/>
      </c>
      <c r="E17" s="16">
        <f>SUMIFS('🧾 Invoices'!$G$3:$G$200,'🧾 Invoices'!$C$3:$C$200,$A17,'🧾 Invoices'!$H$3:$H$200,"Paid")</f>
        <v/>
      </c>
      <c r="F17" s="16">
        <f>D17-E17</f>
        <v/>
      </c>
    </row>
    <row r="18">
      <c r="A18" s="13" t="n"/>
      <c r="B18" s="13" t="n"/>
      <c r="C18" s="13" t="n"/>
      <c r="D18" s="16">
        <f>SUMIF('🧾 Invoices'!$C$3:$C$200,$A18,'🧾 Invoices'!$G$3:$G$200)</f>
        <v/>
      </c>
      <c r="E18" s="16">
        <f>SUMIFS('🧾 Invoices'!$G$3:$G$200,'🧾 Invoices'!$C$3:$C$200,$A18,'🧾 Invoices'!$H$3:$H$200,"Paid")</f>
        <v/>
      </c>
      <c r="F18" s="16">
        <f>D18-E18</f>
        <v/>
      </c>
    </row>
    <row r="19">
      <c r="A19" s="13" t="n"/>
      <c r="B19" s="13" t="n"/>
      <c r="C19" s="13" t="n"/>
      <c r="D19" s="16">
        <f>SUMIF('🧾 Invoices'!$C$3:$C$200,$A19,'🧾 Invoices'!$G$3:$G$200)</f>
        <v/>
      </c>
      <c r="E19" s="16">
        <f>SUMIFS('🧾 Invoices'!$G$3:$G$200,'🧾 Invoices'!$C$3:$C$200,$A19,'🧾 Invoices'!$H$3:$H$200,"Paid")</f>
        <v/>
      </c>
      <c r="F19" s="16">
        <f>D19-E19</f>
        <v/>
      </c>
    </row>
    <row r="20">
      <c r="A20" s="13" t="n"/>
      <c r="B20" s="13" t="n"/>
      <c r="C20" s="13" t="n"/>
      <c r="D20" s="16">
        <f>SUMIF('🧾 Invoices'!$C$3:$C$200,$A20,'🧾 Invoices'!$G$3:$G$200)</f>
        <v/>
      </c>
      <c r="E20" s="16">
        <f>SUMIFS('🧾 Invoices'!$G$3:$G$200,'🧾 Invoices'!$C$3:$C$200,$A20,'🧾 Invoices'!$H$3:$H$200,"Paid")</f>
        <v/>
      </c>
      <c r="F20" s="16">
        <f>D20-E20</f>
        <v/>
      </c>
    </row>
    <row r="21">
      <c r="A21" s="13" t="n"/>
      <c r="B21" s="13" t="n"/>
      <c r="C21" s="13" t="n"/>
      <c r="D21" s="16">
        <f>SUMIF('🧾 Invoices'!$C$3:$C$200,$A21,'🧾 Invoices'!$G$3:$G$200)</f>
        <v/>
      </c>
      <c r="E21" s="16">
        <f>SUMIFS('🧾 Invoices'!$G$3:$G$200,'🧾 Invoices'!$C$3:$C$200,$A21,'🧾 Invoices'!$H$3:$H$200,"Paid")</f>
        <v/>
      </c>
      <c r="F21" s="16">
        <f>D21-E21</f>
        <v/>
      </c>
    </row>
    <row r="22">
      <c r="A22" s="13" t="n"/>
      <c r="B22" s="13" t="n"/>
      <c r="C22" s="13" t="n"/>
      <c r="D22" s="16">
        <f>SUMIF('🧾 Invoices'!$C$3:$C$200,$A22,'🧾 Invoices'!$G$3:$G$200)</f>
        <v/>
      </c>
      <c r="E22" s="16">
        <f>SUMIFS('🧾 Invoices'!$G$3:$G$200,'🧾 Invoices'!$C$3:$C$200,$A22,'🧾 Invoices'!$H$3:$H$200,"Paid")</f>
        <v/>
      </c>
      <c r="F22" s="16">
        <f>D22-E22</f>
        <v/>
      </c>
    </row>
    <row r="23">
      <c r="A23" s="13" t="n"/>
      <c r="B23" s="13" t="n"/>
      <c r="C23" s="13" t="n"/>
      <c r="D23" s="16">
        <f>SUMIF('🧾 Invoices'!$C$3:$C$200,$A23,'🧾 Invoices'!$G$3:$G$200)</f>
        <v/>
      </c>
      <c r="E23" s="16">
        <f>SUMIFS('🧾 Invoices'!$G$3:$G$200,'🧾 Invoices'!$C$3:$C$200,$A23,'🧾 Invoices'!$H$3:$H$200,"Paid")</f>
        <v/>
      </c>
      <c r="F23" s="16">
        <f>D23-E23</f>
        <v/>
      </c>
    </row>
    <row r="24">
      <c r="A24" s="13" t="n"/>
      <c r="B24" s="13" t="n"/>
      <c r="C24" s="13" t="n"/>
      <c r="D24" s="16">
        <f>SUMIF('🧾 Invoices'!$C$3:$C$200,$A24,'🧾 Invoices'!$G$3:$G$200)</f>
        <v/>
      </c>
      <c r="E24" s="16">
        <f>SUMIFS('🧾 Invoices'!$G$3:$G$200,'🧾 Invoices'!$C$3:$C$200,$A24,'🧾 Invoices'!$H$3:$H$200,"Paid")</f>
        <v/>
      </c>
      <c r="F24" s="16">
        <f>D24-E24</f>
        <v/>
      </c>
    </row>
    <row r="25">
      <c r="A25" s="13" t="n"/>
      <c r="B25" s="13" t="n"/>
      <c r="C25" s="13" t="n"/>
      <c r="D25" s="16">
        <f>SUMIF('🧾 Invoices'!$C$3:$C$200,$A25,'🧾 Invoices'!$G$3:$G$200)</f>
        <v/>
      </c>
      <c r="E25" s="16">
        <f>SUMIFS('🧾 Invoices'!$G$3:$G$200,'🧾 Invoices'!$C$3:$C$200,$A25,'🧾 Invoices'!$H$3:$H$200,"Paid")</f>
        <v/>
      </c>
      <c r="F25" s="16">
        <f>D25-E25</f>
        <v/>
      </c>
    </row>
    <row r="26">
      <c r="A26" s="13" t="n"/>
      <c r="B26" s="13" t="n"/>
      <c r="C26" s="13" t="n"/>
      <c r="D26" s="16">
        <f>SUMIF('🧾 Invoices'!$C$3:$C$200,$A26,'🧾 Invoices'!$G$3:$G$200)</f>
        <v/>
      </c>
      <c r="E26" s="16">
        <f>SUMIFS('🧾 Invoices'!$G$3:$G$200,'🧾 Invoices'!$C$3:$C$200,$A26,'🧾 Invoices'!$H$3:$H$200,"Paid")</f>
        <v/>
      </c>
      <c r="F26" s="16">
        <f>D26-E26</f>
        <v/>
      </c>
    </row>
    <row r="27">
      <c r="A27" s="13" t="n"/>
      <c r="B27" s="13" t="n"/>
      <c r="C27" s="13" t="n"/>
      <c r="D27" s="16">
        <f>SUMIF('🧾 Invoices'!$C$3:$C$200,$A27,'🧾 Invoices'!$G$3:$G$200)</f>
        <v/>
      </c>
      <c r="E27" s="16">
        <f>SUMIFS('🧾 Invoices'!$G$3:$G$200,'🧾 Invoices'!$C$3:$C$200,$A27,'🧾 Invoices'!$H$3:$H$200,"Paid")</f>
        <v/>
      </c>
      <c r="F27" s="16">
        <f>D27-E27</f>
        <v/>
      </c>
    </row>
    <row r="28">
      <c r="A28" s="13" t="n"/>
      <c r="B28" s="13" t="n"/>
      <c r="C28" s="13" t="n"/>
      <c r="D28" s="16">
        <f>SUMIF('🧾 Invoices'!$C$3:$C$200,$A28,'🧾 Invoices'!$G$3:$G$200)</f>
        <v/>
      </c>
      <c r="E28" s="16">
        <f>SUMIFS('🧾 Invoices'!$G$3:$G$200,'🧾 Invoices'!$C$3:$C$200,$A28,'🧾 Invoices'!$H$3:$H$200,"Paid")</f>
        <v/>
      </c>
      <c r="F28" s="16">
        <f>D28-E28</f>
        <v/>
      </c>
    </row>
    <row r="29">
      <c r="A29" s="13" t="n"/>
      <c r="B29" s="13" t="n"/>
      <c r="C29" s="13" t="n"/>
      <c r="D29" s="16">
        <f>SUMIF('🧾 Invoices'!$C$3:$C$200,$A29,'🧾 Invoices'!$G$3:$G$200)</f>
        <v/>
      </c>
      <c r="E29" s="16">
        <f>SUMIFS('🧾 Invoices'!$G$3:$G$200,'🧾 Invoices'!$C$3:$C$200,$A29,'🧾 Invoices'!$H$3:$H$200,"Paid")</f>
        <v/>
      </c>
      <c r="F29" s="16">
        <f>D29-E29</f>
        <v/>
      </c>
    </row>
    <row r="30">
      <c r="A30" s="13" t="n"/>
      <c r="B30" s="13" t="n"/>
      <c r="C30" s="13" t="n"/>
      <c r="D30" s="16">
        <f>SUMIF('🧾 Invoices'!$C$3:$C$200,$A30,'🧾 Invoices'!$G$3:$G$200)</f>
        <v/>
      </c>
      <c r="E30" s="16">
        <f>SUMIFS('🧾 Invoices'!$G$3:$G$200,'🧾 Invoices'!$C$3:$C$200,$A30,'🧾 Invoices'!$H$3:$H$200,"Paid")</f>
        <v/>
      </c>
      <c r="F30" s="16">
        <f>D30-E30</f>
        <v/>
      </c>
    </row>
    <row r="31">
      <c r="A31" s="13" t="n"/>
      <c r="B31" s="13" t="n"/>
      <c r="C31" s="13" t="n"/>
      <c r="D31" s="16">
        <f>SUMIF('🧾 Invoices'!$C$3:$C$200,$A31,'🧾 Invoices'!$G$3:$G$200)</f>
        <v/>
      </c>
      <c r="E31" s="16">
        <f>SUMIFS('🧾 Invoices'!$G$3:$G$200,'🧾 Invoices'!$C$3:$C$200,$A31,'🧾 Invoices'!$H$3:$H$200,"Paid")</f>
        <v/>
      </c>
      <c r="F31" s="16">
        <f>D31-E31</f>
        <v/>
      </c>
    </row>
    <row r="32">
      <c r="A32" s="13" t="n"/>
      <c r="B32" s="13" t="n"/>
      <c r="C32" s="13" t="n"/>
      <c r="D32" s="16">
        <f>SUMIF('🧾 Invoices'!$C$3:$C$200,$A32,'🧾 Invoices'!$G$3:$G$200)</f>
        <v/>
      </c>
      <c r="E32" s="16">
        <f>SUMIFS('🧾 Invoices'!$G$3:$G$200,'🧾 Invoices'!$C$3:$C$200,$A32,'🧾 Invoices'!$H$3:$H$200,"Paid")</f>
        <v/>
      </c>
      <c r="F32" s="16">
        <f>D32-E32</f>
        <v/>
      </c>
    </row>
    <row r="33">
      <c r="A33" s="13" t="n"/>
      <c r="B33" s="13" t="n"/>
      <c r="C33" s="13" t="n"/>
      <c r="D33" s="16">
        <f>SUMIF('🧾 Invoices'!$C$3:$C$200,$A33,'🧾 Invoices'!$G$3:$G$200)</f>
        <v/>
      </c>
      <c r="E33" s="16">
        <f>SUMIFS('🧾 Invoices'!$G$3:$G$200,'🧾 Invoices'!$C$3:$C$200,$A33,'🧾 Invoices'!$H$3:$H$200,"Paid")</f>
        <v/>
      </c>
      <c r="F33" s="16">
        <f>D33-E33</f>
        <v/>
      </c>
    </row>
    <row r="34">
      <c r="A34" s="13" t="n"/>
      <c r="B34" s="13" t="n"/>
      <c r="C34" s="13" t="n"/>
      <c r="D34" s="16">
        <f>SUMIF('🧾 Invoices'!$C$3:$C$200,$A34,'🧾 Invoices'!$G$3:$G$200)</f>
        <v/>
      </c>
      <c r="E34" s="16">
        <f>SUMIFS('🧾 Invoices'!$G$3:$G$200,'🧾 Invoices'!$C$3:$C$200,$A34,'🧾 Invoices'!$H$3:$H$200,"Paid")</f>
        <v/>
      </c>
      <c r="F34" s="16">
        <f>D34-E34</f>
        <v/>
      </c>
    </row>
    <row r="35">
      <c r="A35" s="13" t="n"/>
      <c r="B35" s="13" t="n"/>
      <c r="C35" s="13" t="n"/>
      <c r="D35" s="16">
        <f>SUMIF('🧾 Invoices'!$C$3:$C$200,$A35,'🧾 Invoices'!$G$3:$G$200)</f>
        <v/>
      </c>
      <c r="E35" s="16">
        <f>SUMIFS('🧾 Invoices'!$G$3:$G$200,'🧾 Invoices'!$C$3:$C$200,$A35,'🧾 Invoices'!$H$3:$H$200,"Paid")</f>
        <v/>
      </c>
      <c r="F35" s="16">
        <f>D35-E35</f>
        <v/>
      </c>
    </row>
    <row r="36">
      <c r="A36" s="13" t="n"/>
      <c r="B36" s="13" t="n"/>
      <c r="C36" s="13" t="n"/>
      <c r="D36" s="16">
        <f>SUMIF('🧾 Invoices'!$C$3:$C$200,$A36,'🧾 Invoices'!$G$3:$G$200)</f>
        <v/>
      </c>
      <c r="E36" s="16">
        <f>SUMIFS('🧾 Invoices'!$G$3:$G$200,'🧾 Invoices'!$C$3:$C$200,$A36,'🧾 Invoices'!$H$3:$H$200,"Paid")</f>
        <v/>
      </c>
      <c r="F36" s="16">
        <f>D36-E36</f>
        <v/>
      </c>
    </row>
    <row r="37">
      <c r="A37" s="13" t="n"/>
      <c r="B37" s="13" t="n"/>
      <c r="C37" s="13" t="n"/>
      <c r="D37" s="16">
        <f>SUMIF('🧾 Invoices'!$C$3:$C$200,$A37,'🧾 Invoices'!$G$3:$G$200)</f>
        <v/>
      </c>
      <c r="E37" s="16">
        <f>SUMIFS('🧾 Invoices'!$G$3:$G$200,'🧾 Invoices'!$C$3:$C$200,$A37,'🧾 Invoices'!$H$3:$H$200,"Paid")</f>
        <v/>
      </c>
      <c r="F37" s="16">
        <f>D37-E37</f>
        <v/>
      </c>
    </row>
    <row r="38">
      <c r="A38" s="13" t="n"/>
      <c r="B38" s="13" t="n"/>
      <c r="C38" s="13" t="n"/>
      <c r="D38" s="16">
        <f>SUMIF('🧾 Invoices'!$C$3:$C$200,$A38,'🧾 Invoices'!$G$3:$G$200)</f>
        <v/>
      </c>
      <c r="E38" s="16">
        <f>SUMIFS('🧾 Invoices'!$G$3:$G$200,'🧾 Invoices'!$C$3:$C$200,$A38,'🧾 Invoices'!$H$3:$H$200,"Paid")</f>
        <v/>
      </c>
      <c r="F38" s="16">
        <f>D38-E38</f>
        <v/>
      </c>
    </row>
    <row r="39">
      <c r="A39" s="13" t="n"/>
      <c r="B39" s="13" t="n"/>
      <c r="C39" s="13" t="n"/>
      <c r="D39" s="16">
        <f>SUMIF('🧾 Invoices'!$C$3:$C$200,$A39,'🧾 Invoices'!$G$3:$G$200)</f>
        <v/>
      </c>
      <c r="E39" s="16">
        <f>SUMIFS('🧾 Invoices'!$G$3:$G$200,'🧾 Invoices'!$C$3:$C$200,$A39,'🧾 Invoices'!$H$3:$H$200,"Paid")</f>
        <v/>
      </c>
      <c r="F39" s="16">
        <f>D39-E39</f>
        <v/>
      </c>
    </row>
    <row r="40">
      <c r="A40" s="13" t="n"/>
      <c r="B40" s="13" t="n"/>
      <c r="C40" s="13" t="n"/>
      <c r="D40" s="16">
        <f>SUMIF('🧾 Invoices'!$C$3:$C$200,$A40,'🧾 Invoices'!$G$3:$G$200)</f>
        <v/>
      </c>
      <c r="E40" s="16">
        <f>SUMIFS('🧾 Invoices'!$G$3:$G$200,'🧾 Invoices'!$C$3:$C$200,$A40,'🧾 Invoices'!$H$3:$H$200,"Paid")</f>
        <v/>
      </c>
      <c r="F40" s="16">
        <f>D40-E40</f>
        <v/>
      </c>
    </row>
    <row r="41">
      <c r="A41" s="13" t="n"/>
      <c r="B41" s="13" t="n"/>
      <c r="C41" s="13" t="n"/>
      <c r="D41" s="16">
        <f>SUMIF('🧾 Invoices'!$C$3:$C$200,$A41,'🧾 Invoices'!$G$3:$G$200)</f>
        <v/>
      </c>
      <c r="E41" s="16">
        <f>SUMIFS('🧾 Invoices'!$G$3:$G$200,'🧾 Invoices'!$C$3:$C$200,$A41,'🧾 Invoices'!$H$3:$H$200,"Paid")</f>
        <v/>
      </c>
      <c r="F41" s="16">
        <f>D41-E41</f>
        <v/>
      </c>
    </row>
    <row r="42">
      <c r="A42" s="13" t="n"/>
      <c r="B42" s="13" t="n"/>
      <c r="C42" s="13" t="n"/>
      <c r="D42" s="16">
        <f>SUMIF('🧾 Invoices'!$C$3:$C$200,$A42,'🧾 Invoices'!$G$3:$G$200)</f>
        <v/>
      </c>
      <c r="E42" s="16">
        <f>SUMIFS('🧾 Invoices'!$G$3:$G$200,'🧾 Invoices'!$C$3:$C$200,$A42,'🧾 Invoices'!$H$3:$H$200,"Paid")</f>
        <v/>
      </c>
      <c r="F42" s="16">
        <f>D42-E42</f>
        <v/>
      </c>
    </row>
    <row r="43">
      <c r="A43" s="13" t="n"/>
      <c r="B43" s="13" t="n"/>
      <c r="C43" s="13" t="n"/>
      <c r="D43" s="16">
        <f>SUMIF('🧾 Invoices'!$C$3:$C$200,$A43,'🧾 Invoices'!$G$3:$G$200)</f>
        <v/>
      </c>
      <c r="E43" s="16">
        <f>SUMIFS('🧾 Invoices'!$G$3:$G$200,'🧾 Invoices'!$C$3:$C$200,$A43,'🧾 Invoices'!$H$3:$H$200,"Paid")</f>
        <v/>
      </c>
      <c r="F43" s="16">
        <f>D43-E43</f>
        <v/>
      </c>
    </row>
    <row r="44">
      <c r="A44" s="13" t="n"/>
      <c r="B44" s="13" t="n"/>
      <c r="C44" s="13" t="n"/>
      <c r="D44" s="16">
        <f>SUMIF('🧾 Invoices'!$C$3:$C$200,$A44,'🧾 Invoices'!$G$3:$G$200)</f>
        <v/>
      </c>
      <c r="E44" s="16">
        <f>SUMIFS('🧾 Invoices'!$G$3:$G$200,'🧾 Invoices'!$C$3:$C$200,$A44,'🧾 Invoices'!$H$3:$H$200,"Paid")</f>
        <v/>
      </c>
      <c r="F44" s="16">
        <f>D44-E44</f>
        <v/>
      </c>
    </row>
    <row r="45">
      <c r="A45" s="13" t="n"/>
      <c r="B45" s="13" t="n"/>
      <c r="C45" s="13" t="n"/>
      <c r="D45" s="16">
        <f>SUMIF('🧾 Invoices'!$C$3:$C$200,$A45,'🧾 Invoices'!$G$3:$G$200)</f>
        <v/>
      </c>
      <c r="E45" s="16">
        <f>SUMIFS('🧾 Invoices'!$G$3:$G$200,'🧾 Invoices'!$C$3:$C$200,$A45,'🧾 Invoices'!$H$3:$H$200,"Paid")</f>
        <v/>
      </c>
      <c r="F45" s="16">
        <f>D45-E45</f>
        <v/>
      </c>
    </row>
    <row r="46">
      <c r="A46" s="13" t="n"/>
      <c r="B46" s="13" t="n"/>
      <c r="C46" s="13" t="n"/>
      <c r="D46" s="16">
        <f>SUMIF('🧾 Invoices'!$C$3:$C$200,$A46,'🧾 Invoices'!$G$3:$G$200)</f>
        <v/>
      </c>
      <c r="E46" s="16">
        <f>SUMIFS('🧾 Invoices'!$G$3:$G$200,'🧾 Invoices'!$C$3:$C$200,$A46,'🧾 Invoices'!$H$3:$H$200,"Paid")</f>
        <v/>
      </c>
      <c r="F46" s="16">
        <f>D46-E46</f>
        <v/>
      </c>
    </row>
    <row r="47">
      <c r="A47" s="13" t="n"/>
      <c r="B47" s="13" t="n"/>
      <c r="C47" s="13" t="n"/>
      <c r="D47" s="16">
        <f>SUMIF('🧾 Invoices'!$C$3:$C$200,$A47,'🧾 Invoices'!$G$3:$G$200)</f>
        <v/>
      </c>
      <c r="E47" s="16">
        <f>SUMIFS('🧾 Invoices'!$G$3:$G$200,'🧾 Invoices'!$C$3:$C$200,$A47,'🧾 Invoices'!$H$3:$H$200,"Paid")</f>
        <v/>
      </c>
      <c r="F47" s="16">
        <f>D47-E47</f>
        <v/>
      </c>
    </row>
    <row r="48">
      <c r="A48" s="13" t="n"/>
      <c r="B48" s="13" t="n"/>
      <c r="C48" s="13" t="n"/>
      <c r="D48" s="16">
        <f>SUMIF('🧾 Invoices'!$C$3:$C$200,$A48,'🧾 Invoices'!$G$3:$G$200)</f>
        <v/>
      </c>
      <c r="E48" s="16">
        <f>SUMIFS('🧾 Invoices'!$G$3:$G$200,'🧾 Invoices'!$C$3:$C$200,$A48,'🧾 Invoices'!$H$3:$H$200,"Paid")</f>
        <v/>
      </c>
      <c r="F48" s="16">
        <f>D48-E48</f>
        <v/>
      </c>
    </row>
    <row r="49">
      <c r="A49" s="13" t="n"/>
      <c r="B49" s="13" t="n"/>
      <c r="C49" s="13" t="n"/>
      <c r="D49" s="16">
        <f>SUMIF('🧾 Invoices'!$C$3:$C$200,$A49,'🧾 Invoices'!$G$3:$G$200)</f>
        <v/>
      </c>
      <c r="E49" s="16">
        <f>SUMIFS('🧾 Invoices'!$G$3:$G$200,'🧾 Invoices'!$C$3:$C$200,$A49,'🧾 Invoices'!$H$3:$H$200,"Paid")</f>
        <v/>
      </c>
      <c r="F49" s="16">
        <f>D49-E49</f>
        <v/>
      </c>
    </row>
    <row r="50">
      <c r="A50" s="13" t="n"/>
      <c r="B50" s="13" t="n"/>
      <c r="C50" s="13" t="n"/>
      <c r="D50" s="16">
        <f>SUMIF('🧾 Invoices'!$C$3:$C$200,$A50,'🧾 Invoices'!$G$3:$G$200)</f>
        <v/>
      </c>
      <c r="E50" s="16">
        <f>SUMIFS('🧾 Invoices'!$G$3:$G$200,'🧾 Invoices'!$C$3:$C$200,$A50,'🧾 Invoices'!$H$3:$H$200,"Paid")</f>
        <v/>
      </c>
      <c r="F50" s="16">
        <f>D50-E50</f>
        <v/>
      </c>
    </row>
    <row r="51">
      <c r="A51" s="13" t="n"/>
      <c r="B51" s="13" t="n"/>
      <c r="C51" s="13" t="n"/>
      <c r="D51" s="16">
        <f>SUMIF('🧾 Invoices'!$C$3:$C$200,$A51,'🧾 Invoices'!$G$3:$G$200)</f>
        <v/>
      </c>
      <c r="E51" s="16">
        <f>SUMIFS('🧾 Invoices'!$G$3:$G$200,'🧾 Invoices'!$C$3:$C$200,$A51,'🧾 Invoices'!$H$3:$H$200,"Paid")</f>
        <v/>
      </c>
      <c r="F51" s="16">
        <f>D51-E51</f>
        <v/>
      </c>
    </row>
    <row r="52">
      <c r="A52" s="13" t="n"/>
      <c r="B52" s="13" t="n"/>
      <c r="C52" s="13" t="n"/>
      <c r="D52" s="16">
        <f>SUMIF('🧾 Invoices'!$C$3:$C$200,$A52,'🧾 Invoices'!$G$3:$G$200)</f>
        <v/>
      </c>
      <c r="E52" s="16">
        <f>SUMIFS('🧾 Invoices'!$G$3:$G$200,'🧾 Invoices'!$C$3:$C$200,$A52,'🧾 Invoices'!$H$3:$H$200,"Paid")</f>
        <v/>
      </c>
      <c r="F52" s="16">
        <f>D52-E52</f>
        <v/>
      </c>
    </row>
    <row r="53">
      <c r="A53" s="13" t="n"/>
      <c r="B53" s="13" t="n"/>
      <c r="C53" s="13" t="n"/>
      <c r="D53" s="16">
        <f>SUMIF('🧾 Invoices'!$C$3:$C$200,$A53,'🧾 Invoices'!$G$3:$G$200)</f>
        <v/>
      </c>
      <c r="E53" s="16">
        <f>SUMIFS('🧾 Invoices'!$G$3:$G$200,'🧾 Invoices'!$C$3:$C$200,$A53,'🧾 Invoices'!$H$3:$H$200,"Paid")</f>
        <v/>
      </c>
      <c r="F53" s="16">
        <f>D53-E53</f>
        <v/>
      </c>
    </row>
    <row r="54">
      <c r="A54" s="13" t="n"/>
      <c r="B54" s="13" t="n"/>
      <c r="C54" s="13" t="n"/>
      <c r="D54" s="16">
        <f>SUMIF('🧾 Invoices'!$C$3:$C$200,$A54,'🧾 Invoices'!$G$3:$G$200)</f>
        <v/>
      </c>
      <c r="E54" s="16">
        <f>SUMIFS('🧾 Invoices'!$G$3:$G$200,'🧾 Invoices'!$C$3:$C$200,$A54,'🧾 Invoices'!$H$3:$H$200,"Paid")</f>
        <v/>
      </c>
      <c r="F54" s="16">
        <f>D54-E54</f>
        <v/>
      </c>
    </row>
    <row r="55">
      <c r="A55" s="13" t="n"/>
      <c r="B55" s="13" t="n"/>
      <c r="C55" s="13" t="n"/>
      <c r="D55" s="16">
        <f>SUMIF('🧾 Invoices'!$C$3:$C$200,$A55,'🧾 Invoices'!$G$3:$G$200)</f>
        <v/>
      </c>
      <c r="E55" s="16">
        <f>SUMIFS('🧾 Invoices'!$G$3:$G$200,'🧾 Invoices'!$C$3:$C$200,$A55,'🧾 Invoices'!$H$3:$H$200,"Paid")</f>
        <v/>
      </c>
      <c r="F55" s="16">
        <f>D55-E55</f>
        <v/>
      </c>
    </row>
    <row r="56">
      <c r="A56" s="13" t="n"/>
      <c r="B56" s="13" t="n"/>
      <c r="C56" s="13" t="n"/>
      <c r="D56" s="16">
        <f>SUMIF('🧾 Invoices'!$C$3:$C$200,$A56,'🧾 Invoices'!$G$3:$G$200)</f>
        <v/>
      </c>
      <c r="E56" s="16">
        <f>SUMIFS('🧾 Invoices'!$G$3:$G$200,'🧾 Invoices'!$C$3:$C$200,$A56,'🧾 Invoices'!$H$3:$H$200,"Paid")</f>
        <v/>
      </c>
      <c r="F56" s="16">
        <f>D56-E56</f>
        <v/>
      </c>
    </row>
    <row r="57">
      <c r="A57" s="13" t="n"/>
      <c r="B57" s="13" t="n"/>
      <c r="C57" s="13" t="n"/>
      <c r="D57" s="16">
        <f>SUMIF('🧾 Invoices'!$C$3:$C$200,$A57,'🧾 Invoices'!$G$3:$G$200)</f>
        <v/>
      </c>
      <c r="E57" s="16">
        <f>SUMIFS('🧾 Invoices'!$G$3:$G$200,'🧾 Invoices'!$C$3:$C$200,$A57,'🧾 Invoices'!$H$3:$H$200,"Paid")</f>
        <v/>
      </c>
      <c r="F57" s="16">
        <f>D57-E57</f>
        <v/>
      </c>
    </row>
    <row r="58">
      <c r="A58" s="13" t="n"/>
      <c r="B58" s="13" t="n"/>
      <c r="C58" s="13" t="n"/>
      <c r="D58" s="16">
        <f>SUMIF('🧾 Invoices'!$C$3:$C$200,$A58,'🧾 Invoices'!$G$3:$G$200)</f>
        <v/>
      </c>
      <c r="E58" s="16">
        <f>SUMIFS('🧾 Invoices'!$G$3:$G$200,'🧾 Invoices'!$C$3:$C$200,$A58,'🧾 Invoices'!$H$3:$H$200,"Paid")</f>
        <v/>
      </c>
      <c r="F58" s="16">
        <f>D58-E58</f>
        <v/>
      </c>
    </row>
    <row r="59">
      <c r="A59" s="13" t="n"/>
      <c r="B59" s="13" t="n"/>
      <c r="C59" s="13" t="n"/>
      <c r="D59" s="16">
        <f>SUMIF('🧾 Invoices'!$C$3:$C$200,$A59,'🧾 Invoices'!$G$3:$G$200)</f>
        <v/>
      </c>
      <c r="E59" s="16">
        <f>SUMIFS('🧾 Invoices'!$G$3:$G$200,'🧾 Invoices'!$C$3:$C$200,$A59,'🧾 Invoices'!$H$3:$H$200,"Paid")</f>
        <v/>
      </c>
      <c r="F59" s="16">
        <f>D59-E59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</cols>
  <sheetData>
    <row r="1" ht="26" customHeight="1">
      <c r="A1" s="12" t="inlineStr">
        <is>
          <t>Status</t>
        </is>
      </c>
      <c r="B1" s="12" t="inlineStr">
        <is>
          <t>Amount</t>
        </is>
      </c>
      <c r="C1" s="12" t="inlineStr">
        <is>
          <t>Count</t>
        </is>
      </c>
    </row>
    <row r="2">
      <c r="A2" s="17" t="inlineStr">
        <is>
          <t>Draft</t>
        </is>
      </c>
      <c r="B2" s="16">
        <f>SUMIF('🧾 Invoices'!$H$3:$H$200,$A2,'🧾 Invoices'!$G$3:$G$200)</f>
        <v/>
      </c>
      <c r="C2" s="18">
        <f>COUNTIF('🧾 Invoices'!$H$3:$H$200,$A2)</f>
        <v/>
      </c>
    </row>
    <row r="3">
      <c r="A3" s="17" t="inlineStr">
        <is>
          <t>Sent</t>
        </is>
      </c>
      <c r="B3" s="16">
        <f>SUMIF('🧾 Invoices'!$H$3:$H$200,$A3,'🧾 Invoices'!$G$3:$G$200)</f>
        <v/>
      </c>
      <c r="C3" s="18">
        <f>COUNTIF('🧾 Invoices'!$H$3:$H$200,$A3)</f>
        <v/>
      </c>
    </row>
    <row r="4">
      <c r="A4" s="17" t="inlineStr">
        <is>
          <t>Paid</t>
        </is>
      </c>
      <c r="B4" s="16">
        <f>SUMIF('🧾 Invoices'!$H$3:$H$200,$A4,'🧾 Invoices'!$G$3:$G$200)</f>
        <v/>
      </c>
      <c r="C4" s="18">
        <f>COUNTIF('🧾 Invoices'!$H$3:$H$200,$A4)</f>
        <v/>
      </c>
    </row>
    <row r="5">
      <c r="A5" s="17" t="inlineStr">
        <is>
          <t>Overdue</t>
        </is>
      </c>
      <c r="B5" s="16">
        <f>SUMIF('🧾 Invoices'!$H$3:$H$200,$A5,'🧾 Invoices'!$G$3:$G$200)</f>
        <v/>
      </c>
      <c r="C5" s="18">
        <f>COUNTIF('🧾 Invoices'!$H$3:$H$200,$A5)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2026-07-21T14:18:03Z</dcterms:created>
  <dcterms:modified xsi:type="dcterms:W3CDTF">2026-07-21T14:18:04Z</dcterms:modified>
</cp:coreProperties>
</file>