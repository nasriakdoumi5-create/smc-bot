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📈 Trade Log" sheetId="3" state="visible" r:id="rId3"/>
    <sheet name="📉 Equity 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2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'📉 Equity Curve'!C1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'📉 Equity Curve'!$C$2:$C$60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4" customHeight="1">
      <c r="A1" s="1" t="inlineStr">
        <is>
          <t>Trading Journal — Quick Start Guide</t>
        </is>
      </c>
    </row>
    <row r="3" ht="24" customHeight="1">
      <c r="B3" s="2" t="inlineStr">
        <is>
          <t>Welcome! Follow these 4 steps and your dashboard will fill itself. ✨</t>
        </is>
      </c>
    </row>
    <row r="5" ht="30" customHeight="1">
      <c r="A5" s="3" t="n">
        <v>1</v>
      </c>
      <c r="B5" s="4" t="inlineStr">
        <is>
          <t>Open '📈 Trade Log' and record each trade in the YELLOW cells.</t>
        </is>
      </c>
    </row>
    <row r="7" ht="30" customHeight="1">
      <c r="A7" s="3" t="n">
        <v>2</v>
      </c>
      <c r="B7" s="4" t="inlineStr">
        <is>
          <t>Fill Entry, Stop Loss, Take Profit and Exit — R:R calculates automatically.</t>
        </is>
      </c>
    </row>
    <row r="9" ht="30" customHeight="1">
      <c r="A9" s="3" t="n">
        <v>3</v>
      </c>
      <c r="B9" s="4" t="inlineStr">
        <is>
          <t>Mark the Result (Win/Loss/Breakeven) and write your emotion in Notes.</t>
        </is>
      </c>
    </row>
    <row r="11" ht="30" customHeight="1">
      <c r="A11" s="3" t="n">
        <v>4</v>
      </c>
      <c r="B11" s="4" t="inlineStr">
        <is>
          <t>Check '🏠 DASHBOARD' for your real win rate, profit factor and equity curve.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The Notes column is the most important — write WHY you entered and how you felt.</t>
        </is>
      </c>
    </row>
    <row r="16" ht="20" customHeight="1">
      <c r="B16" s="6" t="inlineStr">
        <is>
          <t>• Profit Factor above 1.5 = healthy system. Below 1 = review your strategy.</t>
        </is>
      </c>
    </row>
    <row r="17" ht="20" customHeight="1">
      <c r="B17" s="6" t="inlineStr">
        <is>
          <t>• Review your journal every week — patterns appear fast.</t>
        </is>
      </c>
    </row>
    <row r="18" ht="20" customHeight="1">
      <c r="B18" s="6" t="inlineStr">
        <is>
          <t>• Works in Google Sheets and Microsoft Excel.</t>
        </is>
      </c>
    </row>
    <row r="21" ht="30" customHeight="1">
      <c r="B21" s="7" t="inlineStr">
        <is>
          <t>Need help? Message me on Etsy — I reply within 24h.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  <col width="19" customWidth="1" min="8" max="8"/>
  </cols>
  <sheetData>
    <row r="1" ht="40" customHeight="1">
      <c r="A1" s="1" t="inlineStr">
        <is>
          <t>📊 TRADING PERFORMANCE DASHBOARD</t>
        </is>
      </c>
    </row>
    <row r="3" ht="20" customHeight="1">
      <c r="A3" s="8" t="inlineStr">
        <is>
          <t>TOTAL TRADES</t>
        </is>
      </c>
      <c r="B3" s="8" t="inlineStr">
        <is>
          <t>WIN RATE</t>
        </is>
      </c>
      <c r="C3" s="8" t="inlineStr">
        <is>
          <t>NET P&amp;L</t>
        </is>
      </c>
      <c r="D3" s="8" t="inlineStr">
        <is>
          <t>AVG R:R</t>
        </is>
      </c>
    </row>
    <row r="4" ht="28" customHeight="1">
      <c r="A4" s="9">
        <f>COUNTA('📈 Trade Log'!$B$3:$B$200)</f>
        <v/>
      </c>
      <c r="B4" s="10">
        <f>IFERROR(COUNTIF('📈 Trade Log'!$H$3:$H$200,"Win")/COUNTA('📈 Trade Log'!$H$3:$H$200),0)</f>
        <v/>
      </c>
      <c r="C4" s="11">
        <f>SUM('📈 Trade Log'!$J$3:$J$200)</f>
        <v/>
      </c>
      <c r="D4" s="12">
        <f>IFERROR(AVERAGE('📈 Trade Log'!$I$3:$I$200),0)</f>
        <v/>
      </c>
    </row>
    <row r="7" ht="20" customHeight="1">
      <c r="A7" s="8" t="inlineStr">
        <is>
          <t>WINS</t>
        </is>
      </c>
      <c r="B7" s="8" t="inlineStr">
        <is>
          <t>LOSSES</t>
        </is>
      </c>
      <c r="C7" s="8" t="inlineStr">
        <is>
          <t>BEST TRADE</t>
        </is>
      </c>
      <c r="D7" s="8" t="inlineStr">
        <is>
          <t>WORST TRADE</t>
        </is>
      </c>
    </row>
    <row r="8" ht="28" customHeight="1">
      <c r="A8" s="9">
        <f>COUNTIF('📈 Trade Log'!$H$3:$H$200,"Win")</f>
        <v/>
      </c>
      <c r="B8" s="9">
        <f>COUNTIF('📈 Trade Log'!$H$3:$H$200,"Loss")</f>
        <v/>
      </c>
      <c r="C8" s="11">
        <f>IFERROR(MAX('📈 Trade Log'!$J$3:$J$200),0)</f>
        <v/>
      </c>
      <c r="D8" s="11">
        <f>IFERROR(MIN('📈 Trade Log'!$J$3:$J$200),0)</f>
        <v/>
      </c>
    </row>
    <row r="11" ht="20" customHeight="1">
      <c r="A11" s="8" t="inlineStr">
        <is>
          <t>AVG WIN</t>
        </is>
      </c>
      <c r="B11" s="8" t="inlineStr">
        <is>
          <t>AVG LOSS</t>
        </is>
      </c>
      <c r="C11" s="8" t="inlineStr">
        <is>
          <t>PROFIT FACTOR</t>
        </is>
      </c>
      <c r="D11" s="8" t="inlineStr">
        <is>
          <t>EXPECTANCY</t>
        </is>
      </c>
    </row>
    <row r="12" ht="28" customHeight="1">
      <c r="A12" s="11">
        <f>IFERROR(SUMIF('📈 Trade Log'!$H$3:$H$200,"Win",'📈 Trade Log'!$J$3:$J$200)/COUNTIF('📈 Trade Log'!$H$3:$H$200,"Win"),0)</f>
        <v/>
      </c>
      <c r="B12" s="11">
        <f>IFERROR(SUMIF('📈 Trade Log'!$H$3:$H$200,"Loss",'📈 Trade Log'!$J$3:$J$200)/COUNTIF('📈 Trade Log'!$H$3:$H$200,"Loss"),0)</f>
        <v/>
      </c>
      <c r="C12" s="12">
        <f>IFERROR(SUMIF('📈 Trade Log'!$H$3:$H$200,"Win",'📈 Trade Log'!$J$3:$J$200)/ABS(SUMIF('📈 Trade Log'!$H$3:$H$200,"Loss",'📈 Trade Log'!$J$3:$J$200)),0)</f>
        <v/>
      </c>
      <c r="D12" s="11">
        <f>IFERROR((B4*A12)+((1-B4)*B12),0)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4" customHeight="1">
      <c r="A1" s="1" t="inlineStr">
        <is>
          <t>Trade Log — Record every trade here</t>
        </is>
      </c>
    </row>
    <row r="2" ht="26" customHeight="1">
      <c r="A2" s="13" t="inlineStr">
        <is>
          <t>Date</t>
        </is>
      </c>
      <c r="B2" s="13" t="inlineStr">
        <is>
          <t>Symbol</t>
        </is>
      </c>
      <c r="C2" s="13" t="inlineStr">
        <is>
          <t>Direction</t>
        </is>
      </c>
      <c r="D2" s="13" t="inlineStr">
        <is>
          <t>Entry</t>
        </is>
      </c>
      <c r="E2" s="13" t="inlineStr">
        <is>
          <t>Stop Loss</t>
        </is>
      </c>
      <c r="F2" s="13" t="inlineStr">
        <is>
          <t>Take Profit</t>
        </is>
      </c>
      <c r="G2" s="13" t="inlineStr">
        <is>
          <t>Exit</t>
        </is>
      </c>
      <c r="H2" s="13" t="inlineStr">
        <is>
          <t>Result</t>
        </is>
      </c>
      <c r="I2" s="13" t="inlineStr">
        <is>
          <t>R:R</t>
        </is>
      </c>
      <c r="J2" s="13" t="inlineStr">
        <is>
          <t>P&amp;L</t>
        </is>
      </c>
      <c r="K2" s="13" t="inlineStr">
        <is>
          <t>Setup</t>
        </is>
      </c>
      <c r="L2" s="13" t="inlineStr">
        <is>
          <t>Notes / Emotion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5">
        <f>IFERROR(ABS((G3-D3)/(D3-E3)),"")</f>
        <v/>
      </c>
      <c r="J3" s="16" t="n"/>
      <c r="K3" s="14" t="n"/>
      <c r="L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5">
        <f>IFERROR(ABS((G4-D4)/(D4-E4)),"")</f>
        <v/>
      </c>
      <c r="J4" s="16" t="n"/>
      <c r="K4" s="14" t="n"/>
      <c r="L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5">
        <f>IFERROR(ABS((G5-D5)/(D5-E5)),"")</f>
        <v/>
      </c>
      <c r="J5" s="16" t="n"/>
      <c r="K5" s="14" t="n"/>
      <c r="L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5">
        <f>IFERROR(ABS((G6-D6)/(D6-E6)),"")</f>
        <v/>
      </c>
      <c r="J6" s="16" t="n"/>
      <c r="K6" s="14" t="n"/>
      <c r="L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5">
        <f>IFERROR(ABS((G7-D7)/(D7-E7)),"")</f>
        <v/>
      </c>
      <c r="J7" s="16" t="n"/>
      <c r="K7" s="14" t="n"/>
      <c r="L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5">
        <f>IFERROR(ABS((G8-D8)/(D8-E8)),"")</f>
        <v/>
      </c>
      <c r="J8" s="16" t="n"/>
      <c r="K8" s="14" t="n"/>
      <c r="L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5">
        <f>IFERROR(ABS((G9-D9)/(D9-E9)),"")</f>
        <v/>
      </c>
      <c r="J9" s="16" t="n"/>
      <c r="K9" s="14" t="n"/>
      <c r="L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5">
        <f>IFERROR(ABS((G10-D10)/(D10-E10)),"")</f>
        <v/>
      </c>
      <c r="J10" s="16" t="n"/>
      <c r="K10" s="14" t="n"/>
      <c r="L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5">
        <f>IFERROR(ABS((G11-D11)/(D11-E11)),"")</f>
        <v/>
      </c>
      <c r="J11" s="16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5">
        <f>IFERROR(ABS((G12-D12)/(D12-E12)),"")</f>
        <v/>
      </c>
      <c r="J12" s="16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5">
        <f>IFERROR(ABS((G13-D13)/(D13-E13)),"")</f>
        <v/>
      </c>
      <c r="J13" s="16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5">
        <f>IFERROR(ABS((G14-D14)/(D14-E14)),"")</f>
        <v/>
      </c>
      <c r="J14" s="16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5">
        <f>IFERROR(ABS((G15-D15)/(D15-E15)),"")</f>
        <v/>
      </c>
      <c r="J15" s="16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5">
        <f>IFERROR(ABS((G16-D16)/(D16-E16)),"")</f>
        <v/>
      </c>
      <c r="J16" s="16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5">
        <f>IFERROR(ABS((G17-D17)/(D17-E17)),"")</f>
        <v/>
      </c>
      <c r="J17" s="16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5">
        <f>IFERROR(ABS((G18-D18)/(D18-E18)),"")</f>
        <v/>
      </c>
      <c r="J18" s="16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5">
        <f>IFERROR(ABS((G19-D19)/(D19-E19)),"")</f>
        <v/>
      </c>
      <c r="J19" s="16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5">
        <f>IFERROR(ABS((G20-D20)/(D20-E20)),"")</f>
        <v/>
      </c>
      <c r="J20" s="16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5">
        <f>IFERROR(ABS((G21-D21)/(D21-E21)),"")</f>
        <v/>
      </c>
      <c r="J21" s="16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5">
        <f>IFERROR(ABS((G22-D22)/(D22-E22)),"")</f>
        <v/>
      </c>
      <c r="J22" s="16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5">
        <f>IFERROR(ABS((G23-D23)/(D23-E23)),"")</f>
        <v/>
      </c>
      <c r="J23" s="16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5">
        <f>IFERROR(ABS((G24-D24)/(D24-E24)),"")</f>
        <v/>
      </c>
      <c r="J24" s="16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5">
        <f>IFERROR(ABS((G25-D25)/(D25-E25)),"")</f>
        <v/>
      </c>
      <c r="J25" s="16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5">
        <f>IFERROR(ABS((G26-D26)/(D26-E26)),"")</f>
        <v/>
      </c>
      <c r="J26" s="16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5">
        <f>IFERROR(ABS((G27-D27)/(D27-E27)),"")</f>
        <v/>
      </c>
      <c r="J27" s="16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5">
        <f>IFERROR(ABS((G28-D28)/(D28-E28)),"")</f>
        <v/>
      </c>
      <c r="J28" s="16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5">
        <f>IFERROR(ABS((G29-D29)/(D29-E29)),"")</f>
        <v/>
      </c>
      <c r="J29" s="16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5">
        <f>IFERROR(ABS((G30-D30)/(D30-E30)),"")</f>
        <v/>
      </c>
      <c r="J30" s="16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5">
        <f>IFERROR(ABS((G31-D31)/(D31-E31)),"")</f>
        <v/>
      </c>
      <c r="J31" s="16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5">
        <f>IFERROR(ABS((G32-D32)/(D32-E32)),"")</f>
        <v/>
      </c>
      <c r="J32" s="16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5">
        <f>IFERROR(ABS((G33-D33)/(D33-E33)),"")</f>
        <v/>
      </c>
      <c r="J33" s="16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5">
        <f>IFERROR(ABS((G34-D34)/(D34-E34)),"")</f>
        <v/>
      </c>
      <c r="J34" s="16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5">
        <f>IFERROR(ABS((G35-D35)/(D35-E35)),"")</f>
        <v/>
      </c>
      <c r="J35" s="16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5">
        <f>IFERROR(ABS((G36-D36)/(D36-E36)),"")</f>
        <v/>
      </c>
      <c r="J36" s="16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5">
        <f>IFERROR(ABS((G37-D37)/(D37-E37)),"")</f>
        <v/>
      </c>
      <c r="J37" s="16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5">
        <f>IFERROR(ABS((G38-D38)/(D38-E38)),"")</f>
        <v/>
      </c>
      <c r="J38" s="16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5">
        <f>IFERROR(ABS((G39-D39)/(D39-E39)),"")</f>
        <v/>
      </c>
      <c r="J39" s="16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5">
        <f>IFERROR(ABS((G40-D40)/(D40-E40)),"")</f>
        <v/>
      </c>
      <c r="J40" s="16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5">
        <f>IFERROR(ABS((G41-D41)/(D41-E41)),"")</f>
        <v/>
      </c>
      <c r="J41" s="16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5">
        <f>IFERROR(ABS((G42-D42)/(D42-E42)),"")</f>
        <v/>
      </c>
      <c r="J42" s="16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5">
        <f>IFERROR(ABS((G43-D43)/(D43-E43)),"")</f>
        <v/>
      </c>
      <c r="J43" s="16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5">
        <f>IFERROR(ABS((G44-D44)/(D44-E44)),"")</f>
        <v/>
      </c>
      <c r="J44" s="16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5">
        <f>IFERROR(ABS((G45-D45)/(D45-E45)),"")</f>
        <v/>
      </c>
      <c r="J45" s="16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5">
        <f>IFERROR(ABS((G46-D46)/(D46-E46)),"")</f>
        <v/>
      </c>
      <c r="J46" s="16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5">
        <f>IFERROR(ABS((G47-D47)/(D47-E47)),"")</f>
        <v/>
      </c>
      <c r="J47" s="16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5">
        <f>IFERROR(ABS((G48-D48)/(D48-E48)),"")</f>
        <v/>
      </c>
      <c r="J48" s="16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5">
        <f>IFERROR(ABS((G49-D49)/(D49-E49)),"")</f>
        <v/>
      </c>
      <c r="J49" s="16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5">
        <f>IFERROR(ABS((G50-D50)/(D50-E50)),"")</f>
        <v/>
      </c>
      <c r="J50" s="16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5">
        <f>IFERROR(ABS((G51-D51)/(D51-E51)),"")</f>
        <v/>
      </c>
      <c r="J51" s="16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5">
        <f>IFERROR(ABS((G52-D52)/(D52-E52)),"")</f>
        <v/>
      </c>
      <c r="J52" s="16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5">
        <f>IFERROR(ABS((G53-D53)/(D53-E53)),"")</f>
        <v/>
      </c>
      <c r="J53" s="16" t="n"/>
      <c r="K53" s="14" t="n"/>
      <c r="L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5">
        <f>IFERROR(ABS((G54-D54)/(D54-E54)),"")</f>
        <v/>
      </c>
      <c r="J54" s="16" t="n"/>
      <c r="K54" s="14" t="n"/>
      <c r="L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5">
        <f>IFERROR(ABS((G55-D55)/(D55-E55)),"")</f>
        <v/>
      </c>
      <c r="J55" s="16" t="n"/>
      <c r="K55" s="14" t="n"/>
      <c r="L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5">
        <f>IFERROR(ABS((G56-D56)/(D56-E56)),"")</f>
        <v/>
      </c>
      <c r="J56" s="16" t="n"/>
      <c r="K56" s="14" t="n"/>
      <c r="L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5">
        <f>IFERROR(ABS((G57-D57)/(D57-E57)),"")</f>
        <v/>
      </c>
      <c r="J57" s="16" t="n"/>
      <c r="K57" s="14" t="n"/>
      <c r="L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5">
        <f>IFERROR(ABS((G58-D58)/(D58-E58)),"")</f>
        <v/>
      </c>
      <c r="J58" s="16" t="n"/>
      <c r="K58" s="14" t="n"/>
      <c r="L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5">
        <f>IFERROR(ABS((G59-D59)/(D59-E59)),"")</f>
        <v/>
      </c>
      <c r="J59" s="16" t="n"/>
      <c r="K59" s="14" t="n"/>
      <c r="L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5">
        <f>IFERROR(ABS((G60-D60)/(D60-E60)),"")</f>
        <v/>
      </c>
      <c r="J60" s="16" t="n"/>
      <c r="K60" s="14" t="n"/>
      <c r="L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5">
        <f>IFERROR(ABS((G61-D61)/(D61-E61)),"")</f>
        <v/>
      </c>
      <c r="J61" s="16" t="n"/>
      <c r="K61" s="14" t="n"/>
      <c r="L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5">
        <f>IFERROR(ABS((G62-D62)/(D62-E62)),"")</f>
        <v/>
      </c>
      <c r="J62" s="16" t="n"/>
      <c r="K62" s="14" t="n"/>
      <c r="L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5">
        <f>IFERROR(ABS((G63-D63)/(D63-E63)),"")</f>
        <v/>
      </c>
      <c r="J63" s="16" t="n"/>
      <c r="K63" s="14" t="n"/>
      <c r="L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5">
        <f>IFERROR(ABS((G64-D64)/(D64-E64)),"")</f>
        <v/>
      </c>
      <c r="J64" s="16" t="n"/>
      <c r="K64" s="14" t="n"/>
      <c r="L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5">
        <f>IFERROR(ABS((G65-D65)/(D65-E65)),"")</f>
        <v/>
      </c>
      <c r="J65" s="16" t="n"/>
      <c r="K65" s="14" t="n"/>
      <c r="L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5">
        <f>IFERROR(ABS((G66-D66)/(D66-E66)),"")</f>
        <v/>
      </c>
      <c r="J66" s="16" t="n"/>
      <c r="K66" s="14" t="n"/>
      <c r="L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5">
        <f>IFERROR(ABS((G67-D67)/(D67-E67)),"")</f>
        <v/>
      </c>
      <c r="J67" s="16" t="n"/>
      <c r="K67" s="14" t="n"/>
      <c r="L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5">
        <f>IFERROR(ABS((G68-D68)/(D68-E68)),"")</f>
        <v/>
      </c>
      <c r="J68" s="16" t="n"/>
      <c r="K68" s="14" t="n"/>
      <c r="L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5">
        <f>IFERROR(ABS((G69-D69)/(D69-E69)),"")</f>
        <v/>
      </c>
      <c r="J69" s="16" t="n"/>
      <c r="K69" s="14" t="n"/>
      <c r="L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5">
        <f>IFERROR(ABS((G70-D70)/(D70-E70)),"")</f>
        <v/>
      </c>
      <c r="J70" s="16" t="n"/>
      <c r="K70" s="14" t="n"/>
      <c r="L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5">
        <f>IFERROR(ABS((G71-D71)/(D71-E71)),"")</f>
        <v/>
      </c>
      <c r="J71" s="16" t="n"/>
      <c r="K71" s="14" t="n"/>
      <c r="L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5">
        <f>IFERROR(ABS((G72-D72)/(D72-E72)),"")</f>
        <v/>
      </c>
      <c r="J72" s="16" t="n"/>
      <c r="K72" s="14" t="n"/>
      <c r="L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5">
        <f>IFERROR(ABS((G73-D73)/(D73-E73)),"")</f>
        <v/>
      </c>
      <c r="J73" s="16" t="n"/>
      <c r="K73" s="14" t="n"/>
      <c r="L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5">
        <f>IFERROR(ABS((G74-D74)/(D74-E74)),"")</f>
        <v/>
      </c>
      <c r="J74" s="16" t="n"/>
      <c r="K74" s="14" t="n"/>
      <c r="L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5">
        <f>IFERROR(ABS((G75-D75)/(D75-E75)),"")</f>
        <v/>
      </c>
      <c r="J75" s="16" t="n"/>
      <c r="K75" s="14" t="n"/>
      <c r="L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5">
        <f>IFERROR(ABS((G76-D76)/(D76-E76)),"")</f>
        <v/>
      </c>
      <c r="J76" s="16" t="n"/>
      <c r="K76" s="14" t="n"/>
      <c r="L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5">
        <f>IFERROR(ABS((G77-D77)/(D77-E77)),"")</f>
        <v/>
      </c>
      <c r="J77" s="16" t="n"/>
      <c r="K77" s="14" t="n"/>
      <c r="L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5">
        <f>IFERROR(ABS((G78-D78)/(D78-E78)),"")</f>
        <v/>
      </c>
      <c r="J78" s="16" t="n"/>
      <c r="K78" s="14" t="n"/>
      <c r="L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5">
        <f>IFERROR(ABS((G79-D79)/(D79-E79)),"")</f>
        <v/>
      </c>
      <c r="J79" s="16" t="n"/>
      <c r="K79" s="14" t="n"/>
      <c r="L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5">
        <f>IFERROR(ABS((G80-D80)/(D80-E80)),"")</f>
        <v/>
      </c>
      <c r="J80" s="16" t="n"/>
      <c r="K80" s="14" t="n"/>
      <c r="L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5">
        <f>IFERROR(ABS((G81-D81)/(D81-E81)),"")</f>
        <v/>
      </c>
      <c r="J81" s="16" t="n"/>
      <c r="K81" s="14" t="n"/>
      <c r="L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5">
        <f>IFERROR(ABS((G82-D82)/(D82-E82)),"")</f>
        <v/>
      </c>
      <c r="J82" s="16" t="n"/>
      <c r="K82" s="14" t="n"/>
      <c r="L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5">
        <f>IFERROR(ABS((G83-D83)/(D83-E83)),"")</f>
        <v/>
      </c>
      <c r="J83" s="16" t="n"/>
      <c r="K83" s="14" t="n"/>
      <c r="L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5">
        <f>IFERROR(ABS((G84-D84)/(D84-E84)),"")</f>
        <v/>
      </c>
      <c r="J84" s="16" t="n"/>
      <c r="K84" s="14" t="n"/>
      <c r="L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5">
        <f>IFERROR(ABS((G85-D85)/(D85-E85)),"")</f>
        <v/>
      </c>
      <c r="J85" s="16" t="n"/>
      <c r="K85" s="14" t="n"/>
      <c r="L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5">
        <f>IFERROR(ABS((G86-D86)/(D86-E86)),"")</f>
        <v/>
      </c>
      <c r="J86" s="16" t="n"/>
      <c r="K86" s="14" t="n"/>
      <c r="L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5">
        <f>IFERROR(ABS((G87-D87)/(D87-E87)),"")</f>
        <v/>
      </c>
      <c r="J87" s="16" t="n"/>
      <c r="K87" s="14" t="n"/>
      <c r="L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5">
        <f>IFERROR(ABS((G88-D88)/(D88-E88)),"")</f>
        <v/>
      </c>
      <c r="J88" s="16" t="n"/>
      <c r="K88" s="14" t="n"/>
      <c r="L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5">
        <f>IFERROR(ABS((G89-D89)/(D89-E89)),"")</f>
        <v/>
      </c>
      <c r="J89" s="16" t="n"/>
      <c r="K89" s="14" t="n"/>
      <c r="L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5">
        <f>IFERROR(ABS((G90-D90)/(D90-E90)),"")</f>
        <v/>
      </c>
      <c r="J90" s="16" t="n"/>
      <c r="K90" s="14" t="n"/>
      <c r="L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5">
        <f>IFERROR(ABS((G91-D91)/(D91-E91)),"")</f>
        <v/>
      </c>
      <c r="J91" s="16" t="n"/>
      <c r="K91" s="14" t="n"/>
      <c r="L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5">
        <f>IFERROR(ABS((G92-D92)/(D92-E92)),"")</f>
        <v/>
      </c>
      <c r="J92" s="16" t="n"/>
      <c r="K92" s="14" t="n"/>
      <c r="L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5">
        <f>IFERROR(ABS((G93-D93)/(D93-E93)),"")</f>
        <v/>
      </c>
      <c r="J93" s="16" t="n"/>
      <c r="K93" s="14" t="n"/>
      <c r="L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5">
        <f>IFERROR(ABS((G94-D94)/(D94-E94)),"")</f>
        <v/>
      </c>
      <c r="J94" s="16" t="n"/>
      <c r="K94" s="14" t="n"/>
      <c r="L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5">
        <f>IFERROR(ABS((G95-D95)/(D95-E95)),"")</f>
        <v/>
      </c>
      <c r="J95" s="16" t="n"/>
      <c r="K95" s="14" t="n"/>
      <c r="L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5">
        <f>IFERROR(ABS((G96-D96)/(D96-E96)),"")</f>
        <v/>
      </c>
      <c r="J96" s="16" t="n"/>
      <c r="K96" s="14" t="n"/>
      <c r="L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5">
        <f>IFERROR(ABS((G97-D97)/(D97-E97)),"")</f>
        <v/>
      </c>
      <c r="J97" s="16" t="n"/>
      <c r="K97" s="14" t="n"/>
      <c r="L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5">
        <f>IFERROR(ABS((G98-D98)/(D98-E98)),"")</f>
        <v/>
      </c>
      <c r="J98" s="16" t="n"/>
      <c r="K98" s="14" t="n"/>
      <c r="L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5">
        <f>IFERROR(ABS((G99-D99)/(D99-E99)),"")</f>
        <v/>
      </c>
      <c r="J99" s="16" t="n"/>
      <c r="K99" s="14" t="n"/>
      <c r="L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5">
        <f>IFERROR(ABS((G100-D100)/(D100-E100)),"")</f>
        <v/>
      </c>
      <c r="J100" s="16" t="n"/>
      <c r="K100" s="14" t="n"/>
      <c r="L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5">
        <f>IFERROR(ABS((G101-D101)/(D101-E101)),"")</f>
        <v/>
      </c>
      <c r="J101" s="16" t="n"/>
      <c r="K101" s="14" t="n"/>
      <c r="L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5">
        <f>IFERROR(ABS((G102-D102)/(D102-E102)),"")</f>
        <v/>
      </c>
      <c r="J102" s="16" t="n"/>
      <c r="K102" s="14" t="n"/>
      <c r="L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5">
        <f>IFERROR(ABS((G103-D103)/(D103-E103)),"")</f>
        <v/>
      </c>
      <c r="J103" s="16" t="n"/>
      <c r="K103" s="14" t="n"/>
      <c r="L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5">
        <f>IFERROR(ABS((G104-D104)/(D104-E104)),"")</f>
        <v/>
      </c>
      <c r="J104" s="16" t="n"/>
      <c r="K104" s="14" t="n"/>
      <c r="L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5">
        <f>IFERROR(ABS((G105-D105)/(D105-E105)),"")</f>
        <v/>
      </c>
      <c r="J105" s="16" t="n"/>
      <c r="K105" s="14" t="n"/>
      <c r="L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5">
        <f>IFERROR(ABS((G106-D106)/(D106-E106)),"")</f>
        <v/>
      </c>
      <c r="J106" s="16" t="n"/>
      <c r="K106" s="14" t="n"/>
      <c r="L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5">
        <f>IFERROR(ABS((G107-D107)/(D107-E107)),"")</f>
        <v/>
      </c>
      <c r="J107" s="16" t="n"/>
      <c r="K107" s="14" t="n"/>
      <c r="L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5">
        <f>IFERROR(ABS((G108-D108)/(D108-E108)),"")</f>
        <v/>
      </c>
      <c r="J108" s="16" t="n"/>
      <c r="K108" s="14" t="n"/>
      <c r="L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5">
        <f>IFERROR(ABS((G109-D109)/(D109-E109)),"")</f>
        <v/>
      </c>
      <c r="J109" s="16" t="n"/>
      <c r="K109" s="14" t="n"/>
      <c r="L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5">
        <f>IFERROR(ABS((G110-D110)/(D110-E110)),"")</f>
        <v/>
      </c>
      <c r="J110" s="16" t="n"/>
      <c r="K110" s="14" t="n"/>
      <c r="L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5">
        <f>IFERROR(ABS((G111-D111)/(D111-E111)),"")</f>
        <v/>
      </c>
      <c r="J111" s="16" t="n"/>
      <c r="K111" s="14" t="n"/>
      <c r="L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5">
        <f>IFERROR(ABS((G112-D112)/(D112-E112)),"")</f>
        <v/>
      </c>
      <c r="J112" s="16" t="n"/>
      <c r="K112" s="14" t="n"/>
      <c r="L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5">
        <f>IFERROR(ABS((G113-D113)/(D113-E113)),"")</f>
        <v/>
      </c>
      <c r="J113" s="16" t="n"/>
      <c r="K113" s="14" t="n"/>
      <c r="L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5">
        <f>IFERROR(ABS((G114-D114)/(D114-E114)),"")</f>
        <v/>
      </c>
      <c r="J114" s="16" t="n"/>
      <c r="K114" s="14" t="n"/>
      <c r="L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5">
        <f>IFERROR(ABS((G115-D115)/(D115-E115)),"")</f>
        <v/>
      </c>
      <c r="J115" s="16" t="n"/>
      <c r="K115" s="14" t="n"/>
      <c r="L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5">
        <f>IFERROR(ABS((G116-D116)/(D116-E116)),"")</f>
        <v/>
      </c>
      <c r="J116" s="16" t="n"/>
      <c r="K116" s="14" t="n"/>
      <c r="L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5">
        <f>IFERROR(ABS((G117-D117)/(D117-E117)),"")</f>
        <v/>
      </c>
      <c r="J117" s="16" t="n"/>
      <c r="K117" s="14" t="n"/>
      <c r="L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5">
        <f>IFERROR(ABS((G118-D118)/(D118-E118)),"")</f>
        <v/>
      </c>
      <c r="J118" s="16" t="n"/>
      <c r="K118" s="14" t="n"/>
      <c r="L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5">
        <f>IFERROR(ABS((G119-D119)/(D119-E119)),"")</f>
        <v/>
      </c>
      <c r="J119" s="16" t="n"/>
      <c r="K119" s="14" t="n"/>
      <c r="L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5">
        <f>IFERROR(ABS((G120-D120)/(D120-E120)),"")</f>
        <v/>
      </c>
      <c r="J120" s="16" t="n"/>
      <c r="K120" s="14" t="n"/>
      <c r="L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5">
        <f>IFERROR(ABS((G121-D121)/(D121-E121)),"")</f>
        <v/>
      </c>
      <c r="J121" s="16" t="n"/>
      <c r="K121" s="14" t="n"/>
      <c r="L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5">
        <f>IFERROR(ABS((G122-D122)/(D122-E122)),"")</f>
        <v/>
      </c>
      <c r="J122" s="16" t="n"/>
      <c r="K122" s="14" t="n"/>
      <c r="L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5">
        <f>IFERROR(ABS((G123-D123)/(D123-E123)),"")</f>
        <v/>
      </c>
      <c r="J123" s="16" t="n"/>
      <c r="K123" s="14" t="n"/>
      <c r="L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5">
        <f>IFERROR(ABS((G124-D124)/(D124-E124)),"")</f>
        <v/>
      </c>
      <c r="J124" s="16" t="n"/>
      <c r="K124" s="14" t="n"/>
      <c r="L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5">
        <f>IFERROR(ABS((G125-D125)/(D125-E125)),"")</f>
        <v/>
      </c>
      <c r="J125" s="16" t="n"/>
      <c r="K125" s="14" t="n"/>
      <c r="L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5">
        <f>IFERROR(ABS((G126-D126)/(D126-E126)),"")</f>
        <v/>
      </c>
      <c r="J126" s="16" t="n"/>
      <c r="K126" s="14" t="n"/>
      <c r="L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5">
        <f>IFERROR(ABS((G127-D127)/(D127-E127)),"")</f>
        <v/>
      </c>
      <c r="J127" s="16" t="n"/>
      <c r="K127" s="14" t="n"/>
      <c r="L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5">
        <f>IFERROR(ABS((G128-D128)/(D128-E128)),"")</f>
        <v/>
      </c>
      <c r="J128" s="16" t="n"/>
      <c r="K128" s="14" t="n"/>
      <c r="L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5">
        <f>IFERROR(ABS((G129-D129)/(D129-E129)),"")</f>
        <v/>
      </c>
      <c r="J129" s="16" t="n"/>
      <c r="K129" s="14" t="n"/>
      <c r="L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5">
        <f>IFERROR(ABS((G130-D130)/(D130-E130)),"")</f>
        <v/>
      </c>
      <c r="J130" s="16" t="n"/>
      <c r="K130" s="14" t="n"/>
      <c r="L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5">
        <f>IFERROR(ABS((G131-D131)/(D131-E131)),"")</f>
        <v/>
      </c>
      <c r="J131" s="16" t="n"/>
      <c r="K131" s="14" t="n"/>
      <c r="L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5">
        <f>IFERROR(ABS((G132-D132)/(D132-E132)),"")</f>
        <v/>
      </c>
      <c r="J132" s="16" t="n"/>
      <c r="K132" s="14" t="n"/>
      <c r="L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5">
        <f>IFERROR(ABS((G133-D133)/(D133-E133)),"")</f>
        <v/>
      </c>
      <c r="J133" s="16" t="n"/>
      <c r="K133" s="14" t="n"/>
      <c r="L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5">
        <f>IFERROR(ABS((G134-D134)/(D134-E134)),"")</f>
        <v/>
      </c>
      <c r="J134" s="16" t="n"/>
      <c r="K134" s="14" t="n"/>
      <c r="L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5">
        <f>IFERROR(ABS((G135-D135)/(D135-E135)),"")</f>
        <v/>
      </c>
      <c r="J135" s="16" t="n"/>
      <c r="K135" s="14" t="n"/>
      <c r="L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5">
        <f>IFERROR(ABS((G136-D136)/(D136-E136)),"")</f>
        <v/>
      </c>
      <c r="J136" s="16" t="n"/>
      <c r="K136" s="14" t="n"/>
      <c r="L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5">
        <f>IFERROR(ABS((G137-D137)/(D137-E137)),"")</f>
        <v/>
      </c>
      <c r="J137" s="16" t="n"/>
      <c r="K137" s="14" t="n"/>
      <c r="L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5">
        <f>IFERROR(ABS((G138-D138)/(D138-E138)),"")</f>
        <v/>
      </c>
      <c r="J138" s="16" t="n"/>
      <c r="K138" s="14" t="n"/>
      <c r="L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5">
        <f>IFERROR(ABS((G139-D139)/(D139-E139)),"")</f>
        <v/>
      </c>
      <c r="J139" s="16" t="n"/>
      <c r="K139" s="14" t="n"/>
      <c r="L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5">
        <f>IFERROR(ABS((G140-D140)/(D140-E140)),"")</f>
        <v/>
      </c>
      <c r="J140" s="16" t="n"/>
      <c r="K140" s="14" t="n"/>
      <c r="L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5">
        <f>IFERROR(ABS((G141-D141)/(D141-E141)),"")</f>
        <v/>
      </c>
      <c r="J141" s="16" t="n"/>
      <c r="K141" s="14" t="n"/>
      <c r="L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5">
        <f>IFERROR(ABS((G142-D142)/(D142-E142)),"")</f>
        <v/>
      </c>
      <c r="J142" s="16" t="n"/>
      <c r="K142" s="14" t="n"/>
      <c r="L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5">
        <f>IFERROR(ABS((G143-D143)/(D143-E143)),"")</f>
        <v/>
      </c>
      <c r="J143" s="16" t="n"/>
      <c r="K143" s="14" t="n"/>
      <c r="L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5">
        <f>IFERROR(ABS((G144-D144)/(D144-E144)),"")</f>
        <v/>
      </c>
      <c r="J144" s="16" t="n"/>
      <c r="K144" s="14" t="n"/>
      <c r="L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5">
        <f>IFERROR(ABS((G145-D145)/(D145-E145)),"")</f>
        <v/>
      </c>
      <c r="J145" s="16" t="n"/>
      <c r="K145" s="14" t="n"/>
      <c r="L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5">
        <f>IFERROR(ABS((G146-D146)/(D146-E146)),"")</f>
        <v/>
      </c>
      <c r="J146" s="16" t="n"/>
      <c r="K146" s="14" t="n"/>
      <c r="L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5">
        <f>IFERROR(ABS((G147-D147)/(D147-E147)),"")</f>
        <v/>
      </c>
      <c r="J147" s="16" t="n"/>
      <c r="K147" s="14" t="n"/>
      <c r="L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5">
        <f>IFERROR(ABS((G148-D148)/(D148-E148)),"")</f>
        <v/>
      </c>
      <c r="J148" s="16" t="n"/>
      <c r="K148" s="14" t="n"/>
      <c r="L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5">
        <f>IFERROR(ABS((G149-D149)/(D149-E149)),"")</f>
        <v/>
      </c>
      <c r="J149" s="16" t="n"/>
      <c r="K149" s="14" t="n"/>
      <c r="L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5">
        <f>IFERROR(ABS((G150-D150)/(D150-E150)),"")</f>
        <v/>
      </c>
      <c r="J150" s="16" t="n"/>
      <c r="K150" s="14" t="n"/>
      <c r="L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5">
        <f>IFERROR(ABS((G151-D151)/(D151-E151)),"")</f>
        <v/>
      </c>
      <c r="J151" s="16" t="n"/>
      <c r="K151" s="14" t="n"/>
      <c r="L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5">
        <f>IFERROR(ABS((G152-D152)/(D152-E152)),"")</f>
        <v/>
      </c>
      <c r="J152" s="16" t="n"/>
      <c r="K152" s="14" t="n"/>
      <c r="L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5">
        <f>IFERROR(ABS((G153-D153)/(D153-E153)),"")</f>
        <v/>
      </c>
      <c r="J153" s="16" t="n"/>
      <c r="K153" s="14" t="n"/>
      <c r="L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5">
        <f>IFERROR(ABS((G154-D154)/(D154-E154)),"")</f>
        <v/>
      </c>
      <c r="J154" s="16" t="n"/>
      <c r="K154" s="14" t="n"/>
      <c r="L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5">
        <f>IFERROR(ABS((G155-D155)/(D155-E155)),"")</f>
        <v/>
      </c>
      <c r="J155" s="16" t="n"/>
      <c r="K155" s="14" t="n"/>
      <c r="L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5">
        <f>IFERROR(ABS((G156-D156)/(D156-E156)),"")</f>
        <v/>
      </c>
      <c r="J156" s="16" t="n"/>
      <c r="K156" s="14" t="n"/>
      <c r="L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5">
        <f>IFERROR(ABS((G157-D157)/(D157-E157)),"")</f>
        <v/>
      </c>
      <c r="J157" s="16" t="n"/>
      <c r="K157" s="14" t="n"/>
      <c r="L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5">
        <f>IFERROR(ABS((G158-D158)/(D158-E158)),"")</f>
        <v/>
      </c>
      <c r="J158" s="16" t="n"/>
      <c r="K158" s="14" t="n"/>
      <c r="L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5">
        <f>IFERROR(ABS((G159-D159)/(D159-E159)),"")</f>
        <v/>
      </c>
      <c r="J159" s="16" t="n"/>
      <c r="K159" s="14" t="n"/>
      <c r="L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5">
        <f>IFERROR(ABS((G160-D160)/(D160-E160)),"")</f>
        <v/>
      </c>
      <c r="J160" s="16" t="n"/>
      <c r="K160" s="14" t="n"/>
      <c r="L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5">
        <f>IFERROR(ABS((G161-D161)/(D161-E161)),"")</f>
        <v/>
      </c>
      <c r="J161" s="16" t="n"/>
      <c r="K161" s="14" t="n"/>
      <c r="L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5">
        <f>IFERROR(ABS((G162-D162)/(D162-E162)),"")</f>
        <v/>
      </c>
      <c r="J162" s="16" t="n"/>
      <c r="K162" s="14" t="n"/>
      <c r="L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5">
        <f>IFERROR(ABS((G163-D163)/(D163-E163)),"")</f>
        <v/>
      </c>
      <c r="J163" s="16" t="n"/>
      <c r="K163" s="14" t="n"/>
      <c r="L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5">
        <f>IFERROR(ABS((G164-D164)/(D164-E164)),"")</f>
        <v/>
      </c>
      <c r="J164" s="16" t="n"/>
      <c r="K164" s="14" t="n"/>
      <c r="L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5">
        <f>IFERROR(ABS((G165-D165)/(D165-E165)),"")</f>
        <v/>
      </c>
      <c r="J165" s="16" t="n"/>
      <c r="K165" s="14" t="n"/>
      <c r="L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5">
        <f>IFERROR(ABS((G166-D166)/(D166-E166)),"")</f>
        <v/>
      </c>
      <c r="J166" s="16" t="n"/>
      <c r="K166" s="14" t="n"/>
      <c r="L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5">
        <f>IFERROR(ABS((G167-D167)/(D167-E167)),"")</f>
        <v/>
      </c>
      <c r="J167" s="16" t="n"/>
      <c r="K167" s="14" t="n"/>
      <c r="L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5">
        <f>IFERROR(ABS((G168-D168)/(D168-E168)),"")</f>
        <v/>
      </c>
      <c r="J168" s="16" t="n"/>
      <c r="K168" s="14" t="n"/>
      <c r="L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5">
        <f>IFERROR(ABS((G169-D169)/(D169-E169)),"")</f>
        <v/>
      </c>
      <c r="J169" s="16" t="n"/>
      <c r="K169" s="14" t="n"/>
      <c r="L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5">
        <f>IFERROR(ABS((G170-D170)/(D170-E170)),"")</f>
        <v/>
      </c>
      <c r="J170" s="16" t="n"/>
      <c r="K170" s="14" t="n"/>
      <c r="L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5">
        <f>IFERROR(ABS((G171-D171)/(D171-E171)),"")</f>
        <v/>
      </c>
      <c r="J171" s="16" t="n"/>
      <c r="K171" s="14" t="n"/>
      <c r="L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5">
        <f>IFERROR(ABS((G172-D172)/(D172-E172)),"")</f>
        <v/>
      </c>
      <c r="J172" s="16" t="n"/>
      <c r="K172" s="14" t="n"/>
      <c r="L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5">
        <f>IFERROR(ABS((G173-D173)/(D173-E173)),"")</f>
        <v/>
      </c>
      <c r="J173" s="16" t="n"/>
      <c r="K173" s="14" t="n"/>
      <c r="L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5">
        <f>IFERROR(ABS((G174-D174)/(D174-E174)),"")</f>
        <v/>
      </c>
      <c r="J174" s="16" t="n"/>
      <c r="K174" s="14" t="n"/>
      <c r="L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5">
        <f>IFERROR(ABS((G175-D175)/(D175-E175)),"")</f>
        <v/>
      </c>
      <c r="J175" s="16" t="n"/>
      <c r="K175" s="14" t="n"/>
      <c r="L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5">
        <f>IFERROR(ABS((G176-D176)/(D176-E176)),"")</f>
        <v/>
      </c>
      <c r="J176" s="16" t="n"/>
      <c r="K176" s="14" t="n"/>
      <c r="L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5">
        <f>IFERROR(ABS((G177-D177)/(D177-E177)),"")</f>
        <v/>
      </c>
      <c r="J177" s="16" t="n"/>
      <c r="K177" s="14" t="n"/>
      <c r="L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5">
        <f>IFERROR(ABS((G178-D178)/(D178-E178)),"")</f>
        <v/>
      </c>
      <c r="J178" s="16" t="n"/>
      <c r="K178" s="14" t="n"/>
      <c r="L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5">
        <f>IFERROR(ABS((G179-D179)/(D179-E179)),"")</f>
        <v/>
      </c>
      <c r="J179" s="16" t="n"/>
      <c r="K179" s="14" t="n"/>
      <c r="L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5">
        <f>IFERROR(ABS((G180-D180)/(D180-E180)),"")</f>
        <v/>
      </c>
      <c r="J180" s="16" t="n"/>
      <c r="K180" s="14" t="n"/>
      <c r="L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5">
        <f>IFERROR(ABS((G181-D181)/(D181-E181)),"")</f>
        <v/>
      </c>
      <c r="J181" s="16" t="n"/>
      <c r="K181" s="14" t="n"/>
      <c r="L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5">
        <f>IFERROR(ABS((G182-D182)/(D182-E182)),"")</f>
        <v/>
      </c>
      <c r="J182" s="16" t="n"/>
      <c r="K182" s="14" t="n"/>
      <c r="L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5">
        <f>IFERROR(ABS((G183-D183)/(D183-E183)),"")</f>
        <v/>
      </c>
      <c r="J183" s="16" t="n"/>
      <c r="K183" s="14" t="n"/>
      <c r="L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5">
        <f>IFERROR(ABS((G184-D184)/(D184-E184)),"")</f>
        <v/>
      </c>
      <c r="J184" s="16" t="n"/>
      <c r="K184" s="14" t="n"/>
      <c r="L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5">
        <f>IFERROR(ABS((G185-D185)/(D185-E185)),"")</f>
        <v/>
      </c>
      <c r="J185" s="16" t="n"/>
      <c r="K185" s="14" t="n"/>
      <c r="L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5">
        <f>IFERROR(ABS((G186-D186)/(D186-E186)),"")</f>
        <v/>
      </c>
      <c r="J186" s="16" t="n"/>
      <c r="K186" s="14" t="n"/>
      <c r="L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5">
        <f>IFERROR(ABS((G187-D187)/(D187-E187)),"")</f>
        <v/>
      </c>
      <c r="J187" s="16" t="n"/>
      <c r="K187" s="14" t="n"/>
      <c r="L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5">
        <f>IFERROR(ABS((G188-D188)/(D188-E188)),"")</f>
        <v/>
      </c>
      <c r="J188" s="16" t="n"/>
      <c r="K188" s="14" t="n"/>
      <c r="L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5">
        <f>IFERROR(ABS((G189-D189)/(D189-E189)),"")</f>
        <v/>
      </c>
      <c r="J189" s="16" t="n"/>
      <c r="K189" s="14" t="n"/>
      <c r="L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5">
        <f>IFERROR(ABS((G190-D190)/(D190-E190)),"")</f>
        <v/>
      </c>
      <c r="J190" s="16" t="n"/>
      <c r="K190" s="14" t="n"/>
      <c r="L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5">
        <f>IFERROR(ABS((G191-D191)/(D191-E191)),"")</f>
        <v/>
      </c>
      <c r="J191" s="16" t="n"/>
      <c r="K191" s="14" t="n"/>
      <c r="L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5">
        <f>IFERROR(ABS((G192-D192)/(D192-E192)),"")</f>
        <v/>
      </c>
      <c r="J192" s="16" t="n"/>
      <c r="K192" s="14" t="n"/>
      <c r="L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5">
        <f>IFERROR(ABS((G193-D193)/(D193-E193)),"")</f>
        <v/>
      </c>
      <c r="J193" s="16" t="n"/>
      <c r="K193" s="14" t="n"/>
      <c r="L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5">
        <f>IFERROR(ABS((G194-D194)/(D194-E194)),"")</f>
        <v/>
      </c>
      <c r="J194" s="16" t="n"/>
      <c r="K194" s="14" t="n"/>
      <c r="L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5">
        <f>IFERROR(ABS((G195-D195)/(D195-E195)),"")</f>
        <v/>
      </c>
      <c r="J195" s="16" t="n"/>
      <c r="K195" s="14" t="n"/>
      <c r="L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5">
        <f>IFERROR(ABS((G196-D196)/(D196-E196)),"")</f>
        <v/>
      </c>
      <c r="J196" s="16" t="n"/>
      <c r="K196" s="14" t="n"/>
      <c r="L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5">
        <f>IFERROR(ABS((G197-D197)/(D197-E197)),"")</f>
        <v/>
      </c>
      <c r="J197" s="16" t="n"/>
      <c r="K197" s="14" t="n"/>
      <c r="L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5">
        <f>IFERROR(ABS((G198-D198)/(D198-E198)),"")</f>
        <v/>
      </c>
      <c r="J198" s="16" t="n"/>
      <c r="K198" s="14" t="n"/>
      <c r="L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5">
        <f>IFERROR(ABS((G199-D199)/(D199-E199)),"")</f>
        <v/>
      </c>
      <c r="J199" s="16" t="n"/>
      <c r="K199" s="14" t="n"/>
      <c r="L199" s="14" t="n"/>
    </row>
  </sheetData>
  <mergeCells count="1">
    <mergeCell ref="A1:L1"/>
  </mergeCells>
  <dataValidations count="2">
    <dataValidation sqref="C3:C200" showDropDown="0" showInputMessage="0" showErrorMessage="0" allowBlank="1" type="list">
      <formula1>"Long,Short"</formula1>
    </dataValidation>
    <dataValidation sqref="H3:H200" showDropDown="0" showInputMessage="0" showErrorMessage="0" allowBlank="1" type="list">
      <formula1>"Win,Loss,Breakeven"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 ht="26" customHeight="1">
      <c r="A1" s="13" t="inlineStr">
        <is>
          <t>Trade #</t>
        </is>
      </c>
      <c r="B1" s="13" t="inlineStr">
        <is>
          <t>P&amp;L</t>
        </is>
      </c>
      <c r="C1" s="13" t="inlineStr">
        <is>
          <t>Cumulative</t>
        </is>
      </c>
    </row>
    <row r="2">
      <c r="A2" t="n">
        <v>1</v>
      </c>
      <c r="B2" s="17">
        <f>IFERROR('📈 Trade Log'!J3,0)</f>
        <v/>
      </c>
      <c r="C2" s="17">
        <f>SUM($B$2:B2)</f>
        <v/>
      </c>
    </row>
    <row r="3">
      <c r="A3" t="n">
        <v>2</v>
      </c>
      <c r="B3" s="17">
        <f>IFERROR('📈 Trade Log'!J4,0)</f>
        <v/>
      </c>
      <c r="C3" s="17">
        <f>SUM($B$2:B3)</f>
        <v/>
      </c>
    </row>
    <row r="4">
      <c r="A4" t="n">
        <v>3</v>
      </c>
      <c r="B4" s="17">
        <f>IFERROR('📈 Trade Log'!J5,0)</f>
        <v/>
      </c>
      <c r="C4" s="17">
        <f>SUM($B$2:B4)</f>
        <v/>
      </c>
    </row>
    <row r="5">
      <c r="A5" t="n">
        <v>4</v>
      </c>
      <c r="B5" s="17">
        <f>IFERROR('📈 Trade Log'!J6,0)</f>
        <v/>
      </c>
      <c r="C5" s="17">
        <f>SUM($B$2:B5)</f>
        <v/>
      </c>
    </row>
    <row r="6">
      <c r="A6" t="n">
        <v>5</v>
      </c>
      <c r="B6" s="17">
        <f>IFERROR('📈 Trade Log'!J7,0)</f>
        <v/>
      </c>
      <c r="C6" s="17">
        <f>SUM($B$2:B6)</f>
        <v/>
      </c>
    </row>
    <row r="7">
      <c r="A7" t="n">
        <v>6</v>
      </c>
      <c r="B7" s="17">
        <f>IFERROR('📈 Trade Log'!J8,0)</f>
        <v/>
      </c>
      <c r="C7" s="17">
        <f>SUM($B$2:B7)</f>
        <v/>
      </c>
    </row>
    <row r="8">
      <c r="A8" t="n">
        <v>7</v>
      </c>
      <c r="B8" s="17">
        <f>IFERROR('📈 Trade Log'!J9,0)</f>
        <v/>
      </c>
      <c r="C8" s="17">
        <f>SUM($B$2:B8)</f>
        <v/>
      </c>
    </row>
    <row r="9">
      <c r="A9" t="n">
        <v>8</v>
      </c>
      <c r="B9" s="17">
        <f>IFERROR('📈 Trade Log'!J10,0)</f>
        <v/>
      </c>
      <c r="C9" s="17">
        <f>SUM($B$2:B9)</f>
        <v/>
      </c>
    </row>
    <row r="10">
      <c r="A10" t="n">
        <v>9</v>
      </c>
      <c r="B10" s="17">
        <f>IFERROR('📈 Trade Log'!J11,0)</f>
        <v/>
      </c>
      <c r="C10" s="17">
        <f>SUM($B$2:B10)</f>
        <v/>
      </c>
    </row>
    <row r="11">
      <c r="A11" t="n">
        <v>10</v>
      </c>
      <c r="B11" s="17">
        <f>IFERROR('📈 Trade Log'!J12,0)</f>
        <v/>
      </c>
      <c r="C11" s="17">
        <f>SUM($B$2:B11)</f>
        <v/>
      </c>
    </row>
    <row r="12">
      <c r="A12" t="n">
        <v>11</v>
      </c>
      <c r="B12" s="17">
        <f>IFERROR('📈 Trade Log'!J13,0)</f>
        <v/>
      </c>
      <c r="C12" s="17">
        <f>SUM($B$2:B12)</f>
        <v/>
      </c>
    </row>
    <row r="13">
      <c r="A13" t="n">
        <v>12</v>
      </c>
      <c r="B13" s="17">
        <f>IFERROR('📈 Trade Log'!J14,0)</f>
        <v/>
      </c>
      <c r="C13" s="17">
        <f>SUM($B$2:B13)</f>
        <v/>
      </c>
    </row>
    <row r="14">
      <c r="A14" t="n">
        <v>13</v>
      </c>
      <c r="B14" s="17">
        <f>IFERROR('📈 Trade Log'!J15,0)</f>
        <v/>
      </c>
      <c r="C14" s="17">
        <f>SUM($B$2:B14)</f>
        <v/>
      </c>
    </row>
    <row r="15">
      <c r="A15" t="n">
        <v>14</v>
      </c>
      <c r="B15" s="17">
        <f>IFERROR('📈 Trade Log'!J16,0)</f>
        <v/>
      </c>
      <c r="C15" s="17">
        <f>SUM($B$2:B15)</f>
        <v/>
      </c>
    </row>
    <row r="16">
      <c r="A16" t="n">
        <v>15</v>
      </c>
      <c r="B16" s="17">
        <f>IFERROR('📈 Trade Log'!J17,0)</f>
        <v/>
      </c>
      <c r="C16" s="17">
        <f>SUM($B$2:B16)</f>
        <v/>
      </c>
    </row>
    <row r="17">
      <c r="A17" t="n">
        <v>16</v>
      </c>
      <c r="B17" s="17">
        <f>IFERROR('📈 Trade Log'!J18,0)</f>
        <v/>
      </c>
      <c r="C17" s="17">
        <f>SUM($B$2:B17)</f>
        <v/>
      </c>
    </row>
    <row r="18">
      <c r="A18" t="n">
        <v>17</v>
      </c>
      <c r="B18" s="17">
        <f>IFERROR('📈 Trade Log'!J19,0)</f>
        <v/>
      </c>
      <c r="C18" s="17">
        <f>SUM($B$2:B18)</f>
        <v/>
      </c>
    </row>
    <row r="19">
      <c r="A19" t="n">
        <v>18</v>
      </c>
      <c r="B19" s="17">
        <f>IFERROR('📈 Trade Log'!J20,0)</f>
        <v/>
      </c>
      <c r="C19" s="17">
        <f>SUM($B$2:B19)</f>
        <v/>
      </c>
    </row>
    <row r="20">
      <c r="A20" t="n">
        <v>19</v>
      </c>
      <c r="B20" s="17">
        <f>IFERROR('📈 Trade Log'!J21,0)</f>
        <v/>
      </c>
      <c r="C20" s="17">
        <f>SUM($B$2:B20)</f>
        <v/>
      </c>
    </row>
    <row r="21">
      <c r="A21" t="n">
        <v>20</v>
      </c>
      <c r="B21" s="17">
        <f>IFERROR('📈 Trade Log'!J22,0)</f>
        <v/>
      </c>
      <c r="C21" s="17">
        <f>SUM($B$2:B21)</f>
        <v/>
      </c>
    </row>
    <row r="22">
      <c r="A22" t="n">
        <v>21</v>
      </c>
      <c r="B22" s="17">
        <f>IFERROR('📈 Trade Log'!J23,0)</f>
        <v/>
      </c>
      <c r="C22" s="17">
        <f>SUM($B$2:B22)</f>
        <v/>
      </c>
    </row>
    <row r="23">
      <c r="A23" t="n">
        <v>22</v>
      </c>
      <c r="B23" s="17">
        <f>IFERROR('📈 Trade Log'!J24,0)</f>
        <v/>
      </c>
      <c r="C23" s="17">
        <f>SUM($B$2:B23)</f>
        <v/>
      </c>
    </row>
    <row r="24">
      <c r="A24" t="n">
        <v>23</v>
      </c>
      <c r="B24" s="17">
        <f>IFERROR('📈 Trade Log'!J25,0)</f>
        <v/>
      </c>
      <c r="C24" s="17">
        <f>SUM($B$2:B24)</f>
        <v/>
      </c>
    </row>
    <row r="25">
      <c r="A25" t="n">
        <v>24</v>
      </c>
      <c r="B25" s="17">
        <f>IFERROR('📈 Trade Log'!J26,0)</f>
        <v/>
      </c>
      <c r="C25" s="17">
        <f>SUM($B$2:B25)</f>
        <v/>
      </c>
    </row>
    <row r="26">
      <c r="A26" t="n">
        <v>25</v>
      </c>
      <c r="B26" s="17">
        <f>IFERROR('📈 Trade Log'!J27,0)</f>
        <v/>
      </c>
      <c r="C26" s="17">
        <f>SUM($B$2:B26)</f>
        <v/>
      </c>
    </row>
    <row r="27">
      <c r="A27" t="n">
        <v>26</v>
      </c>
      <c r="B27" s="17">
        <f>IFERROR('📈 Trade Log'!J28,0)</f>
        <v/>
      </c>
      <c r="C27" s="17">
        <f>SUM($B$2:B27)</f>
        <v/>
      </c>
    </row>
    <row r="28">
      <c r="A28" t="n">
        <v>27</v>
      </c>
      <c r="B28" s="17">
        <f>IFERROR('📈 Trade Log'!J29,0)</f>
        <v/>
      </c>
      <c r="C28" s="17">
        <f>SUM($B$2:B28)</f>
        <v/>
      </c>
    </row>
    <row r="29">
      <c r="A29" t="n">
        <v>28</v>
      </c>
      <c r="B29" s="17">
        <f>IFERROR('📈 Trade Log'!J30,0)</f>
        <v/>
      </c>
      <c r="C29" s="17">
        <f>SUM($B$2:B29)</f>
        <v/>
      </c>
    </row>
    <row r="30">
      <c r="A30" t="n">
        <v>29</v>
      </c>
      <c r="B30" s="17">
        <f>IFERROR('📈 Trade Log'!J31,0)</f>
        <v/>
      </c>
      <c r="C30" s="17">
        <f>SUM($B$2:B30)</f>
        <v/>
      </c>
    </row>
    <row r="31">
      <c r="A31" t="n">
        <v>30</v>
      </c>
      <c r="B31" s="17">
        <f>IFERROR('📈 Trade Log'!J32,0)</f>
        <v/>
      </c>
      <c r="C31" s="17">
        <f>SUM($B$2:B31)</f>
        <v/>
      </c>
    </row>
    <row r="32">
      <c r="A32" t="n">
        <v>31</v>
      </c>
      <c r="B32" s="17">
        <f>IFERROR('📈 Trade Log'!J33,0)</f>
        <v/>
      </c>
      <c r="C32" s="17">
        <f>SUM($B$2:B32)</f>
        <v/>
      </c>
    </row>
    <row r="33">
      <c r="A33" t="n">
        <v>32</v>
      </c>
      <c r="B33" s="17">
        <f>IFERROR('📈 Trade Log'!J34,0)</f>
        <v/>
      </c>
      <c r="C33" s="17">
        <f>SUM($B$2:B33)</f>
        <v/>
      </c>
    </row>
    <row r="34">
      <c r="A34" t="n">
        <v>33</v>
      </c>
      <c r="B34" s="17">
        <f>IFERROR('📈 Trade Log'!J35,0)</f>
        <v/>
      </c>
      <c r="C34" s="17">
        <f>SUM($B$2:B34)</f>
        <v/>
      </c>
    </row>
    <row r="35">
      <c r="A35" t="n">
        <v>34</v>
      </c>
      <c r="B35" s="17">
        <f>IFERROR('📈 Trade Log'!J36,0)</f>
        <v/>
      </c>
      <c r="C35" s="17">
        <f>SUM($B$2:B35)</f>
        <v/>
      </c>
    </row>
    <row r="36">
      <c r="A36" t="n">
        <v>35</v>
      </c>
      <c r="B36" s="17">
        <f>IFERROR('📈 Trade Log'!J37,0)</f>
        <v/>
      </c>
      <c r="C36" s="17">
        <f>SUM($B$2:B36)</f>
        <v/>
      </c>
    </row>
    <row r="37">
      <c r="A37" t="n">
        <v>36</v>
      </c>
      <c r="B37" s="17">
        <f>IFERROR('📈 Trade Log'!J38,0)</f>
        <v/>
      </c>
      <c r="C37" s="17">
        <f>SUM($B$2:B37)</f>
        <v/>
      </c>
    </row>
    <row r="38">
      <c r="A38" t="n">
        <v>37</v>
      </c>
      <c r="B38" s="17">
        <f>IFERROR('📈 Trade Log'!J39,0)</f>
        <v/>
      </c>
      <c r="C38" s="17">
        <f>SUM($B$2:B38)</f>
        <v/>
      </c>
    </row>
    <row r="39">
      <c r="A39" t="n">
        <v>38</v>
      </c>
      <c r="B39" s="17">
        <f>IFERROR('📈 Trade Log'!J40,0)</f>
        <v/>
      </c>
      <c r="C39" s="17">
        <f>SUM($B$2:B39)</f>
        <v/>
      </c>
    </row>
    <row r="40">
      <c r="A40" t="n">
        <v>39</v>
      </c>
      <c r="B40" s="17">
        <f>IFERROR('📈 Trade Log'!J41,0)</f>
        <v/>
      </c>
      <c r="C40" s="17">
        <f>SUM($B$2:B40)</f>
        <v/>
      </c>
    </row>
    <row r="41">
      <c r="A41" t="n">
        <v>40</v>
      </c>
      <c r="B41" s="17">
        <f>IFERROR('📈 Trade Log'!J42,0)</f>
        <v/>
      </c>
      <c r="C41" s="17">
        <f>SUM($B$2:B41)</f>
        <v/>
      </c>
    </row>
    <row r="42">
      <c r="A42" t="n">
        <v>41</v>
      </c>
      <c r="B42" s="17">
        <f>IFERROR('📈 Trade Log'!J43,0)</f>
        <v/>
      </c>
      <c r="C42" s="17">
        <f>SUM($B$2:B42)</f>
        <v/>
      </c>
    </row>
    <row r="43">
      <c r="A43" t="n">
        <v>42</v>
      </c>
      <c r="B43" s="17">
        <f>IFERROR('📈 Trade Log'!J44,0)</f>
        <v/>
      </c>
      <c r="C43" s="17">
        <f>SUM($B$2:B43)</f>
        <v/>
      </c>
    </row>
    <row r="44">
      <c r="A44" t="n">
        <v>43</v>
      </c>
      <c r="B44" s="17">
        <f>IFERROR('📈 Trade Log'!J45,0)</f>
        <v/>
      </c>
      <c r="C44" s="17">
        <f>SUM($B$2:B44)</f>
        <v/>
      </c>
    </row>
    <row r="45">
      <c r="A45" t="n">
        <v>44</v>
      </c>
      <c r="B45" s="17">
        <f>IFERROR('📈 Trade Log'!J46,0)</f>
        <v/>
      </c>
      <c r="C45" s="17">
        <f>SUM($B$2:B45)</f>
        <v/>
      </c>
    </row>
    <row r="46">
      <c r="A46" t="n">
        <v>45</v>
      </c>
      <c r="B46" s="17">
        <f>IFERROR('📈 Trade Log'!J47,0)</f>
        <v/>
      </c>
      <c r="C46" s="17">
        <f>SUM($B$2:B46)</f>
        <v/>
      </c>
    </row>
    <row r="47">
      <c r="A47" t="n">
        <v>46</v>
      </c>
      <c r="B47" s="17">
        <f>IFERROR('📈 Trade Log'!J48,0)</f>
        <v/>
      </c>
      <c r="C47" s="17">
        <f>SUM($B$2:B47)</f>
        <v/>
      </c>
    </row>
    <row r="48">
      <c r="A48" t="n">
        <v>47</v>
      </c>
      <c r="B48" s="17">
        <f>IFERROR('📈 Trade Log'!J49,0)</f>
        <v/>
      </c>
      <c r="C48" s="17">
        <f>SUM($B$2:B48)</f>
        <v/>
      </c>
    </row>
    <row r="49">
      <c r="A49" t="n">
        <v>48</v>
      </c>
      <c r="B49" s="17">
        <f>IFERROR('📈 Trade Log'!J50,0)</f>
        <v/>
      </c>
      <c r="C49" s="17">
        <f>SUM($B$2:B49)</f>
        <v/>
      </c>
    </row>
    <row r="50">
      <c r="A50" t="n">
        <v>49</v>
      </c>
      <c r="B50" s="17">
        <f>IFERROR('📈 Trade Log'!J51,0)</f>
        <v/>
      </c>
      <c r="C50" s="17">
        <f>SUM($B$2:B50)</f>
        <v/>
      </c>
    </row>
    <row r="51">
      <c r="A51" t="n">
        <v>50</v>
      </c>
      <c r="B51" s="17">
        <f>IFERROR('📈 Trade Log'!J52,0)</f>
        <v/>
      </c>
      <c r="C51" s="17">
        <f>SUM($B$2:B51)</f>
        <v/>
      </c>
    </row>
    <row r="52">
      <c r="A52" t="n">
        <v>51</v>
      </c>
      <c r="B52" s="17">
        <f>IFERROR('📈 Trade Log'!J53,0)</f>
        <v/>
      </c>
      <c r="C52" s="17">
        <f>SUM($B$2:B52)</f>
        <v/>
      </c>
    </row>
    <row r="53">
      <c r="A53" t="n">
        <v>52</v>
      </c>
      <c r="B53" s="17">
        <f>IFERROR('📈 Trade Log'!J54,0)</f>
        <v/>
      </c>
      <c r="C53" s="17">
        <f>SUM($B$2:B53)</f>
        <v/>
      </c>
    </row>
    <row r="54">
      <c r="A54" t="n">
        <v>53</v>
      </c>
      <c r="B54" s="17">
        <f>IFERROR('📈 Trade Log'!J55,0)</f>
        <v/>
      </c>
      <c r="C54" s="17">
        <f>SUM($B$2:B54)</f>
        <v/>
      </c>
    </row>
    <row r="55">
      <c r="A55" t="n">
        <v>54</v>
      </c>
      <c r="B55" s="17">
        <f>IFERROR('📈 Trade Log'!J56,0)</f>
        <v/>
      </c>
      <c r="C55" s="17">
        <f>SUM($B$2:B55)</f>
        <v/>
      </c>
    </row>
    <row r="56">
      <c r="A56" t="n">
        <v>55</v>
      </c>
      <c r="B56" s="17">
        <f>IFERROR('📈 Trade Log'!J57,0)</f>
        <v/>
      </c>
      <c r="C56" s="17">
        <f>SUM($B$2:B56)</f>
        <v/>
      </c>
    </row>
    <row r="57">
      <c r="A57" t="n">
        <v>56</v>
      </c>
      <c r="B57" s="17">
        <f>IFERROR('📈 Trade Log'!J58,0)</f>
        <v/>
      </c>
      <c r="C57" s="17">
        <f>SUM($B$2:B57)</f>
        <v/>
      </c>
    </row>
    <row r="58">
      <c r="A58" t="n">
        <v>57</v>
      </c>
      <c r="B58" s="17">
        <f>IFERROR('📈 Trade Log'!J59,0)</f>
        <v/>
      </c>
      <c r="C58" s="17">
        <f>SUM($B$2:B58)</f>
        <v/>
      </c>
    </row>
    <row r="59">
      <c r="A59" t="n">
        <v>58</v>
      </c>
      <c r="B59" s="17">
        <f>IFERROR('📈 Trade Log'!J60,0)</f>
        <v/>
      </c>
      <c r="C59" s="17">
        <f>SUM($B$2:B59)</f>
        <v/>
      </c>
    </row>
    <row r="60">
      <c r="A60" t="n">
        <v>59</v>
      </c>
      <c r="B60" s="17">
        <f>IFERROR('📈 Trade Log'!J61,0)</f>
        <v/>
      </c>
      <c r="C60" s="17">
        <f>SUM($B$2:B60)</f>
        <v/>
      </c>
    </row>
    <row r="61">
      <c r="A61" t="n">
        <v>60</v>
      </c>
      <c r="B61" s="17">
        <f>IFERROR('📈 Trade Log'!J62,0)</f>
        <v/>
      </c>
      <c r="C61" s="17">
        <f>SUM($B$2:B61)</f>
        <v/>
      </c>
    </row>
    <row r="62">
      <c r="A62" t="n">
        <v>61</v>
      </c>
      <c r="B62" s="17">
        <f>IFERROR('📈 Trade Log'!J63,0)</f>
        <v/>
      </c>
      <c r="C62" s="17">
        <f>SUM($B$2:B62)</f>
        <v/>
      </c>
    </row>
    <row r="63">
      <c r="A63" t="n">
        <v>62</v>
      </c>
      <c r="B63" s="17">
        <f>IFERROR('📈 Trade Log'!J64,0)</f>
        <v/>
      </c>
      <c r="C63" s="17">
        <f>SUM($B$2:B63)</f>
        <v/>
      </c>
    </row>
    <row r="64">
      <c r="A64" t="n">
        <v>63</v>
      </c>
      <c r="B64" s="17">
        <f>IFERROR('📈 Trade Log'!J65,0)</f>
        <v/>
      </c>
      <c r="C64" s="17">
        <f>SUM($B$2:B64)</f>
        <v/>
      </c>
    </row>
    <row r="65">
      <c r="A65" t="n">
        <v>64</v>
      </c>
      <c r="B65" s="17">
        <f>IFERROR('📈 Trade Log'!J66,0)</f>
        <v/>
      </c>
      <c r="C65" s="17">
        <f>SUM($B$2:B65)</f>
        <v/>
      </c>
    </row>
    <row r="66">
      <c r="A66" t="n">
        <v>65</v>
      </c>
      <c r="B66" s="17">
        <f>IFERROR('📈 Trade Log'!J67,0)</f>
        <v/>
      </c>
      <c r="C66" s="17">
        <f>SUM($B$2:B66)</f>
        <v/>
      </c>
    </row>
    <row r="67">
      <c r="A67" t="n">
        <v>66</v>
      </c>
      <c r="B67" s="17">
        <f>IFERROR('📈 Trade Log'!J68,0)</f>
        <v/>
      </c>
      <c r="C67" s="17">
        <f>SUM($B$2:B67)</f>
        <v/>
      </c>
    </row>
    <row r="68">
      <c r="A68" t="n">
        <v>67</v>
      </c>
      <c r="B68" s="17">
        <f>IFERROR('📈 Trade Log'!J69,0)</f>
        <v/>
      </c>
      <c r="C68" s="17">
        <f>SUM($B$2:B68)</f>
        <v/>
      </c>
    </row>
    <row r="69">
      <c r="A69" t="n">
        <v>68</v>
      </c>
      <c r="B69" s="17">
        <f>IFERROR('📈 Trade Log'!J70,0)</f>
        <v/>
      </c>
      <c r="C69" s="17">
        <f>SUM($B$2:B69)</f>
        <v/>
      </c>
    </row>
    <row r="70">
      <c r="A70" t="n">
        <v>69</v>
      </c>
      <c r="B70" s="17">
        <f>IFERROR('📈 Trade Log'!J71,0)</f>
        <v/>
      </c>
      <c r="C70" s="17">
        <f>SUM($B$2:B70)</f>
        <v/>
      </c>
    </row>
    <row r="71">
      <c r="A71" t="n">
        <v>70</v>
      </c>
      <c r="B71" s="17">
        <f>IFERROR('📈 Trade Log'!J72,0)</f>
        <v/>
      </c>
      <c r="C71" s="17">
        <f>SUM($B$2:B71)</f>
        <v/>
      </c>
    </row>
    <row r="72">
      <c r="A72" t="n">
        <v>71</v>
      </c>
      <c r="B72" s="17">
        <f>IFERROR('📈 Trade Log'!J73,0)</f>
        <v/>
      </c>
      <c r="C72" s="17">
        <f>SUM($B$2:B72)</f>
        <v/>
      </c>
    </row>
    <row r="73">
      <c r="A73" t="n">
        <v>72</v>
      </c>
      <c r="B73" s="17">
        <f>IFERROR('📈 Trade Log'!J74,0)</f>
        <v/>
      </c>
      <c r="C73" s="17">
        <f>SUM($B$2:B73)</f>
        <v/>
      </c>
    </row>
    <row r="74">
      <c r="A74" t="n">
        <v>73</v>
      </c>
      <c r="B74" s="17">
        <f>IFERROR('📈 Trade Log'!J75,0)</f>
        <v/>
      </c>
      <c r="C74" s="17">
        <f>SUM($B$2:B74)</f>
        <v/>
      </c>
    </row>
    <row r="75">
      <c r="A75" t="n">
        <v>74</v>
      </c>
      <c r="B75" s="17">
        <f>IFERROR('📈 Trade Log'!J76,0)</f>
        <v/>
      </c>
      <c r="C75" s="17">
        <f>SUM($B$2:B75)</f>
        <v/>
      </c>
    </row>
    <row r="76">
      <c r="A76" t="n">
        <v>75</v>
      </c>
      <c r="B76" s="17">
        <f>IFERROR('📈 Trade Log'!J77,0)</f>
        <v/>
      </c>
      <c r="C76" s="17">
        <f>SUM($B$2:B76)</f>
        <v/>
      </c>
    </row>
    <row r="77">
      <c r="A77" t="n">
        <v>76</v>
      </c>
      <c r="B77" s="17">
        <f>IFERROR('📈 Trade Log'!J78,0)</f>
        <v/>
      </c>
      <c r="C77" s="17">
        <f>SUM($B$2:B77)</f>
        <v/>
      </c>
    </row>
    <row r="78">
      <c r="A78" t="n">
        <v>77</v>
      </c>
      <c r="B78" s="17">
        <f>IFERROR('📈 Trade Log'!J79,0)</f>
        <v/>
      </c>
      <c r="C78" s="17">
        <f>SUM($B$2:B78)</f>
        <v/>
      </c>
    </row>
    <row r="79">
      <c r="A79" t="n">
        <v>78</v>
      </c>
      <c r="B79" s="17">
        <f>IFERROR('📈 Trade Log'!J80,0)</f>
        <v/>
      </c>
      <c r="C79" s="17">
        <f>SUM($B$2:B79)</f>
        <v/>
      </c>
    </row>
    <row r="80">
      <c r="A80" t="n">
        <v>79</v>
      </c>
      <c r="B80" s="17">
        <f>IFERROR('📈 Trade Log'!J81,0)</f>
        <v/>
      </c>
      <c r="C80" s="17">
        <f>SUM($B$2:B80)</f>
        <v/>
      </c>
    </row>
    <row r="81">
      <c r="A81" t="n">
        <v>80</v>
      </c>
      <c r="B81" s="17">
        <f>IFERROR('📈 Trade Log'!J82,0)</f>
        <v/>
      </c>
      <c r="C81" s="17">
        <f>SUM($B$2:B81)</f>
        <v/>
      </c>
    </row>
    <row r="82">
      <c r="A82" t="n">
        <v>81</v>
      </c>
      <c r="B82" s="17">
        <f>IFERROR('📈 Trade Log'!J83,0)</f>
        <v/>
      </c>
      <c r="C82" s="17">
        <f>SUM($B$2:B82)</f>
        <v/>
      </c>
    </row>
    <row r="83">
      <c r="A83" t="n">
        <v>82</v>
      </c>
      <c r="B83" s="17">
        <f>IFERROR('📈 Trade Log'!J84,0)</f>
        <v/>
      </c>
      <c r="C83" s="17">
        <f>SUM($B$2:B83)</f>
        <v/>
      </c>
    </row>
    <row r="84">
      <c r="A84" t="n">
        <v>83</v>
      </c>
      <c r="B84" s="17">
        <f>IFERROR('📈 Trade Log'!J85,0)</f>
        <v/>
      </c>
      <c r="C84" s="17">
        <f>SUM($B$2:B84)</f>
        <v/>
      </c>
    </row>
    <row r="85">
      <c r="A85" t="n">
        <v>84</v>
      </c>
      <c r="B85" s="17">
        <f>IFERROR('📈 Trade Log'!J86,0)</f>
        <v/>
      </c>
      <c r="C85" s="17">
        <f>SUM($B$2:B85)</f>
        <v/>
      </c>
    </row>
    <row r="86">
      <c r="A86" t="n">
        <v>85</v>
      </c>
      <c r="B86" s="17">
        <f>IFERROR('📈 Trade Log'!J87,0)</f>
        <v/>
      </c>
      <c r="C86" s="17">
        <f>SUM($B$2:B86)</f>
        <v/>
      </c>
    </row>
    <row r="87">
      <c r="A87" t="n">
        <v>86</v>
      </c>
      <c r="B87" s="17">
        <f>IFERROR('📈 Trade Log'!J88,0)</f>
        <v/>
      </c>
      <c r="C87" s="17">
        <f>SUM($B$2:B87)</f>
        <v/>
      </c>
    </row>
    <row r="88">
      <c r="A88" t="n">
        <v>87</v>
      </c>
      <c r="B88" s="17">
        <f>IFERROR('📈 Trade Log'!J89,0)</f>
        <v/>
      </c>
      <c r="C88" s="17">
        <f>SUM($B$2:B88)</f>
        <v/>
      </c>
    </row>
    <row r="89">
      <c r="A89" t="n">
        <v>88</v>
      </c>
      <c r="B89" s="17">
        <f>IFERROR('📈 Trade Log'!J90,0)</f>
        <v/>
      </c>
      <c r="C89" s="17">
        <f>SUM($B$2:B89)</f>
        <v/>
      </c>
    </row>
    <row r="90">
      <c r="A90" t="n">
        <v>89</v>
      </c>
      <c r="B90" s="17">
        <f>IFERROR('📈 Trade Log'!J91,0)</f>
        <v/>
      </c>
      <c r="C90" s="17">
        <f>SUM($B$2:B90)</f>
        <v/>
      </c>
    </row>
    <row r="91">
      <c r="A91" t="n">
        <v>90</v>
      </c>
      <c r="B91" s="17">
        <f>IFERROR('📈 Trade Log'!J92,0)</f>
        <v/>
      </c>
      <c r="C91" s="17">
        <f>SUM($B$2:B91)</f>
        <v/>
      </c>
    </row>
    <row r="92">
      <c r="A92" t="n">
        <v>91</v>
      </c>
      <c r="B92" s="17">
        <f>IFERROR('📈 Trade Log'!J93,0)</f>
        <v/>
      </c>
      <c r="C92" s="17">
        <f>SUM($B$2:B92)</f>
        <v/>
      </c>
    </row>
    <row r="93">
      <c r="A93" t="n">
        <v>92</v>
      </c>
      <c r="B93" s="17">
        <f>IFERROR('📈 Trade Log'!J94,0)</f>
        <v/>
      </c>
      <c r="C93" s="17">
        <f>SUM($B$2:B93)</f>
        <v/>
      </c>
    </row>
    <row r="94">
      <c r="A94" t="n">
        <v>93</v>
      </c>
      <c r="B94" s="17">
        <f>IFERROR('📈 Trade Log'!J95,0)</f>
        <v/>
      </c>
      <c r="C94" s="17">
        <f>SUM($B$2:B94)</f>
        <v/>
      </c>
    </row>
    <row r="95">
      <c r="A95" t="n">
        <v>94</v>
      </c>
      <c r="B95" s="17">
        <f>IFERROR('📈 Trade Log'!J96,0)</f>
        <v/>
      </c>
      <c r="C95" s="17">
        <f>SUM($B$2:B95)</f>
        <v/>
      </c>
    </row>
    <row r="96">
      <c r="A96" t="n">
        <v>95</v>
      </c>
      <c r="B96" s="17">
        <f>IFERROR('📈 Trade Log'!J97,0)</f>
        <v/>
      </c>
      <c r="C96" s="17">
        <f>SUM($B$2:B96)</f>
        <v/>
      </c>
    </row>
    <row r="97">
      <c r="A97" t="n">
        <v>96</v>
      </c>
      <c r="B97" s="17">
        <f>IFERROR('📈 Trade Log'!J98,0)</f>
        <v/>
      </c>
      <c r="C97" s="17">
        <f>SUM($B$2:B97)</f>
        <v/>
      </c>
    </row>
    <row r="98">
      <c r="A98" t="n">
        <v>97</v>
      </c>
      <c r="B98" s="17">
        <f>IFERROR('📈 Trade Log'!J99,0)</f>
        <v/>
      </c>
      <c r="C98" s="17">
        <f>SUM($B$2:B98)</f>
        <v/>
      </c>
    </row>
    <row r="99">
      <c r="A99" t="n">
        <v>98</v>
      </c>
      <c r="B99" s="17">
        <f>IFERROR('📈 Trade Log'!J100,0)</f>
        <v/>
      </c>
      <c r="C99" s="17">
        <f>SUM($B$2:B99)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2026-07-21T14:07:41Z</dcterms:created>
  <dcterms:modified xsi:type="dcterms:W3CDTF">2026-07-21T14:07:42Z</dcterms:modified>
</cp:coreProperties>
</file>