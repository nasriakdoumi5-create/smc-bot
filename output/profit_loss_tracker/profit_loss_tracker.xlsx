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come" sheetId="2" state="visible" r:id="rId2"/>
    <sheet name="Dashboard" sheetId="3" state="visible" r:id="rId3"/>
    <sheet name="Expenses" sheetId="4" state="visible" r:id="rId4"/>
    <sheet name="P&amp;L Summary" sheetId="5" state="visible" r:id="rId5"/>
    <sheet name="An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EA5E9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0EA5E9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📊  PROFIT &amp; LOSS TRACKER</t>
        </is>
      </c>
    </row>
    <row r="3"/>
    <row r="4">
      <c r="B4" s="2" t="inlineStr">
        <is>
          <t>Monthly P&amp;L Statement Google Sheets</t>
        </is>
      </c>
    </row>
    <row r="6">
      <c r="B6" s="3" t="inlineStr">
        <is>
          <t>STEP 1 — Fill in “Income”</t>
        </is>
      </c>
    </row>
    <row r="7" ht="28" customHeight="1">
      <c r="B7" s="4" t="inlineStr">
        <is>
          <t>All income entries by date, source, and amount.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All expenses by date, vendor, category, and amount.</t>
        </is>
      </c>
    </row>
    <row r="12">
      <c r="B12" s="3" t="inlineStr">
        <is>
          <t>STEP 3 — Fill in “P&amp;L Summary”</t>
        </is>
      </c>
    </row>
    <row r="13" ht="28" customHeight="1">
      <c r="B13" s="4" t="inlineStr">
        <is>
          <t>Month-by-month P&amp;L summary for the full year.</t>
        </is>
      </c>
    </row>
    <row r="15">
      <c r="B15" s="3" t="inlineStr">
        <is>
          <t>STEP 4 — Fill in “Annual”</t>
        </is>
      </c>
    </row>
    <row r="16" ht="28" customHeight="1">
      <c r="B16" s="4" t="inlineStr">
        <is>
          <t>Year-to-date P&amp;L totals and tax estimate.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20" customWidth="1" min="4" max="4"/>
    <col width="26" customWidth="1" min="5" max="5"/>
  </cols>
  <sheetData>
    <row r="1">
      <c r="A1" s="6" t="inlineStr">
        <is>
          <t>Date</t>
        </is>
      </c>
      <c r="B1" s="6" t="inlineStr">
        <is>
          <t>Source</t>
        </is>
      </c>
      <c r="C1" s="6" t="inlineStr">
        <is>
          <t>Amount $</t>
        </is>
      </c>
      <c r="D1" s="6" t="inlineStr">
        <is>
          <t>Category</t>
        </is>
      </c>
      <c r="E1" s="6" t="inlineStr">
        <is>
          <t>Notes</t>
        </is>
      </c>
    </row>
    <row r="2">
      <c r="A2" s="7" t="n">
        <v>46174</v>
      </c>
      <c r="B2" s="8" t="inlineStr">
        <is>
          <t>Client Project</t>
        </is>
      </c>
      <c r="C2" s="9" t="n">
        <v>3500</v>
      </c>
      <c r="D2" s="8" t="inlineStr">
        <is>
          <t>Products</t>
        </is>
      </c>
      <c r="E2" s="8" t="inlineStr">
        <is>
          <t>Invoice #123</t>
        </is>
      </c>
    </row>
    <row r="3">
      <c r="A3" s="10" t="n">
        <v>46180</v>
      </c>
      <c r="B3" s="11" t="inlineStr">
        <is>
          <t>Client Project</t>
        </is>
      </c>
      <c r="C3" s="12" t="n">
        <v>2450</v>
      </c>
      <c r="D3" s="11" t="inlineStr">
        <is>
          <t>Services</t>
        </is>
      </c>
      <c r="E3" s="11" t="inlineStr">
        <is>
          <t>Invoice #124</t>
        </is>
      </c>
    </row>
    <row r="4">
      <c r="A4" s="7" t="n">
        <v>46186</v>
      </c>
      <c r="B4" s="8" t="inlineStr"/>
      <c r="C4" s="9" t="n">
        <v>4550</v>
      </c>
      <c r="D4" s="8" t="inlineStr">
        <is>
          <t>Subscriptions</t>
        </is>
      </c>
      <c r="E4" s="8" t="inlineStr">
        <is>
          <t>Invoice #125</t>
        </is>
      </c>
    </row>
    <row r="5">
      <c r="A5" s="10" t="n">
        <v>46189</v>
      </c>
      <c r="B5" s="11" t="inlineStr">
        <is>
          <t>Client Project</t>
        </is>
      </c>
      <c r="C5" s="12" t="n">
        <v>2975</v>
      </c>
      <c r="D5" s="11" t="inlineStr">
        <is>
          <t>Affiliate</t>
        </is>
      </c>
      <c r="E5" s="11" t="inlineStr">
        <is>
          <t>Invoice #126</t>
        </is>
      </c>
    </row>
    <row r="6">
      <c r="A6" s="7" t="n">
        <v>46195</v>
      </c>
      <c r="B6" s="8" t="inlineStr">
        <is>
          <t>Client Project</t>
        </is>
      </c>
      <c r="C6" s="9" t="n">
        <v>4025</v>
      </c>
      <c r="D6" s="8" t="inlineStr">
        <is>
          <t>Other</t>
        </is>
      </c>
      <c r="E6" s="8" t="inlineStr">
        <is>
          <t>Invoice #127</t>
        </is>
      </c>
    </row>
    <row r="7">
      <c r="A7" s="10" t="n">
        <v>46201</v>
      </c>
      <c r="B7" s="11" t="inlineStr"/>
      <c r="C7" s="12" t="n">
        <v>2100</v>
      </c>
      <c r="D7" s="11" t="inlineStr">
        <is>
          <t>Products</t>
        </is>
      </c>
      <c r="E7" s="11" t="inlineStr">
        <is>
          <t>Invoice #128</t>
        </is>
      </c>
    </row>
    <row r="8">
      <c r="A8" s="7" t="n">
        <v>46176</v>
      </c>
      <c r="B8" s="8" t="inlineStr">
        <is>
          <t>Client Project</t>
        </is>
      </c>
      <c r="C8" s="9" t="n">
        <v>5075</v>
      </c>
      <c r="D8" s="8" t="inlineStr">
        <is>
          <t>Services</t>
        </is>
      </c>
      <c r="E8" s="8" t="inlineStr">
        <is>
          <t>Invoice #129</t>
        </is>
      </c>
    </row>
    <row r="9">
      <c r="A9" s="10" t="n">
        <v>46182</v>
      </c>
      <c r="B9" s="11" t="inlineStr">
        <is>
          <t>Client Project</t>
        </is>
      </c>
      <c r="C9" s="12" t="n">
        <v>3325</v>
      </c>
      <c r="D9" s="11" t="inlineStr">
        <is>
          <t>Subscriptions</t>
        </is>
      </c>
      <c r="E9" s="11" t="inlineStr">
        <is>
          <t>Invoice #130</t>
        </is>
      </c>
    </row>
    <row r="10">
      <c r="A10" s="7" t="n">
        <v>46188</v>
      </c>
      <c r="B10" s="8" t="inlineStr"/>
      <c r="C10" s="9" t="n">
        <v>4375</v>
      </c>
      <c r="D10" s="8" t="inlineStr">
        <is>
          <t>Affiliate</t>
        </is>
      </c>
      <c r="E10" s="8" t="inlineStr">
        <is>
          <t>Invoice #131</t>
        </is>
      </c>
    </row>
    <row r="11">
      <c r="A11" s="10" t="n">
        <v>46191</v>
      </c>
      <c r="B11" s="11" t="inlineStr">
        <is>
          <t>Client Project</t>
        </is>
      </c>
      <c r="C11" s="12" t="n">
        <v>2800</v>
      </c>
      <c r="D11" s="11" t="inlineStr">
        <is>
          <t>Other</t>
        </is>
      </c>
      <c r="E11" s="11" t="inlineStr">
        <is>
          <t>Invoice #132</t>
        </is>
      </c>
    </row>
    <row r="12">
      <c r="A12" s="7" t="n">
        <v>46197</v>
      </c>
      <c r="B12" s="8" t="inlineStr">
        <is>
          <t>Client Project</t>
        </is>
      </c>
      <c r="C12" s="9" t="n">
        <v>3850</v>
      </c>
      <c r="D12" s="8" t="inlineStr">
        <is>
          <t>Products</t>
        </is>
      </c>
      <c r="E12" s="8" t="inlineStr">
        <is>
          <t>Invoice #133</t>
        </is>
      </c>
    </row>
    <row r="13">
      <c r="A13" s="10" t="n">
        <v>46175</v>
      </c>
      <c r="B13" s="11" t="inlineStr"/>
      <c r="C13" s="12" t="n">
        <v>2625</v>
      </c>
      <c r="D13" s="11" t="inlineStr">
        <is>
          <t>Services</t>
        </is>
      </c>
      <c r="E13" s="11" t="inlineStr">
        <is>
          <t>Invoice #134</t>
        </is>
      </c>
    </row>
  </sheetData>
  <dataValidations count="1">
    <dataValidation sqref="D2:D500" showDropDown="0" showInputMessage="0" showErrorMessage="0" allowBlank="1" type="list">
      <formula1>"Products,Services,Subscriptions,Affiliate,Other"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PROFIT &amp; LOSS TRACKER — DASHBOARD</t>
        </is>
      </c>
    </row>
    <row r="4">
      <c r="B4" s="14" t="inlineStr">
        <is>
          <t>TOTAL REVENUE</t>
        </is>
      </c>
      <c r="D4" s="15" t="inlineStr">
        <is>
          <t>TOTAL EXPENSES</t>
        </is>
      </c>
      <c r="F4" s="16" t="inlineStr">
        <is>
          <t>NET PROFIT</t>
        </is>
      </c>
      <c r="H4" s="17" t="inlineStr">
        <is>
          <t>NET MARGIN %</t>
        </is>
      </c>
    </row>
    <row r="5" ht="26" customHeight="1">
      <c r="B5" s="18">
        <f>SUM(Income!C:C)</f>
        <v/>
      </c>
      <c r="D5" s="19">
        <f>SUM(Expenses!C:C)</f>
        <v/>
      </c>
      <c r="F5" s="20">
        <f>SUM(Income!C:C)-SUM(Expenses!C:C)</f>
        <v/>
      </c>
      <c r="H5" s="21">
        <f>(SUM(Income!C:C)-SUM(Expenses!C:C))/SUM(Income!C:C)</f>
        <v/>
      </c>
    </row>
    <row r="8">
      <c r="B8" s="22" t="inlineStr">
        <is>
          <t>WHAT'S INSIDE</t>
        </is>
      </c>
    </row>
    <row r="9">
      <c r="B9" s="23" t="inlineStr">
        <is>
          <t>💰  Income — All income entries by date, source, and amount.</t>
        </is>
      </c>
    </row>
    <row r="10">
      <c r="B10" s="23" t="inlineStr">
        <is>
          <t>📤  Expenses — All expenses by date, vendor, category, and amount.</t>
        </is>
      </c>
    </row>
    <row r="11">
      <c r="B11" s="23" t="inlineStr">
        <is>
          <t>📋  P&amp;L Summary — Month-by-month P&amp;L summary for the full year.</t>
        </is>
      </c>
    </row>
    <row r="12">
      <c r="B12" s="23" t="inlineStr">
        <is>
          <t>📅  Annual — Year-to-date P&amp;L totals and tax estimate.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2" customWidth="1" min="4" max="4"/>
    <col width="14" customWidth="1" min="5" max="5"/>
    <col width="26" customWidth="1" min="6" max="6"/>
  </cols>
  <sheetData>
    <row r="1">
      <c r="A1" s="6" t="inlineStr">
        <is>
          <t>Date</t>
        </is>
      </c>
      <c r="B1" s="6" t="inlineStr">
        <is>
          <t>Vendor</t>
        </is>
      </c>
      <c r="C1" s="6" t="inlineStr">
        <is>
          <t>Amount $</t>
        </is>
      </c>
      <c r="D1" s="6" t="inlineStr">
        <is>
          <t>Category</t>
        </is>
      </c>
      <c r="E1" s="6" t="inlineStr">
        <is>
          <t>Deductible</t>
        </is>
      </c>
      <c r="F1" s="6" t="inlineStr">
        <is>
          <t>Notes</t>
        </is>
      </c>
    </row>
    <row r="2">
      <c r="A2" s="7" t="n">
        <v>46174</v>
      </c>
      <c r="B2" s="8" t="inlineStr">
        <is>
          <t>BrightWave Studio</t>
        </is>
      </c>
      <c r="C2" s="9" t="n">
        <v>55</v>
      </c>
      <c r="D2" s="8" t="inlineStr">
        <is>
          <t>Software</t>
        </is>
      </c>
      <c r="E2" s="8" t="inlineStr">
        <is>
          <t>Yes</t>
        </is>
      </c>
      <c r="F2" s="8" t="inlineStr"/>
    </row>
    <row r="3">
      <c r="A3" s="10" t="n">
        <v>46180</v>
      </c>
      <c r="B3" s="11" t="inlineStr">
        <is>
          <t>GreenLeaf Co.</t>
        </is>
      </c>
      <c r="C3" s="12" t="n">
        <v>38.5</v>
      </c>
      <c r="D3" s="11" t="inlineStr">
        <is>
          <t>Marketing</t>
        </is>
      </c>
      <c r="E3" s="11" t="inlineStr">
        <is>
          <t>No</t>
        </is>
      </c>
      <c r="F3" s="11" t="inlineStr">
        <is>
          <t>Paid</t>
        </is>
      </c>
    </row>
    <row r="4">
      <c r="A4" s="7" t="n">
        <v>46186</v>
      </c>
      <c r="B4" s="8" t="inlineStr">
        <is>
          <t>Nova Digital</t>
        </is>
      </c>
      <c r="C4" s="9" t="n">
        <v>71.5</v>
      </c>
      <c r="D4" s="8" t="inlineStr">
        <is>
          <t>Office</t>
        </is>
      </c>
      <c r="E4" s="8" t="inlineStr">
        <is>
          <t>Partial</t>
        </is>
      </c>
      <c r="F4" s="8" t="inlineStr">
        <is>
          <t>Urgent</t>
        </is>
      </c>
    </row>
    <row r="5">
      <c r="A5" s="10" t="n">
        <v>46189</v>
      </c>
      <c r="B5" s="11" t="inlineStr">
        <is>
          <t>Atlas Consulting</t>
        </is>
      </c>
      <c r="C5" s="12" t="n">
        <v>46.75</v>
      </c>
      <c r="D5" s="11" t="inlineStr">
        <is>
          <t>Payroll</t>
        </is>
      </c>
      <c r="E5" s="11" t="inlineStr">
        <is>
          <t>Yes</t>
        </is>
      </c>
      <c r="F5" s="11" t="inlineStr">
        <is>
          <t>Follow up Friday</t>
        </is>
      </c>
    </row>
    <row r="6">
      <c r="A6" s="7" t="n">
        <v>46195</v>
      </c>
      <c r="B6" s="8" t="inlineStr">
        <is>
          <t>Pixel &amp; Co</t>
        </is>
      </c>
      <c r="C6" s="9" t="n">
        <v>63.25</v>
      </c>
      <c r="D6" s="8" t="inlineStr">
        <is>
          <t>Travel</t>
        </is>
      </c>
      <c r="E6" s="8" t="inlineStr">
        <is>
          <t>No</t>
        </is>
      </c>
      <c r="F6" s="8" t="inlineStr"/>
    </row>
    <row r="7">
      <c r="A7" s="10" t="n">
        <v>46201</v>
      </c>
      <c r="B7" s="11" t="inlineStr">
        <is>
          <t>Blue Harbor Ltd</t>
        </is>
      </c>
      <c r="C7" s="12" t="n">
        <v>33</v>
      </c>
      <c r="D7" s="11" t="inlineStr">
        <is>
          <t>Tax</t>
        </is>
      </c>
      <c r="E7" s="11" t="inlineStr">
        <is>
          <t>Partial</t>
        </is>
      </c>
      <c r="F7" s="11" t="inlineStr">
        <is>
          <t>Monthly</t>
        </is>
      </c>
    </row>
    <row r="8">
      <c r="A8" s="7" t="n">
        <v>46176</v>
      </c>
      <c r="B8" s="8" t="inlineStr">
        <is>
          <t>Sunrise Media</t>
        </is>
      </c>
      <c r="C8" s="9" t="n">
        <v>79.75</v>
      </c>
      <c r="D8" s="8" t="inlineStr">
        <is>
          <t>Other</t>
        </is>
      </c>
      <c r="E8" s="8" t="inlineStr">
        <is>
          <t>Yes</t>
        </is>
      </c>
      <c r="F8" s="8" t="inlineStr">
        <is>
          <t>Confirmed</t>
        </is>
      </c>
    </row>
    <row r="9">
      <c r="A9" s="10" t="n">
        <v>46182</v>
      </c>
      <c r="B9" s="11" t="inlineStr">
        <is>
          <t>UrbanCraft</t>
        </is>
      </c>
      <c r="C9" s="12" t="n">
        <v>52.25</v>
      </c>
      <c r="D9" s="11" t="inlineStr">
        <is>
          <t>Software</t>
        </is>
      </c>
      <c r="E9" s="11" t="inlineStr">
        <is>
          <t>No</t>
        </is>
      </c>
      <c r="F9" s="11" t="inlineStr"/>
    </row>
    <row r="10">
      <c r="A10" s="7" t="n">
        <v>46188</v>
      </c>
      <c r="B10" s="8" t="inlineStr">
        <is>
          <t>PrimeWorks</t>
        </is>
      </c>
      <c r="C10" s="9" t="n">
        <v>68.75</v>
      </c>
      <c r="D10" s="8" t="inlineStr">
        <is>
          <t>Marketing</t>
        </is>
      </c>
      <c r="E10" s="8" t="inlineStr">
        <is>
          <t>Partial</t>
        </is>
      </c>
      <c r="F10" s="8" t="inlineStr">
        <is>
          <t>Waiting reply</t>
        </is>
      </c>
    </row>
    <row r="11">
      <c r="A11" s="10" t="n">
        <v>46191</v>
      </c>
      <c r="B11" s="11" t="inlineStr">
        <is>
          <t>EchoLab</t>
        </is>
      </c>
      <c r="C11" s="12" t="n">
        <v>44</v>
      </c>
      <c r="D11" s="11" t="inlineStr">
        <is>
          <t>Office</t>
        </is>
      </c>
      <c r="E11" s="11" t="inlineStr">
        <is>
          <t>Yes</t>
        </is>
      </c>
      <c r="F11" s="11" t="inlineStr">
        <is>
          <t>Done early</t>
        </is>
      </c>
    </row>
    <row r="12">
      <c r="A12" s="7" t="n">
        <v>46197</v>
      </c>
      <c r="B12" s="8" t="inlineStr">
        <is>
          <t>Vertex Group</t>
        </is>
      </c>
      <c r="C12" s="9" t="n">
        <v>60.5</v>
      </c>
      <c r="D12" s="8" t="inlineStr">
        <is>
          <t>Payroll</t>
        </is>
      </c>
      <c r="E12" s="8" t="inlineStr">
        <is>
          <t>No</t>
        </is>
      </c>
      <c r="F12" s="8" t="inlineStr"/>
    </row>
    <row r="13">
      <c r="A13" s="10" t="n">
        <v>46175</v>
      </c>
      <c r="B13" s="11" t="inlineStr">
        <is>
          <t>ClearPath Inc</t>
        </is>
      </c>
      <c r="C13" s="12" t="n">
        <v>41.25</v>
      </c>
      <c r="D13" s="11" t="inlineStr">
        <is>
          <t>Travel</t>
        </is>
      </c>
      <c r="E13" s="11" t="inlineStr">
        <is>
          <t>Partial</t>
        </is>
      </c>
      <c r="F13" s="11" t="inlineStr">
        <is>
          <t>Recheck</t>
        </is>
      </c>
    </row>
  </sheetData>
  <dataValidations count="2">
    <dataValidation sqref="D2:D500" showDropDown="0" showInputMessage="0" showErrorMessage="0" allowBlank="1" type="list">
      <formula1>"Software,Marketing,Office,Payroll,Travel,Tax,Other"</formula1>
    </dataValidation>
    <dataValidation sqref="E2:E50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</cols>
  <sheetData>
    <row r="1">
      <c r="A1" s="6" t="inlineStr">
        <is>
          <t>Month</t>
        </is>
      </c>
      <c r="B1" s="6" t="inlineStr">
        <is>
          <t>Revenue</t>
        </is>
      </c>
      <c r="C1" s="6" t="inlineStr">
        <is>
          <t>COGS</t>
        </is>
      </c>
      <c r="D1" s="6" t="inlineStr">
        <is>
          <t>Gross Profit</t>
        </is>
      </c>
      <c r="E1" s="6" t="inlineStr">
        <is>
          <t>Operating Exp</t>
        </is>
      </c>
      <c r="F1" s="6" t="inlineStr">
        <is>
          <t>Net Profit</t>
        </is>
      </c>
      <c r="G1" s="6" t="inlineStr">
        <is>
          <t>Margin %</t>
        </is>
      </c>
    </row>
    <row r="2">
      <c r="A2" s="8" t="inlineStr">
        <is>
          <t>January</t>
        </is>
      </c>
      <c r="B2" s="9" t="n">
        <v>12000</v>
      </c>
      <c r="C2" s="8" t="n">
        <v>3000</v>
      </c>
      <c r="D2" s="8">
        <f>B2-C2</f>
        <v/>
      </c>
      <c r="E2" s="8" t="n">
        <v>4000</v>
      </c>
      <c r="F2" s="8">
        <f>D2-E2</f>
        <v/>
      </c>
      <c r="G2" s="8">
        <f>F2/B2</f>
        <v/>
      </c>
    </row>
    <row r="3">
      <c r="A3" s="11" t="inlineStr">
        <is>
          <t>January</t>
        </is>
      </c>
      <c r="B3" s="12" t="n">
        <v>8400</v>
      </c>
      <c r="C3" s="11" t="n">
        <v>2100</v>
      </c>
      <c r="D3" s="11">
        <f>B3-C3</f>
        <v/>
      </c>
      <c r="E3" s="11" t="n">
        <v>2800</v>
      </c>
      <c r="F3" s="11">
        <f>D3-E3</f>
        <v/>
      </c>
      <c r="G3" s="11">
        <f>F3/B3</f>
        <v/>
      </c>
    </row>
    <row r="4">
      <c r="A4" s="8" t="inlineStr"/>
      <c r="B4" s="9" t="n">
        <v>15600</v>
      </c>
      <c r="C4" s="8" t="n">
        <v>3900</v>
      </c>
      <c r="D4" s="8">
        <f>B4-C4</f>
        <v/>
      </c>
      <c r="E4" s="8" t="n">
        <v>5200</v>
      </c>
      <c r="F4" s="8">
        <f>D4-E4</f>
        <v/>
      </c>
      <c r="G4" s="8">
        <f>F4/B4</f>
        <v/>
      </c>
    </row>
    <row r="5">
      <c r="A5" s="11" t="inlineStr">
        <is>
          <t>January</t>
        </is>
      </c>
      <c r="B5" s="12" t="n">
        <v>10200</v>
      </c>
      <c r="C5" s="11" t="n">
        <v>2550</v>
      </c>
      <c r="D5" s="11">
        <f>B5-C5</f>
        <v/>
      </c>
      <c r="E5" s="11" t="n">
        <v>3400</v>
      </c>
      <c r="F5" s="11">
        <f>D5-E5</f>
        <v/>
      </c>
      <c r="G5" s="11">
        <f>F5/B5</f>
        <v/>
      </c>
    </row>
    <row r="6">
      <c r="A6" s="8" t="inlineStr">
        <is>
          <t>January</t>
        </is>
      </c>
      <c r="B6" s="9" t="n">
        <v>13800</v>
      </c>
      <c r="C6" s="8" t="n">
        <v>3450</v>
      </c>
      <c r="D6" s="8">
        <f>B6-C6</f>
        <v/>
      </c>
      <c r="E6" s="8" t="n">
        <v>4600</v>
      </c>
      <c r="F6" s="8">
        <f>D6-E6</f>
        <v/>
      </c>
      <c r="G6" s="8">
        <f>F6/B6</f>
        <v/>
      </c>
    </row>
    <row r="7">
      <c r="A7" s="11" t="inlineStr"/>
      <c r="B7" s="12" t="n">
        <v>7200</v>
      </c>
      <c r="C7" s="11" t="n">
        <v>1800</v>
      </c>
      <c r="D7" s="11">
        <f>B7-C7</f>
        <v/>
      </c>
      <c r="E7" s="11" t="n">
        <v>2400</v>
      </c>
      <c r="F7" s="11">
        <f>D7-E7</f>
        <v/>
      </c>
      <c r="G7" s="11">
        <f>F7/B7</f>
        <v/>
      </c>
    </row>
    <row r="8">
      <c r="A8" s="8" t="inlineStr">
        <is>
          <t>January</t>
        </is>
      </c>
      <c r="B8" s="9" t="n">
        <v>17400</v>
      </c>
      <c r="C8" s="8" t="n">
        <v>4350</v>
      </c>
      <c r="D8" s="8">
        <f>B8-C8</f>
        <v/>
      </c>
      <c r="E8" s="8" t="n">
        <v>5800</v>
      </c>
      <c r="F8" s="8">
        <f>D8-E8</f>
        <v/>
      </c>
      <c r="G8" s="8">
        <f>F8/B8</f>
        <v/>
      </c>
    </row>
    <row r="9">
      <c r="A9" s="11" t="inlineStr">
        <is>
          <t>January</t>
        </is>
      </c>
      <c r="B9" s="12" t="n">
        <v>11400</v>
      </c>
      <c r="C9" s="11" t="n">
        <v>2850</v>
      </c>
      <c r="D9" s="11">
        <f>B9-C9</f>
        <v/>
      </c>
      <c r="E9" s="11" t="n">
        <v>3800</v>
      </c>
      <c r="F9" s="11">
        <f>D9-E9</f>
        <v/>
      </c>
      <c r="G9" s="11">
        <f>F9/B9</f>
        <v/>
      </c>
    </row>
    <row r="10">
      <c r="A10" s="8" t="inlineStr"/>
      <c r="B10" s="9" t="n">
        <v>15000</v>
      </c>
      <c r="C10" s="8" t="n">
        <v>3750</v>
      </c>
      <c r="D10" s="8">
        <f>B10-C10</f>
        <v/>
      </c>
      <c r="E10" s="8" t="n">
        <v>5000</v>
      </c>
      <c r="F10" s="8">
        <f>D10-E10</f>
        <v/>
      </c>
      <c r="G10" s="8">
        <f>F10/B10</f>
        <v/>
      </c>
    </row>
    <row r="11">
      <c r="A11" s="11" t="inlineStr">
        <is>
          <t>January</t>
        </is>
      </c>
      <c r="B11" s="12" t="n">
        <v>9600</v>
      </c>
      <c r="C11" s="11" t="n">
        <v>2400</v>
      </c>
      <c r="D11" s="11">
        <f>B11-C11</f>
        <v/>
      </c>
      <c r="E11" s="11" t="n">
        <v>3200</v>
      </c>
      <c r="F11" s="11">
        <f>D11-E11</f>
        <v/>
      </c>
      <c r="G11" s="11">
        <f>F11/B11</f>
        <v/>
      </c>
    </row>
    <row r="12">
      <c r="A12" s="8" t="inlineStr">
        <is>
          <t>January</t>
        </is>
      </c>
      <c r="B12" s="9" t="n">
        <v>13200</v>
      </c>
      <c r="C12" s="8" t="n">
        <v>3300</v>
      </c>
      <c r="D12" s="8">
        <f>B12-C12</f>
        <v/>
      </c>
      <c r="E12" s="8" t="n">
        <v>4400</v>
      </c>
      <c r="F12" s="8">
        <f>D12-E12</f>
        <v/>
      </c>
      <c r="G12" s="8">
        <f>F12/B12</f>
        <v/>
      </c>
    </row>
    <row r="13">
      <c r="A13" s="11" t="inlineStr"/>
      <c r="B13" s="12" t="n">
        <v>9000</v>
      </c>
      <c r="C13" s="11" t="n">
        <v>2250</v>
      </c>
      <c r="D13" s="11">
        <f>B13-C13</f>
        <v/>
      </c>
      <c r="E13" s="11" t="n">
        <v>3000</v>
      </c>
      <c r="F13" s="11">
        <f>D13-E13</f>
        <v/>
      </c>
      <c r="G13" s="11">
        <f>F13/B13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Quarter</t>
        </is>
      </c>
      <c r="B1" s="6" t="inlineStr">
        <is>
          <t>Revenue $</t>
        </is>
      </c>
      <c r="C1" s="6" t="inlineStr">
        <is>
          <t>Expenses $</t>
        </is>
      </c>
      <c r="D1" s="6" t="inlineStr">
        <is>
          <t>Net Profit $</t>
        </is>
      </c>
      <c r="E1" s="6" t="inlineStr">
        <is>
          <t>Tax Est (25%)</t>
        </is>
      </c>
      <c r="F1" s="6" t="inlineStr">
        <is>
          <t>After-Tax $</t>
        </is>
      </c>
    </row>
    <row r="2">
      <c r="A2" s="8" t="inlineStr">
        <is>
          <t>Q1</t>
        </is>
      </c>
      <c r="B2" s="9" t="n">
        <v>42000</v>
      </c>
      <c r="C2" s="9" t="n">
        <v>28000</v>
      </c>
      <c r="D2" s="8">
        <f>B2-C2</f>
        <v/>
      </c>
      <c r="E2" s="8">
        <f>D2*0.25</f>
        <v/>
      </c>
      <c r="F2" s="8">
        <f>D2-E2</f>
        <v/>
      </c>
    </row>
    <row r="3">
      <c r="A3" s="11" t="inlineStr">
        <is>
          <t>Q2</t>
        </is>
      </c>
      <c r="B3" s="12" t="n">
        <v>29400</v>
      </c>
      <c r="C3" s="12" t="n">
        <v>19600</v>
      </c>
      <c r="D3" s="11">
        <f>B3-C3</f>
        <v/>
      </c>
      <c r="E3" s="11">
        <f>D3*0.25</f>
        <v/>
      </c>
      <c r="F3" s="11">
        <f>D3-E3</f>
        <v/>
      </c>
    </row>
    <row r="4">
      <c r="A4" s="8" t="inlineStr">
        <is>
          <t>Q3</t>
        </is>
      </c>
      <c r="B4" s="9" t="n">
        <v>54600</v>
      </c>
      <c r="C4" s="9" t="n">
        <v>36400</v>
      </c>
      <c r="D4" s="8">
        <f>B4-C4</f>
        <v/>
      </c>
      <c r="E4" s="8">
        <f>D4*0.25</f>
        <v/>
      </c>
      <c r="F4" s="8">
        <f>D4-E4</f>
        <v/>
      </c>
    </row>
    <row r="5">
      <c r="A5" s="11" t="inlineStr">
        <is>
          <t>Q4</t>
        </is>
      </c>
      <c r="B5" s="12" t="n">
        <v>35700</v>
      </c>
      <c r="C5" s="12" t="n">
        <v>23800</v>
      </c>
      <c r="D5" s="11">
        <f>B5-C5</f>
        <v/>
      </c>
      <c r="E5" s="11">
        <f>D5*0.25</f>
        <v/>
      </c>
      <c r="F5" s="11">
        <f>D5-E5</f>
        <v/>
      </c>
    </row>
    <row r="6">
      <c r="A6" s="8" t="inlineStr">
        <is>
          <t>Q5</t>
        </is>
      </c>
      <c r="B6" s="9" t="n">
        <v>48300</v>
      </c>
      <c r="C6" s="9" t="n">
        <v>32200</v>
      </c>
      <c r="D6" s="8">
        <f>B6-C6</f>
        <v/>
      </c>
      <c r="E6" s="8">
        <f>D6*0.25</f>
        <v/>
      </c>
      <c r="F6" s="8">
        <f>D6-E6</f>
        <v/>
      </c>
    </row>
    <row r="7">
      <c r="A7" s="11" t="inlineStr">
        <is>
          <t>Q6</t>
        </is>
      </c>
      <c r="B7" s="12" t="n">
        <v>25200</v>
      </c>
      <c r="C7" s="12" t="n">
        <v>16800</v>
      </c>
      <c r="D7" s="11">
        <f>B7-C7</f>
        <v/>
      </c>
      <c r="E7" s="11">
        <f>D7*0.25</f>
        <v/>
      </c>
      <c r="F7" s="11">
        <f>D7-E7</f>
        <v/>
      </c>
    </row>
    <row r="8">
      <c r="A8" s="8" t="inlineStr">
        <is>
          <t>Q7</t>
        </is>
      </c>
      <c r="B8" s="9" t="n">
        <v>60900</v>
      </c>
      <c r="C8" s="9" t="n">
        <v>40600</v>
      </c>
      <c r="D8" s="8">
        <f>B8-C8</f>
        <v/>
      </c>
      <c r="E8" s="8">
        <f>D8*0.25</f>
        <v/>
      </c>
      <c r="F8" s="8">
        <f>D8-E8</f>
        <v/>
      </c>
    </row>
    <row r="9">
      <c r="A9" s="11" t="inlineStr">
        <is>
          <t>Q8</t>
        </is>
      </c>
      <c r="B9" s="12" t="n">
        <v>39900</v>
      </c>
      <c r="C9" s="12" t="n">
        <v>26600</v>
      </c>
      <c r="D9" s="11">
        <f>B9-C9</f>
        <v/>
      </c>
      <c r="E9" s="11">
        <f>D9*0.25</f>
        <v/>
      </c>
      <c r="F9" s="11">
        <f>D9-E9</f>
        <v/>
      </c>
    </row>
    <row r="10">
      <c r="A10" s="8" t="inlineStr">
        <is>
          <t>Q9</t>
        </is>
      </c>
      <c r="B10" s="9" t="n">
        <v>52500</v>
      </c>
      <c r="C10" s="9" t="n">
        <v>35000</v>
      </c>
      <c r="D10" s="8">
        <f>B10-C10</f>
        <v/>
      </c>
      <c r="E10" s="8">
        <f>D10*0.25</f>
        <v/>
      </c>
      <c r="F10" s="8">
        <f>D10-E10</f>
        <v/>
      </c>
    </row>
    <row r="11">
      <c r="A11" s="11" t="inlineStr">
        <is>
          <t>Q10</t>
        </is>
      </c>
      <c r="B11" s="12" t="n">
        <v>33600</v>
      </c>
      <c r="C11" s="12" t="n">
        <v>22400</v>
      </c>
      <c r="D11" s="11">
        <f>B11-C11</f>
        <v/>
      </c>
      <c r="E11" s="11">
        <f>D11*0.25</f>
        <v/>
      </c>
      <c r="F11" s="11">
        <f>D11-E11</f>
        <v/>
      </c>
    </row>
    <row r="12">
      <c r="A12" s="8" t="inlineStr">
        <is>
          <t>Q11</t>
        </is>
      </c>
      <c r="B12" s="9" t="n">
        <v>46200</v>
      </c>
      <c r="C12" s="9" t="n">
        <v>30800</v>
      </c>
      <c r="D12" s="8">
        <f>B12-C12</f>
        <v/>
      </c>
      <c r="E12" s="8">
        <f>D12*0.25</f>
        <v/>
      </c>
      <c r="F12" s="8">
        <f>D12-E12</f>
        <v/>
      </c>
    </row>
    <row r="13">
      <c r="A13" s="11" t="inlineStr">
        <is>
          <t>Q12</t>
        </is>
      </c>
      <c r="B13" s="12" t="n">
        <v>31500</v>
      </c>
      <c r="C13" s="12" t="n">
        <v>21000</v>
      </c>
      <c r="D13" s="11">
        <f>B13-C13</f>
        <v/>
      </c>
      <c r="E13" s="11">
        <f>D13*0.25</f>
        <v/>
      </c>
      <c r="F13" s="11">
        <f>D13-E13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