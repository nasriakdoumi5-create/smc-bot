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Applications" sheetId="2" state="visible" r:id="rId2"/>
    <sheet name="Dashboard" sheetId="3" state="visible" r:id="rId3"/>
    <sheet name="Essay Tracker" sheetId="4" state="visible" r:id="rId4"/>
    <sheet name="Opportunities" sheetId="5" state="visible" r:id="rId5"/>
    <sheet name="Won Awar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€&quot;#,##0.00"/>
    <numFmt numFmtId="165" formatCode="yyyy-mm-dd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14"/>
    </font>
    <font>
      <name val="Arial"/>
      <b val="1"/>
      <color rgb="007C3AED"/>
      <sz val="12"/>
    </font>
    <font>
      <name val="Arial"/>
      <b val="1"/>
      <color rgb="00222222"/>
      <sz val="11"/>
    </font>
    <font>
      <name val="Arial"/>
      <b val="1"/>
      <color rgb="00FFFFFF"/>
      <sz val="15"/>
    </font>
    <font>
      <name val="Arial"/>
      <b val="1"/>
      <color rgb="00FFFFFF"/>
      <sz val="16"/>
    </font>
    <font>
      <name val="Arial"/>
      <b val="1"/>
      <color rgb="002E1065"/>
      <sz val="12"/>
    </font>
    <font>
      <name val="Arial"/>
      <color rgb="00444444"/>
      <sz val="10"/>
    </font>
    <font>
      <name val="Arial"/>
      <i val="1"/>
      <color rgb="00777777"/>
      <sz val="10"/>
    </font>
    <font>
      <name val="Arial"/>
      <b val="1"/>
      <color rgb="00FFFFFF"/>
      <sz val="20"/>
    </font>
    <font>
      <name val="Arial"/>
      <color rgb="00DDDDDD"/>
      <sz val="11"/>
    </font>
    <font>
      <name val="Arial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2E1065"/>
      </patternFill>
    </fill>
    <fill>
      <patternFill patternType="solid">
        <fgColor rgb="00FFF7F0"/>
      </patternFill>
    </fill>
    <fill>
      <patternFill patternType="solid">
        <fgColor rgb="007C3AED"/>
      </patternFill>
    </fill>
    <fill>
      <patternFill patternType="solid">
        <fgColor rgb="00059669"/>
      </patternFill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13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  <xf numFmtId="165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6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164" fontId="5" fillId="0" borderId="1" pivotButton="0" quotePrefix="0" xfId="0"/>
    <xf numFmtId="164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🎓  SCHOLARSHIP APPLICATION TRACKER</t>
        </is>
      </c>
    </row>
    <row r="3"/>
    <row r="4">
      <c r="B4" s="2" t="inlineStr">
        <is>
          <t>College Scholarship Finder &amp; Application Google Sheets</t>
        </is>
      </c>
    </row>
    <row r="6">
      <c r="B6" s="3" t="inlineStr">
        <is>
          <t>STEP 1 — Fill in “Applications”</t>
        </is>
      </c>
    </row>
    <row r="7" ht="28" customHeight="1">
      <c r="B7" s="4" t="inlineStr">
        <is>
          <t>All scholarship applications with deadline and status.</t>
        </is>
      </c>
    </row>
    <row r="9">
      <c r="B9" s="3" t="inlineStr">
        <is>
          <t>STEP 2 — Fill in “Essay Tracker”</t>
        </is>
      </c>
    </row>
    <row r="10" ht="28" customHeight="1">
      <c r="B10" s="4" t="inlineStr">
        <is>
          <t>Essay prompts and completion status per scholarship.</t>
        </is>
      </c>
    </row>
    <row r="12">
      <c r="B12" s="3" t="inlineStr">
        <is>
          <t>STEP 3 — Fill in “Opportunities”</t>
        </is>
      </c>
    </row>
    <row r="13" ht="28" customHeight="1">
      <c r="B13" s="4" t="inlineStr">
        <is>
          <t>Scholarships you want to apply for — build your pipeline.</t>
        </is>
      </c>
    </row>
    <row r="15">
      <c r="B15" s="3" t="inlineStr">
        <is>
          <t>Then open the Dashboard — everything calculates automatically.</t>
        </is>
      </c>
    </row>
    <row r="17">
      <c r="B17" s="5" t="inlineStr">
        <is>
          <t>TIP: Delete the sample rows once you've seen how it works.</t>
        </is>
      </c>
    </row>
    <row r="19">
      <c r="B19" s="5" t="inlineStr">
        <is>
          <t>TIP: On Google Sheets? File → Make a copy first, then edit your copy.</t>
        </is>
      </c>
    </row>
    <row r="21">
      <c r="B21" s="5" t="inlineStr">
        <is>
          <t>TIP: Columns with dropdowns keep your data clean — use them.</t>
        </is>
      </c>
    </row>
    <row r="23">
      <c r="B23" s="5" t="inlineStr">
        <is>
          <t>Need help? Message NasriTools on Etsy — I reply fast. 🧡</t>
        </is>
      </c>
    </row>
  </sheetData>
  <mergeCells count="13">
    <mergeCell ref="B4:F4"/>
    <mergeCell ref="B21:F21"/>
    <mergeCell ref="B12:F12"/>
    <mergeCell ref="B7:F7"/>
    <mergeCell ref="B6:F6"/>
    <mergeCell ref="B15:F15"/>
    <mergeCell ref="B2:F3"/>
    <mergeCell ref="B10:F10"/>
    <mergeCell ref="B19:F19"/>
    <mergeCell ref="B23:F23"/>
    <mergeCell ref="B17:F17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14" customWidth="1" min="3" max="3"/>
    <col width="14" customWidth="1" min="4" max="4"/>
    <col width="14" customWidth="1" min="5" max="5"/>
    <col width="18" customWidth="1" min="6" max="6"/>
    <col width="16" customWidth="1" min="7" max="7"/>
  </cols>
  <sheetData>
    <row r="1">
      <c r="A1" s="6" t="inlineStr">
        <is>
          <t>Scholarship Name</t>
        </is>
      </c>
      <c r="B1" s="6" t="inlineStr">
        <is>
          <t>Organization</t>
        </is>
      </c>
      <c r="C1" s="6" t="inlineStr">
        <is>
          <t>Amount $</t>
        </is>
      </c>
      <c r="D1" s="6" t="inlineStr">
        <is>
          <t>Deadline</t>
        </is>
      </c>
      <c r="E1" s="6" t="inlineStr">
        <is>
          <t>Applied Date</t>
        </is>
      </c>
      <c r="F1" s="6" t="inlineStr">
        <is>
          <t>Status</t>
        </is>
      </c>
      <c r="G1" s="6" t="inlineStr">
        <is>
          <t>GPA Required</t>
        </is>
      </c>
    </row>
    <row r="2">
      <c r="A2" s="7" t="inlineStr">
        <is>
          <t>Alex Martin</t>
        </is>
      </c>
      <c r="B2" s="7" t="inlineStr">
        <is>
          <t>Gates Foundation</t>
        </is>
      </c>
      <c r="C2" s="8" t="n">
        <v>5000</v>
      </c>
      <c r="D2" s="9" t="n">
        <v>46174</v>
      </c>
      <c r="E2" s="9" t="n">
        <v>46174</v>
      </c>
      <c r="F2" s="7" t="inlineStr">
        <is>
          <t>Researching</t>
        </is>
      </c>
      <c r="G2" s="7" t="n">
        <v>3.5</v>
      </c>
    </row>
    <row r="3">
      <c r="A3" s="10" t="inlineStr">
        <is>
          <t>Sara Lopez</t>
        </is>
      </c>
      <c r="B3" s="10" t="inlineStr">
        <is>
          <t>Gates Foundation</t>
        </is>
      </c>
      <c r="C3" s="11" t="n">
        <v>3500</v>
      </c>
      <c r="D3" s="12" t="n">
        <v>46180</v>
      </c>
      <c r="E3" s="12" t="n">
        <v>46180</v>
      </c>
      <c r="F3" s="10" t="inlineStr">
        <is>
          <t>In Progress</t>
        </is>
      </c>
      <c r="G3" s="10" t="n">
        <v>2.45</v>
      </c>
    </row>
    <row r="4">
      <c r="A4" s="7" t="inlineStr">
        <is>
          <t>Omar Haddad</t>
        </is>
      </c>
      <c r="B4" s="7" t="inlineStr"/>
      <c r="C4" s="8" t="n">
        <v>6500</v>
      </c>
      <c r="D4" s="9" t="n">
        <v>46186</v>
      </c>
      <c r="E4" s="9" t="n">
        <v>46186</v>
      </c>
      <c r="F4" s="7" t="inlineStr">
        <is>
          <t>Submitted</t>
        </is>
      </c>
      <c r="G4" s="7" t="n">
        <v>4.55</v>
      </c>
    </row>
    <row r="5">
      <c r="A5" s="10" t="inlineStr">
        <is>
          <t>Emma Fischer</t>
        </is>
      </c>
      <c r="B5" s="10" t="inlineStr">
        <is>
          <t>Gates Foundation</t>
        </is>
      </c>
      <c r="C5" s="11" t="n">
        <v>4250</v>
      </c>
      <c r="D5" s="12" t="n">
        <v>46189</v>
      </c>
      <c r="E5" s="12" t="n">
        <v>46189</v>
      </c>
      <c r="F5" s="10" t="inlineStr">
        <is>
          <t>Pending</t>
        </is>
      </c>
      <c r="G5" s="10" t="n">
        <v>2.98</v>
      </c>
    </row>
    <row r="6">
      <c r="A6" s="7" t="inlineStr">
        <is>
          <t>Liam Carter</t>
        </is>
      </c>
      <c r="B6" s="7" t="inlineStr">
        <is>
          <t>Gates Foundation</t>
        </is>
      </c>
      <c r="C6" s="8" t="n">
        <v>5750</v>
      </c>
      <c r="D6" s="9" t="n">
        <v>46195</v>
      </c>
      <c r="E6" s="9" t="n">
        <v>46195</v>
      </c>
      <c r="F6" s="7" t="inlineStr">
        <is>
          <t>Won</t>
        </is>
      </c>
      <c r="G6" s="7" t="n">
        <v>4.02</v>
      </c>
    </row>
    <row r="7">
      <c r="A7" s="10" t="inlineStr">
        <is>
          <t>Nadia Rahali</t>
        </is>
      </c>
      <c r="B7" s="10" t="inlineStr"/>
      <c r="C7" s="11" t="n">
        <v>3000</v>
      </c>
      <c r="D7" s="12" t="n">
        <v>46201</v>
      </c>
      <c r="E7" s="12" t="n">
        <v>46201</v>
      </c>
      <c r="F7" s="10" t="inlineStr">
        <is>
          <t>Declined</t>
        </is>
      </c>
      <c r="G7" s="10" t="n">
        <v>2.1</v>
      </c>
    </row>
    <row r="8">
      <c r="A8" s="7" t="inlineStr">
        <is>
          <t>Tom Becker</t>
        </is>
      </c>
      <c r="B8" s="7" t="inlineStr">
        <is>
          <t>Gates Foundation</t>
        </is>
      </c>
      <c r="C8" s="8" t="n">
        <v>7250</v>
      </c>
      <c r="D8" s="9" t="n">
        <v>46176</v>
      </c>
      <c r="E8" s="9" t="n">
        <v>46176</v>
      </c>
      <c r="F8" s="7" t="inlineStr">
        <is>
          <t>Expired</t>
        </is>
      </c>
      <c r="G8" s="7" t="n">
        <v>5.08</v>
      </c>
    </row>
    <row r="9">
      <c r="A9" s="10" t="inlineStr">
        <is>
          <t>Julia Romero</t>
        </is>
      </c>
      <c r="B9" s="10" t="inlineStr">
        <is>
          <t>Gates Foundation</t>
        </is>
      </c>
      <c r="C9" s="11" t="n">
        <v>4750</v>
      </c>
      <c r="D9" s="12" t="n">
        <v>46182</v>
      </c>
      <c r="E9" s="12" t="n">
        <v>46182</v>
      </c>
      <c r="F9" s="10" t="inlineStr">
        <is>
          <t>Researching</t>
        </is>
      </c>
      <c r="G9" s="10" t="n">
        <v>3.32</v>
      </c>
    </row>
    <row r="10">
      <c r="A10" s="7" t="inlineStr">
        <is>
          <t>Karim Ziani</t>
        </is>
      </c>
      <c r="B10" s="7" t="inlineStr"/>
      <c r="C10" s="8" t="n">
        <v>6250</v>
      </c>
      <c r="D10" s="9" t="n">
        <v>46188</v>
      </c>
      <c r="E10" s="9" t="n">
        <v>46188</v>
      </c>
      <c r="F10" s="7" t="inlineStr">
        <is>
          <t>In Progress</t>
        </is>
      </c>
      <c r="G10" s="7" t="n">
        <v>4.38</v>
      </c>
    </row>
    <row r="11">
      <c r="A11" s="10" t="inlineStr">
        <is>
          <t>Anna Kowalska</t>
        </is>
      </c>
      <c r="B11" s="10" t="inlineStr">
        <is>
          <t>Gates Foundation</t>
        </is>
      </c>
      <c r="C11" s="11" t="n">
        <v>4000</v>
      </c>
      <c r="D11" s="12" t="n">
        <v>46191</v>
      </c>
      <c r="E11" s="12" t="n">
        <v>46191</v>
      </c>
      <c r="F11" s="10" t="inlineStr">
        <is>
          <t>Submitted</t>
        </is>
      </c>
      <c r="G11" s="10" t="n">
        <v>2.8</v>
      </c>
    </row>
    <row r="12">
      <c r="A12" s="7" t="inlineStr">
        <is>
          <t>David Chen</t>
        </is>
      </c>
      <c r="B12" s="7" t="inlineStr">
        <is>
          <t>Gates Foundation</t>
        </is>
      </c>
      <c r="C12" s="8" t="n">
        <v>5500</v>
      </c>
      <c r="D12" s="9" t="n">
        <v>46197</v>
      </c>
      <c r="E12" s="9" t="n">
        <v>46197</v>
      </c>
      <c r="F12" s="7" t="inlineStr">
        <is>
          <t>Pending</t>
        </is>
      </c>
      <c r="G12" s="7" t="n">
        <v>3.85</v>
      </c>
    </row>
    <row r="13">
      <c r="A13" s="10" t="inlineStr">
        <is>
          <t>Lea Moreau</t>
        </is>
      </c>
      <c r="B13" s="10" t="inlineStr"/>
      <c r="C13" s="11" t="n">
        <v>3750</v>
      </c>
      <c r="D13" s="12" t="n">
        <v>46175</v>
      </c>
      <c r="E13" s="12" t="n">
        <v>46175</v>
      </c>
      <c r="F13" s="10" t="inlineStr">
        <is>
          <t>Won</t>
        </is>
      </c>
      <c r="G13" s="10" t="n">
        <v>2.62</v>
      </c>
    </row>
  </sheetData>
  <dataValidations count="1">
    <dataValidation sqref="F2:F500" showDropDown="0" showInputMessage="0" showErrorMessage="0" allowBlank="1" type="list">
      <formula1>"Researching,In Progress,Submitted,Pending,Won,Declined,Expired"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28" customHeight="1">
      <c r="B2" s="13" t="inlineStr">
        <is>
          <t>📊  SCHOLARSHIP APPLICATION TRACKER — DASHBOARD</t>
        </is>
      </c>
    </row>
    <row r="4">
      <c r="B4" s="14" t="inlineStr">
        <is>
          <t>TOTAL APPLIED</t>
        </is>
      </c>
      <c r="D4" s="15" t="inlineStr">
        <is>
          <t>PENDING</t>
        </is>
      </c>
      <c r="F4" s="16" t="inlineStr">
        <is>
          <t>AWARDS WON</t>
        </is>
      </c>
      <c r="H4" s="17" t="inlineStr">
        <is>
          <t>TOTAL WON $</t>
        </is>
      </c>
    </row>
    <row r="5" ht="26" customHeight="1">
      <c r="B5" s="18">
        <f>COUNTA(Applications!A:A)-1</f>
        <v/>
      </c>
      <c r="D5" s="19">
        <f>COUNTIF(Applications!F:F,"Pending")</f>
        <v/>
      </c>
      <c r="F5" s="20">
        <f>COUNTIF(Applications!F:F,"Won")</f>
        <v/>
      </c>
      <c r="H5" s="21">
        <f>SUMIF(Applications!F:F,"Won",Applications!C:C)</f>
        <v/>
      </c>
    </row>
    <row r="8">
      <c r="B8" s="22" t="inlineStr">
        <is>
          <t>WHAT'S INSIDE</t>
        </is>
      </c>
    </row>
    <row r="9">
      <c r="B9" s="23" t="inlineStr">
        <is>
          <t>📋  Applications — All scholarship applications with deadline and status.</t>
        </is>
      </c>
    </row>
    <row r="10">
      <c r="B10" s="23" t="inlineStr">
        <is>
          <t>✍️  Essay Tracker — Essay prompts and completion status per scholarship.</t>
        </is>
      </c>
    </row>
    <row r="11">
      <c r="B11" s="23" t="inlineStr">
        <is>
          <t>💡  Opportunities — Scholarships you want to apply for — build your pipeline.</t>
        </is>
      </c>
    </row>
    <row r="12">
      <c r="B12" s="23" t="inlineStr">
        <is>
          <t>🏆  Won Awards — All scholarships won with disbursement info.</t>
        </is>
      </c>
    </row>
    <row r="14">
      <c r="B14" s="5" t="inlineStr">
        <is>
          <t>Numbers update automatically as you fill the other tabs. Start with sample data deleted.</t>
        </is>
      </c>
    </row>
  </sheetData>
  <mergeCells count="14">
    <mergeCell ref="B9:I9"/>
    <mergeCell ref="F4:G4"/>
    <mergeCell ref="B12:I12"/>
    <mergeCell ref="B11:I11"/>
    <mergeCell ref="B5:C5"/>
    <mergeCell ref="B2:I2"/>
    <mergeCell ref="F5:G5"/>
    <mergeCell ref="D5:E5"/>
    <mergeCell ref="B10:I10"/>
    <mergeCell ref="H5:I5"/>
    <mergeCell ref="D4:E4"/>
    <mergeCell ref="B14:I14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4" customWidth="1" min="3" max="3"/>
    <col width="18" customWidth="1" min="4" max="4"/>
    <col width="28" customWidth="1" min="5" max="5"/>
  </cols>
  <sheetData>
    <row r="1">
      <c r="A1" s="6" t="inlineStr">
        <is>
          <t>Scholarship</t>
        </is>
      </c>
      <c r="B1" s="6" t="inlineStr">
        <is>
          <t>Essay Prompt</t>
        </is>
      </c>
      <c r="C1" s="6" t="inlineStr">
        <is>
          <t>Word Limit</t>
        </is>
      </c>
      <c r="D1" s="6" t="inlineStr">
        <is>
          <t>Status</t>
        </is>
      </c>
      <c r="E1" s="6" t="inlineStr">
        <is>
          <t>Notes</t>
        </is>
      </c>
    </row>
    <row r="2">
      <c r="A2" s="7" t="inlineStr">
        <is>
          <t>Gates Millennium Scholars</t>
        </is>
      </c>
      <c r="B2" s="7" t="inlineStr">
        <is>
          <t>Describe a challenge you overcame...</t>
        </is>
      </c>
      <c r="C2" s="7" t="n">
        <v>500</v>
      </c>
      <c r="D2" s="7" t="inlineStr">
        <is>
          <t>Not Started</t>
        </is>
      </c>
      <c r="E2" s="7" t="inlineStr"/>
    </row>
    <row r="3">
      <c r="A3" s="10" t="inlineStr">
        <is>
          <t>Gates Millennium Scholars</t>
        </is>
      </c>
      <c r="B3" s="10" t="inlineStr">
        <is>
          <t>Describe a challenge you overcame...</t>
        </is>
      </c>
      <c r="C3" s="10" t="n">
        <v>350</v>
      </c>
      <c r="D3" s="10" t="inlineStr">
        <is>
          <t>Drafting</t>
        </is>
      </c>
      <c r="E3" s="10" t="inlineStr">
        <is>
          <t>Paid</t>
        </is>
      </c>
    </row>
    <row r="4">
      <c r="A4" s="7" t="inlineStr"/>
      <c r="B4" s="7" t="inlineStr"/>
      <c r="C4" s="7" t="n">
        <v>650</v>
      </c>
      <c r="D4" s="7" t="inlineStr">
        <is>
          <t>Review</t>
        </is>
      </c>
      <c r="E4" s="7" t="inlineStr">
        <is>
          <t>Urgent</t>
        </is>
      </c>
    </row>
    <row r="5">
      <c r="A5" s="10" t="inlineStr">
        <is>
          <t>Gates Millennium Scholars</t>
        </is>
      </c>
      <c r="B5" s="10" t="inlineStr">
        <is>
          <t>Describe a challenge you overcame...</t>
        </is>
      </c>
      <c r="C5" s="10" t="n">
        <v>425</v>
      </c>
      <c r="D5" s="10" t="inlineStr">
        <is>
          <t>Final</t>
        </is>
      </c>
      <c r="E5" s="10" t="inlineStr">
        <is>
          <t>Follow up Friday</t>
        </is>
      </c>
    </row>
    <row r="6">
      <c r="A6" s="7" t="inlineStr">
        <is>
          <t>Gates Millennium Scholars</t>
        </is>
      </c>
      <c r="B6" s="7" t="inlineStr">
        <is>
          <t>Describe a challenge you overcame...</t>
        </is>
      </c>
      <c r="C6" s="7" t="n">
        <v>575</v>
      </c>
      <c r="D6" s="7" t="inlineStr">
        <is>
          <t>Submitted</t>
        </is>
      </c>
      <c r="E6" s="7" t="inlineStr"/>
    </row>
    <row r="7">
      <c r="A7" s="10" t="inlineStr"/>
      <c r="B7" s="10" t="inlineStr"/>
      <c r="C7" s="10" t="n">
        <v>300</v>
      </c>
      <c r="D7" s="10" t="inlineStr">
        <is>
          <t>Not Started</t>
        </is>
      </c>
      <c r="E7" s="10" t="inlineStr">
        <is>
          <t>Monthly</t>
        </is>
      </c>
    </row>
    <row r="8">
      <c r="A8" s="7" t="inlineStr">
        <is>
          <t>Gates Millennium Scholars</t>
        </is>
      </c>
      <c r="B8" s="7" t="inlineStr">
        <is>
          <t>Describe a challenge you overcame...</t>
        </is>
      </c>
      <c r="C8" s="7" t="n">
        <v>725</v>
      </c>
      <c r="D8" s="7" t="inlineStr">
        <is>
          <t>Drafting</t>
        </is>
      </c>
      <c r="E8" s="7" t="inlineStr">
        <is>
          <t>Confirmed</t>
        </is>
      </c>
    </row>
    <row r="9">
      <c r="A9" s="10" t="inlineStr">
        <is>
          <t>Gates Millennium Scholars</t>
        </is>
      </c>
      <c r="B9" s="10" t="inlineStr">
        <is>
          <t>Describe a challenge you overcame...</t>
        </is>
      </c>
      <c r="C9" s="10" t="n">
        <v>475</v>
      </c>
      <c r="D9" s="10" t="inlineStr">
        <is>
          <t>Review</t>
        </is>
      </c>
      <c r="E9" s="10" t="inlineStr"/>
    </row>
    <row r="10">
      <c r="A10" s="7" t="inlineStr"/>
      <c r="B10" s="7" t="inlineStr"/>
      <c r="C10" s="7" t="n">
        <v>625</v>
      </c>
      <c r="D10" s="7" t="inlineStr">
        <is>
          <t>Final</t>
        </is>
      </c>
      <c r="E10" s="7" t="inlineStr">
        <is>
          <t>Waiting reply</t>
        </is>
      </c>
    </row>
    <row r="11">
      <c r="A11" s="10" t="inlineStr">
        <is>
          <t>Gates Millennium Scholars</t>
        </is>
      </c>
      <c r="B11" s="10" t="inlineStr">
        <is>
          <t>Describe a challenge you overcame...</t>
        </is>
      </c>
      <c r="C11" s="10" t="n">
        <v>400</v>
      </c>
      <c r="D11" s="10" t="inlineStr">
        <is>
          <t>Submitted</t>
        </is>
      </c>
      <c r="E11" s="10" t="inlineStr">
        <is>
          <t>Done early</t>
        </is>
      </c>
    </row>
    <row r="12">
      <c r="A12" s="7" t="inlineStr">
        <is>
          <t>Gates Millennium Scholars</t>
        </is>
      </c>
      <c r="B12" s="7" t="inlineStr">
        <is>
          <t>Describe a challenge you overcame...</t>
        </is>
      </c>
      <c r="C12" s="7" t="n">
        <v>550</v>
      </c>
      <c r="D12" s="7" t="inlineStr">
        <is>
          <t>Not Started</t>
        </is>
      </c>
      <c r="E12" s="7" t="inlineStr"/>
    </row>
    <row r="13">
      <c r="A13" s="10" t="inlineStr"/>
      <c r="B13" s="10" t="inlineStr"/>
      <c r="C13" s="10" t="n">
        <v>375</v>
      </c>
      <c r="D13" s="10" t="inlineStr">
        <is>
          <t>Drafting</t>
        </is>
      </c>
      <c r="E13" s="10" t="inlineStr">
        <is>
          <t>Recheck</t>
        </is>
      </c>
    </row>
  </sheetData>
  <dataValidations count="1">
    <dataValidation sqref="D2:D500" showDropDown="0" showInputMessage="0" showErrorMessage="0" allowBlank="1" type="list">
      <formula1>"Not Started,Drafting,Review,Final,Submitted"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8" customWidth="1" min="4" max="4"/>
    <col width="14" customWidth="1" min="5" max="5"/>
  </cols>
  <sheetData>
    <row r="1">
      <c r="A1" s="6" t="inlineStr">
        <is>
          <t>Scholarship</t>
        </is>
      </c>
      <c r="B1" s="6" t="inlineStr">
        <is>
          <t>Amount $</t>
        </is>
      </c>
      <c r="C1" s="6" t="inlineStr">
        <is>
          <t>Deadline</t>
        </is>
      </c>
      <c r="D1" s="6" t="inlineStr">
        <is>
          <t>Eligibility</t>
        </is>
      </c>
      <c r="E1" s="6" t="inlineStr">
        <is>
          <t>Priority</t>
        </is>
      </c>
    </row>
    <row r="2">
      <c r="A2" s="7" t="inlineStr">
        <is>
          <t>Coca-Cola Scholars Program</t>
        </is>
      </c>
      <c r="B2" s="8" t="n">
        <v>20000</v>
      </c>
      <c r="C2" s="9" t="n">
        <v>46174</v>
      </c>
      <c r="D2" s="7" t="inlineStr">
        <is>
          <t>US citizen, 3.0+ GPA</t>
        </is>
      </c>
      <c r="E2" s="7" t="inlineStr">
        <is>
          <t>High</t>
        </is>
      </c>
    </row>
    <row r="3">
      <c r="A3" s="10" t="inlineStr">
        <is>
          <t>Coca-Cola Scholars Program</t>
        </is>
      </c>
      <c r="B3" s="11" t="n">
        <v>14000</v>
      </c>
      <c r="C3" s="12" t="n">
        <v>46180</v>
      </c>
      <c r="D3" s="10" t="inlineStr">
        <is>
          <t>US citizen, 3.0+ GPA</t>
        </is>
      </c>
      <c r="E3" s="10" t="inlineStr">
        <is>
          <t>Medium</t>
        </is>
      </c>
    </row>
    <row r="4">
      <c r="A4" s="7" t="inlineStr"/>
      <c r="B4" s="8" t="n">
        <v>26000</v>
      </c>
      <c r="C4" s="9" t="n">
        <v>46186</v>
      </c>
      <c r="D4" s="7" t="inlineStr"/>
      <c r="E4" s="7" t="inlineStr">
        <is>
          <t>Low</t>
        </is>
      </c>
    </row>
    <row r="5">
      <c r="A5" s="10" t="inlineStr">
        <is>
          <t>Coca-Cola Scholars Program</t>
        </is>
      </c>
      <c r="B5" s="11" t="n">
        <v>17000</v>
      </c>
      <c r="C5" s="12" t="n">
        <v>46189</v>
      </c>
      <c r="D5" s="10" t="inlineStr">
        <is>
          <t>US citizen, 3.0+ GPA</t>
        </is>
      </c>
      <c r="E5" s="10" t="inlineStr">
        <is>
          <t>High</t>
        </is>
      </c>
    </row>
    <row r="6">
      <c r="A6" s="7" t="inlineStr">
        <is>
          <t>Coca-Cola Scholars Program</t>
        </is>
      </c>
      <c r="B6" s="8" t="n">
        <v>23000</v>
      </c>
      <c r="C6" s="9" t="n">
        <v>46195</v>
      </c>
      <c r="D6" s="7" t="inlineStr">
        <is>
          <t>US citizen, 3.0+ GPA</t>
        </is>
      </c>
      <c r="E6" s="7" t="inlineStr">
        <is>
          <t>Medium</t>
        </is>
      </c>
    </row>
    <row r="7">
      <c r="A7" s="10" t="inlineStr"/>
      <c r="B7" s="11" t="n">
        <v>12000</v>
      </c>
      <c r="C7" s="12" t="n">
        <v>46201</v>
      </c>
      <c r="D7" s="10" t="inlineStr"/>
      <c r="E7" s="10" t="inlineStr">
        <is>
          <t>Low</t>
        </is>
      </c>
    </row>
    <row r="8">
      <c r="A8" s="7" t="inlineStr">
        <is>
          <t>Coca-Cola Scholars Program</t>
        </is>
      </c>
      <c r="B8" s="8" t="n">
        <v>29000</v>
      </c>
      <c r="C8" s="9" t="n">
        <v>46176</v>
      </c>
      <c r="D8" s="7" t="inlineStr">
        <is>
          <t>US citizen, 3.0+ GPA</t>
        </is>
      </c>
      <c r="E8" s="7" t="inlineStr">
        <is>
          <t>High</t>
        </is>
      </c>
    </row>
    <row r="9">
      <c r="A9" s="10" t="inlineStr">
        <is>
          <t>Coca-Cola Scholars Program</t>
        </is>
      </c>
      <c r="B9" s="11" t="n">
        <v>19000</v>
      </c>
      <c r="C9" s="12" t="n">
        <v>46182</v>
      </c>
      <c r="D9" s="10" t="inlineStr">
        <is>
          <t>US citizen, 3.0+ GPA</t>
        </is>
      </c>
      <c r="E9" s="10" t="inlineStr">
        <is>
          <t>Medium</t>
        </is>
      </c>
    </row>
    <row r="10">
      <c r="A10" s="7" t="inlineStr"/>
      <c r="B10" s="8" t="n">
        <v>25000</v>
      </c>
      <c r="C10" s="9" t="n">
        <v>46188</v>
      </c>
      <c r="D10" s="7" t="inlineStr"/>
      <c r="E10" s="7" t="inlineStr">
        <is>
          <t>Low</t>
        </is>
      </c>
    </row>
    <row r="11">
      <c r="A11" s="10" t="inlineStr">
        <is>
          <t>Coca-Cola Scholars Program</t>
        </is>
      </c>
      <c r="B11" s="11" t="n">
        <v>16000</v>
      </c>
      <c r="C11" s="12" t="n">
        <v>46191</v>
      </c>
      <c r="D11" s="10" t="inlineStr">
        <is>
          <t>US citizen, 3.0+ GPA</t>
        </is>
      </c>
      <c r="E11" s="10" t="inlineStr">
        <is>
          <t>High</t>
        </is>
      </c>
    </row>
    <row r="12">
      <c r="A12" s="7" t="inlineStr">
        <is>
          <t>Coca-Cola Scholars Program</t>
        </is>
      </c>
      <c r="B12" s="8" t="n">
        <v>22000</v>
      </c>
      <c r="C12" s="9" t="n">
        <v>46197</v>
      </c>
      <c r="D12" s="7" t="inlineStr">
        <is>
          <t>US citizen, 3.0+ GPA</t>
        </is>
      </c>
      <c r="E12" s="7" t="inlineStr">
        <is>
          <t>Medium</t>
        </is>
      </c>
    </row>
    <row r="13">
      <c r="A13" s="10" t="inlineStr"/>
      <c r="B13" s="11" t="n">
        <v>15000</v>
      </c>
      <c r="C13" s="12" t="n">
        <v>46175</v>
      </c>
      <c r="D13" s="10" t="inlineStr"/>
      <c r="E13" s="10" t="inlineStr">
        <is>
          <t>Low</t>
        </is>
      </c>
    </row>
  </sheetData>
  <dataValidations count="1">
    <dataValidation sqref="E2:E500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</cols>
  <sheetData>
    <row r="2">
      <c r="B2" s="24" t="inlineStr">
        <is>
          <t>📈  WON AWARDS</t>
        </is>
      </c>
    </row>
    <row r="4">
      <c r="B4" s="3" t="inlineStr">
        <is>
          <t>Award Summary</t>
        </is>
      </c>
    </row>
    <row r="5">
      <c r="B5" s="10" t="inlineStr">
        <is>
          <t>Total Applied</t>
        </is>
      </c>
      <c r="C5" s="25">
        <f>COUNTA(Applications!A:A)-1</f>
        <v/>
      </c>
    </row>
    <row r="6">
      <c r="B6" s="7" t="inlineStr">
        <is>
          <t>Total Won</t>
        </is>
      </c>
      <c r="C6" s="26">
        <f>COUNTIF(Applications!F:F,"Won")</f>
        <v/>
      </c>
    </row>
    <row r="7">
      <c r="B7" s="10" t="inlineStr">
        <is>
          <t>Total Amount Won</t>
        </is>
      </c>
      <c r="C7" s="25">
        <f>SUMIF(Applications!F:F,"Won",Applications!C:C)</f>
        <v/>
      </c>
    </row>
  </sheetData>
  <mergeCells count="2">
    <mergeCell ref="B4:C4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2026-07-16T21:44:38Z</dcterms:created>
  <dcterms:modified xsi:type="dcterms:W3CDTF">2026-07-16T21:44:38Z</dcterms:modified>
</cp:coreProperties>
</file>