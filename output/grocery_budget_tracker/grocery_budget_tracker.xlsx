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hopping Log" sheetId="2" state="visible" r:id="rId2"/>
    <sheet name="Dashboard" sheetId="3" state="visible" r:id="rId3"/>
    <sheet name="Weekly Budget" sheetId="4" state="visible" r:id="rId4"/>
    <sheet name="Price List" sheetId="5" state="visible" r:id="rId5"/>
    <sheet name="Monthly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16A34A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4532D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FFF7F0"/>
      </patternFill>
    </fill>
    <fill>
      <patternFill patternType="solid">
        <fgColor rgb="0016A34A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🛒  GROCERY &amp; PANTRY BUDGET TRACKER</t>
        </is>
      </c>
    </row>
    <row r="3"/>
    <row r="4">
      <c r="B4" s="2" t="inlineStr">
        <is>
          <t>Weekly Grocery Spending &amp; Price Compare Google Sheets</t>
        </is>
      </c>
    </row>
    <row r="6">
      <c r="B6" s="3" t="inlineStr">
        <is>
          <t>STEP 1 — Fill in “Shopping Log”</t>
        </is>
      </c>
    </row>
    <row r="7" ht="28" customHeight="1">
      <c r="B7" s="4" t="inlineStr">
        <is>
          <t>Every grocery trip with store, items, and total spend.</t>
        </is>
      </c>
    </row>
    <row r="9">
      <c r="B9" s="3" t="inlineStr">
        <is>
          <t>STEP 2 — Fill in “Weekly Budget”</t>
        </is>
      </c>
    </row>
    <row r="10" ht="28" customHeight="1">
      <c r="B10" s="4" t="inlineStr">
        <is>
          <t>Week-by-week grocery spending vs budget.</t>
        </is>
      </c>
    </row>
    <row r="12">
      <c r="B12" s="3" t="inlineStr">
        <is>
          <t>STEP 3 — Fill in “Price List”</t>
        </is>
      </c>
    </row>
    <row r="13" ht="28" customHeight="1">
      <c r="B13" s="4" t="inlineStr">
        <is>
          <t>Price comparison for regular items across stores.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4" customWidth="1" min="3" max="3"/>
    <col width="14" customWidth="1" min="4" max="4"/>
    <col width="22" customWidth="1" min="5" max="5"/>
  </cols>
  <sheetData>
    <row r="1">
      <c r="A1" s="6" t="inlineStr">
        <is>
          <t>Date</t>
        </is>
      </c>
      <c r="B1" s="6" t="inlineStr">
        <is>
          <t>Store</t>
        </is>
      </c>
      <c r="C1" s="6" t="inlineStr">
        <is>
          <t>Items Bought</t>
        </is>
      </c>
      <c r="D1" s="6" t="inlineStr">
        <is>
          <t>Total $</t>
        </is>
      </c>
      <c r="E1" s="6" t="inlineStr">
        <is>
          <t>Category Split</t>
        </is>
      </c>
    </row>
    <row r="2">
      <c r="A2" s="7" t="n">
        <v>46174</v>
      </c>
      <c r="B2" s="8" t="inlineStr">
        <is>
          <t>Walmart</t>
        </is>
      </c>
      <c r="C2" s="8" t="inlineStr">
        <is>
          <t>Kickoff meeting</t>
        </is>
      </c>
      <c r="D2" s="9" t="n">
        <v>87.5</v>
      </c>
      <c r="E2" s="8" t="inlineStr">
        <is>
          <t>Food 70%, Household 30%</t>
        </is>
      </c>
    </row>
    <row r="3">
      <c r="A3" s="10" t="n">
        <v>46180</v>
      </c>
      <c r="B3" s="11" t="inlineStr">
        <is>
          <t>Costco</t>
        </is>
      </c>
      <c r="C3" s="11" t="inlineStr">
        <is>
          <t>Send proposal</t>
        </is>
      </c>
      <c r="D3" s="12" t="n">
        <v>61.25</v>
      </c>
      <c r="E3" s="11" t="inlineStr">
        <is>
          <t>Food 70%, Household 30%</t>
        </is>
      </c>
    </row>
    <row r="4">
      <c r="A4" s="7" t="n">
        <v>46186</v>
      </c>
      <c r="B4" s="8" t="inlineStr">
        <is>
          <t>Aldi</t>
        </is>
      </c>
      <c r="C4" s="8" t="inlineStr">
        <is>
          <t>Review feedback</t>
        </is>
      </c>
      <c r="D4" s="9" t="n">
        <v>113.75</v>
      </c>
      <c r="E4" s="8" t="inlineStr"/>
    </row>
    <row r="5">
      <c r="A5" s="10" t="n">
        <v>46189</v>
      </c>
      <c r="B5" s="11" t="inlineStr">
        <is>
          <t>Trader Joe's</t>
        </is>
      </c>
      <c r="C5" s="11" t="inlineStr">
        <is>
          <t>Update website copy</t>
        </is>
      </c>
      <c r="D5" s="12" t="n">
        <v>74.38</v>
      </c>
      <c r="E5" s="11" t="inlineStr">
        <is>
          <t>Food 70%, Household 30%</t>
        </is>
      </c>
    </row>
    <row r="6">
      <c r="A6" s="7" t="n">
        <v>46195</v>
      </c>
      <c r="B6" s="8" t="inlineStr">
        <is>
          <t>Whole Foods</t>
        </is>
      </c>
      <c r="C6" s="8" t="inlineStr">
        <is>
          <t>Prepare invoice</t>
        </is>
      </c>
      <c r="D6" s="9" t="n">
        <v>100.62</v>
      </c>
      <c r="E6" s="8" t="inlineStr">
        <is>
          <t>Food 70%, Household 30%</t>
        </is>
      </c>
    </row>
    <row r="7">
      <c r="A7" s="10" t="n">
        <v>46201</v>
      </c>
      <c r="B7" s="11" t="inlineStr">
        <is>
          <t>Kroger</t>
        </is>
      </c>
      <c r="C7" s="11" t="inlineStr">
        <is>
          <t>Client call</t>
        </is>
      </c>
      <c r="D7" s="12" t="n">
        <v>52.5</v>
      </c>
      <c r="E7" s="11" t="inlineStr"/>
    </row>
    <row r="8">
      <c r="A8" s="7" t="n">
        <v>46176</v>
      </c>
      <c r="B8" s="8" t="inlineStr">
        <is>
          <t>Local Market</t>
        </is>
      </c>
      <c r="C8" s="8" t="inlineStr">
        <is>
          <t>Design first draft</t>
        </is>
      </c>
      <c r="D8" s="9" t="n">
        <v>126.88</v>
      </c>
      <c r="E8" s="8" t="inlineStr">
        <is>
          <t>Food 70%, Household 30%</t>
        </is>
      </c>
    </row>
    <row r="9">
      <c r="A9" s="10" t="n">
        <v>46182</v>
      </c>
      <c r="B9" s="11" t="inlineStr">
        <is>
          <t>Online</t>
        </is>
      </c>
      <c r="C9" s="11" t="inlineStr">
        <is>
          <t>Fix reported bug</t>
        </is>
      </c>
      <c r="D9" s="12" t="n">
        <v>83.12</v>
      </c>
      <c r="E9" s="11" t="inlineStr">
        <is>
          <t>Food 70%, Household 30%</t>
        </is>
      </c>
    </row>
    <row r="10">
      <c r="A10" s="7" t="n">
        <v>46188</v>
      </c>
      <c r="B10" s="8" t="inlineStr">
        <is>
          <t>Other</t>
        </is>
      </c>
      <c r="C10" s="8" t="inlineStr">
        <is>
          <t>Weekly report</t>
        </is>
      </c>
      <c r="D10" s="9" t="n">
        <v>109.38</v>
      </c>
      <c r="E10" s="8" t="inlineStr"/>
    </row>
    <row r="11">
      <c r="A11" s="10" t="n">
        <v>46191</v>
      </c>
      <c r="B11" s="11" t="inlineStr">
        <is>
          <t>Walmart</t>
        </is>
      </c>
      <c r="C11" s="11" t="inlineStr">
        <is>
          <t>Plan next sprint</t>
        </is>
      </c>
      <c r="D11" s="12" t="n">
        <v>70</v>
      </c>
      <c r="E11" s="11" t="inlineStr">
        <is>
          <t>Food 70%, Household 30%</t>
        </is>
      </c>
    </row>
    <row r="12">
      <c r="A12" s="7" t="n">
        <v>46197</v>
      </c>
      <c r="B12" s="8" t="inlineStr">
        <is>
          <t>Costco</t>
        </is>
      </c>
      <c r="C12" s="8" t="inlineStr">
        <is>
          <t>Publish blog post</t>
        </is>
      </c>
      <c r="D12" s="9" t="n">
        <v>96.25</v>
      </c>
      <c r="E12" s="8" t="inlineStr">
        <is>
          <t>Food 70%, Household 30%</t>
        </is>
      </c>
    </row>
    <row r="13">
      <c r="A13" s="10" t="n">
        <v>46175</v>
      </c>
      <c r="B13" s="11" t="inlineStr">
        <is>
          <t>Aldi</t>
        </is>
      </c>
      <c r="C13" s="11" t="inlineStr">
        <is>
          <t>Team sync</t>
        </is>
      </c>
      <c r="D13" s="12" t="n">
        <v>65.62</v>
      </c>
      <c r="E13" s="11" t="inlineStr"/>
    </row>
  </sheetData>
  <dataValidations count="1">
    <dataValidation sqref="B2:B500" showDropDown="0" showInputMessage="0" showErrorMessage="0" allowBlank="1" type="list">
      <formula1>"Walmart,Costco,Aldi,Trader Joe's,Whole Foods,Kroger,Local Market,Online,Other"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GROCERY &amp; PANTRY BUDGET TRACKER — DASHBOARD</t>
        </is>
      </c>
    </row>
    <row r="4">
      <c r="B4" s="14" t="inlineStr">
        <is>
          <t>MONTHLY BUDGET $</t>
        </is>
      </c>
      <c r="D4" s="15" t="inlineStr">
        <is>
          <t>MONTHLY SPENT $</t>
        </is>
      </c>
      <c r="F4" s="16" t="inlineStr">
        <is>
          <t>UNDER BUDGET $</t>
        </is>
      </c>
      <c r="H4" s="17" t="inlineStr">
        <is>
          <t>AVG TRIP COST $</t>
        </is>
      </c>
    </row>
    <row r="5" ht="26" customHeight="1">
      <c r="B5" s="18">
        <f>Settings!B2</f>
        <v/>
      </c>
      <c r="D5" s="19">
        <f>SUM(Shopping!D:D)</f>
        <v/>
      </c>
      <c r="F5" s="20">
        <f>Settings!B2-SUM(Shopping!D:D)</f>
        <v/>
      </c>
      <c r="H5" s="21">
        <f>AVERAGE(Shopping!D:D)</f>
        <v/>
      </c>
    </row>
    <row r="8">
      <c r="B8" s="22" t="inlineStr">
        <is>
          <t>WHAT'S INSIDE</t>
        </is>
      </c>
    </row>
    <row r="9">
      <c r="B9" s="23" t="inlineStr">
        <is>
          <t>📋  Shopping Log — Every grocery trip with store, items, and total spend.</t>
        </is>
      </c>
    </row>
    <row r="10">
      <c r="B10" s="23" t="inlineStr">
        <is>
          <t>📅  Weekly Budget — Week-by-week grocery spending vs budget.</t>
        </is>
      </c>
    </row>
    <row r="11">
      <c r="B11" s="23" t="inlineStr">
        <is>
          <t>💲  Price List — Price comparison for regular items across stores.</t>
        </is>
      </c>
    </row>
    <row r="12">
      <c r="B12" s="23" t="inlineStr">
        <is>
          <t>📊  Monthly Summary — Monthly grocery spending by category.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28" customWidth="1" min="5" max="5"/>
  </cols>
  <sheetData>
    <row r="1">
      <c r="A1" s="6" t="inlineStr">
        <is>
          <t>Week</t>
        </is>
      </c>
      <c r="B1" s="6" t="inlineStr">
        <is>
          <t>Budget $</t>
        </is>
      </c>
      <c r="C1" s="6" t="inlineStr">
        <is>
          <t>Spent $</t>
        </is>
      </c>
      <c r="D1" s="6" t="inlineStr">
        <is>
          <t>Under/Over $</t>
        </is>
      </c>
      <c r="E1" s="6" t="inlineStr">
        <is>
          <t>Notes</t>
        </is>
      </c>
    </row>
    <row r="2">
      <c r="A2" s="8" t="inlineStr">
        <is>
          <t>Week 1 - Jan</t>
        </is>
      </c>
      <c r="B2" s="9" t="n">
        <v>150</v>
      </c>
      <c r="C2" s="9" t="n">
        <v>132</v>
      </c>
      <c r="D2" s="8">
        <f>C2-D2</f>
        <v/>
      </c>
      <c r="E2" s="8" t="inlineStr"/>
    </row>
    <row r="3">
      <c r="A3" s="11" t="inlineStr">
        <is>
          <t>Week 1 - Jan</t>
        </is>
      </c>
      <c r="B3" s="12" t="n">
        <v>105</v>
      </c>
      <c r="C3" s="12" t="n">
        <v>92</v>
      </c>
      <c r="D3" s="11">
        <f>C3-D3</f>
        <v/>
      </c>
      <c r="E3" s="11" t="inlineStr">
        <is>
          <t>Paid</t>
        </is>
      </c>
    </row>
    <row r="4">
      <c r="A4" s="8" t="inlineStr"/>
      <c r="B4" s="9" t="n">
        <v>195</v>
      </c>
      <c r="C4" s="9" t="n">
        <v>172</v>
      </c>
      <c r="D4" s="8">
        <f>C4-D4</f>
        <v/>
      </c>
      <c r="E4" s="8" t="inlineStr">
        <is>
          <t>Urgent</t>
        </is>
      </c>
    </row>
    <row r="5">
      <c r="A5" s="11" t="inlineStr">
        <is>
          <t>Week 1 - Jan</t>
        </is>
      </c>
      <c r="B5" s="12" t="n">
        <v>128</v>
      </c>
      <c r="C5" s="12" t="n">
        <v>112</v>
      </c>
      <c r="D5" s="11">
        <f>C5-D5</f>
        <v/>
      </c>
      <c r="E5" s="11" t="inlineStr">
        <is>
          <t>Follow up Friday</t>
        </is>
      </c>
    </row>
    <row r="6">
      <c r="A6" s="8" t="inlineStr">
        <is>
          <t>Week 1 - Jan</t>
        </is>
      </c>
      <c r="B6" s="9" t="n">
        <v>172</v>
      </c>
      <c r="C6" s="9" t="n">
        <v>152</v>
      </c>
      <c r="D6" s="8">
        <f>C6-D6</f>
        <v/>
      </c>
      <c r="E6" s="8" t="inlineStr"/>
    </row>
    <row r="7">
      <c r="A7" s="11" t="inlineStr"/>
      <c r="B7" s="12" t="n">
        <v>90</v>
      </c>
      <c r="C7" s="12" t="n">
        <v>79</v>
      </c>
      <c r="D7" s="11">
        <f>C7-D7</f>
        <v/>
      </c>
      <c r="E7" s="11" t="inlineStr">
        <is>
          <t>Monthly</t>
        </is>
      </c>
    </row>
    <row r="8">
      <c r="A8" s="8" t="inlineStr">
        <is>
          <t>Week 1 - Jan</t>
        </is>
      </c>
      <c r="B8" s="9" t="n">
        <v>218</v>
      </c>
      <c r="C8" s="9" t="n">
        <v>191</v>
      </c>
      <c r="D8" s="8">
        <f>C8-D8</f>
        <v/>
      </c>
      <c r="E8" s="8" t="inlineStr">
        <is>
          <t>Confirmed</t>
        </is>
      </c>
    </row>
    <row r="9">
      <c r="A9" s="11" t="inlineStr">
        <is>
          <t>Week 1 - Jan</t>
        </is>
      </c>
      <c r="B9" s="12" t="n">
        <v>142</v>
      </c>
      <c r="C9" s="12" t="n">
        <v>125</v>
      </c>
      <c r="D9" s="11">
        <f>C9-D9</f>
        <v/>
      </c>
      <c r="E9" s="11" t="inlineStr"/>
    </row>
    <row r="10">
      <c r="A10" s="8" t="inlineStr"/>
      <c r="B10" s="9" t="n">
        <v>188</v>
      </c>
      <c r="C10" s="9" t="n">
        <v>165</v>
      </c>
      <c r="D10" s="8">
        <f>C10-D10</f>
        <v/>
      </c>
      <c r="E10" s="8" t="inlineStr">
        <is>
          <t>Waiting reply</t>
        </is>
      </c>
    </row>
    <row r="11">
      <c r="A11" s="11" t="inlineStr">
        <is>
          <t>Week 1 - Jan</t>
        </is>
      </c>
      <c r="B11" s="12" t="n">
        <v>120</v>
      </c>
      <c r="C11" s="12" t="n">
        <v>106</v>
      </c>
      <c r="D11" s="11">
        <f>C11-D11</f>
        <v/>
      </c>
      <c r="E11" s="11" t="inlineStr">
        <is>
          <t>Done early</t>
        </is>
      </c>
    </row>
    <row r="12">
      <c r="A12" s="8" t="inlineStr">
        <is>
          <t>Week 1 - Jan</t>
        </is>
      </c>
      <c r="B12" s="9" t="n">
        <v>165</v>
      </c>
      <c r="C12" s="9" t="n">
        <v>145</v>
      </c>
      <c r="D12" s="8">
        <f>C12-D12</f>
        <v/>
      </c>
      <c r="E12" s="8" t="inlineStr"/>
    </row>
    <row r="13">
      <c r="A13" s="11" t="inlineStr"/>
      <c r="B13" s="12" t="n">
        <v>112</v>
      </c>
      <c r="C13" s="12" t="n">
        <v>99</v>
      </c>
      <c r="D13" s="11">
        <f>C13-D13</f>
        <v/>
      </c>
      <c r="E13" s="11" t="inlineStr">
        <is>
          <t>Recheck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6" customWidth="1" min="5" max="5"/>
    <col width="16" customWidth="1" min="6" max="6"/>
  </cols>
  <sheetData>
    <row r="1">
      <c r="A1" s="6" t="inlineStr">
        <is>
          <t>Item</t>
        </is>
      </c>
      <c r="B1" s="6" t="inlineStr">
        <is>
          <t>Walmart $</t>
        </is>
      </c>
      <c r="C1" s="6" t="inlineStr">
        <is>
          <t>Costco $</t>
        </is>
      </c>
      <c r="D1" s="6" t="inlineStr">
        <is>
          <t>Aldi $</t>
        </is>
      </c>
      <c r="E1" s="6" t="inlineStr">
        <is>
          <t>Best Price</t>
        </is>
      </c>
      <c r="F1" s="6" t="inlineStr">
        <is>
          <t>Best Store</t>
        </is>
      </c>
    </row>
    <row r="2">
      <c r="A2" s="8" t="inlineStr">
        <is>
          <t>Kickoff meeting</t>
        </is>
      </c>
      <c r="B2" s="8" t="n">
        <v>6.49</v>
      </c>
      <c r="C2" s="9" t="n">
        <v>4.89</v>
      </c>
      <c r="D2" s="8" t="n">
        <v>5.29</v>
      </c>
      <c r="E2" s="8">
        <f>MIN(B2:D2)</f>
        <v/>
      </c>
      <c r="F2" s="8" t="inlineStr">
        <is>
          <t>Costco</t>
        </is>
      </c>
    </row>
    <row r="3">
      <c r="A3" s="11" t="inlineStr">
        <is>
          <t>Send proposal</t>
        </is>
      </c>
      <c r="B3" s="11" t="n">
        <v>4.54</v>
      </c>
      <c r="C3" s="12" t="n">
        <v>3.42</v>
      </c>
      <c r="D3" s="11" t="n">
        <v>3.7</v>
      </c>
      <c r="E3" s="11">
        <f>MIN(B3:D3)</f>
        <v/>
      </c>
      <c r="F3" s="11" t="inlineStr">
        <is>
          <t>Costco</t>
        </is>
      </c>
    </row>
    <row r="4">
      <c r="A4" s="8" t="inlineStr">
        <is>
          <t>Review feedback</t>
        </is>
      </c>
      <c r="B4" s="8" t="n">
        <v>8.44</v>
      </c>
      <c r="C4" s="9" t="n">
        <v>6.36</v>
      </c>
      <c r="D4" s="8" t="n">
        <v>6.88</v>
      </c>
      <c r="E4" s="8">
        <f>MIN(B4:D4)</f>
        <v/>
      </c>
      <c r="F4" s="8" t="inlineStr"/>
    </row>
    <row r="5">
      <c r="A5" s="11" t="inlineStr">
        <is>
          <t>Update website copy</t>
        </is>
      </c>
      <c r="B5" s="11" t="n">
        <v>5.52</v>
      </c>
      <c r="C5" s="12" t="n">
        <v>4.16</v>
      </c>
      <c r="D5" s="11" t="n">
        <v>4.5</v>
      </c>
      <c r="E5" s="11">
        <f>MIN(B5:D5)</f>
        <v/>
      </c>
      <c r="F5" s="11" t="inlineStr">
        <is>
          <t>Costco</t>
        </is>
      </c>
    </row>
    <row r="6">
      <c r="A6" s="8" t="inlineStr">
        <is>
          <t>Prepare invoice</t>
        </is>
      </c>
      <c r="B6" s="8" t="n">
        <v>7.46</v>
      </c>
      <c r="C6" s="9" t="n">
        <v>5.62</v>
      </c>
      <c r="D6" s="8" t="n">
        <v>6.08</v>
      </c>
      <c r="E6" s="8">
        <f>MIN(B6:D6)</f>
        <v/>
      </c>
      <c r="F6" s="8" t="inlineStr">
        <is>
          <t>Costco</t>
        </is>
      </c>
    </row>
    <row r="7">
      <c r="A7" s="11" t="inlineStr">
        <is>
          <t>Client call</t>
        </is>
      </c>
      <c r="B7" s="11" t="n">
        <v>3.89</v>
      </c>
      <c r="C7" s="12" t="n">
        <v>2.93</v>
      </c>
      <c r="D7" s="11" t="n">
        <v>3.17</v>
      </c>
      <c r="E7" s="11">
        <f>MIN(B7:D7)</f>
        <v/>
      </c>
      <c r="F7" s="11" t="inlineStr"/>
    </row>
    <row r="8">
      <c r="A8" s="8" t="inlineStr">
        <is>
          <t>Design first draft</t>
        </is>
      </c>
      <c r="B8" s="8" t="n">
        <v>9.41</v>
      </c>
      <c r="C8" s="9" t="n">
        <v>7.09</v>
      </c>
      <c r="D8" s="8" t="n">
        <v>7.67</v>
      </c>
      <c r="E8" s="8">
        <f>MIN(B8:D8)</f>
        <v/>
      </c>
      <c r="F8" s="8" t="inlineStr">
        <is>
          <t>Costco</t>
        </is>
      </c>
    </row>
    <row r="9">
      <c r="A9" s="11" t="inlineStr">
        <is>
          <t>Fix reported bug</t>
        </is>
      </c>
      <c r="B9" s="11" t="n">
        <v>6.17</v>
      </c>
      <c r="C9" s="12" t="n">
        <v>4.65</v>
      </c>
      <c r="D9" s="11" t="n">
        <v>5.03</v>
      </c>
      <c r="E9" s="11">
        <f>MIN(B9:D9)</f>
        <v/>
      </c>
      <c r="F9" s="11" t="inlineStr">
        <is>
          <t>Costco</t>
        </is>
      </c>
    </row>
    <row r="10">
      <c r="A10" s="8" t="inlineStr">
        <is>
          <t>Weekly report</t>
        </is>
      </c>
      <c r="B10" s="8" t="n">
        <v>8.109999999999999</v>
      </c>
      <c r="C10" s="9" t="n">
        <v>6.11</v>
      </c>
      <c r="D10" s="8" t="n">
        <v>6.61</v>
      </c>
      <c r="E10" s="8">
        <f>MIN(B10:D10)</f>
        <v/>
      </c>
      <c r="F10" s="8" t="inlineStr"/>
    </row>
    <row r="11">
      <c r="A11" s="11" t="inlineStr">
        <is>
          <t>Plan next sprint</t>
        </is>
      </c>
      <c r="B11" s="11" t="n">
        <v>5.19</v>
      </c>
      <c r="C11" s="12" t="n">
        <v>3.91</v>
      </c>
      <c r="D11" s="11" t="n">
        <v>4.23</v>
      </c>
      <c r="E11" s="11">
        <f>MIN(B11:D11)</f>
        <v/>
      </c>
      <c r="F11" s="11" t="inlineStr">
        <is>
          <t>Costco</t>
        </is>
      </c>
    </row>
    <row r="12">
      <c r="A12" s="8" t="inlineStr">
        <is>
          <t>Publish blog post</t>
        </is>
      </c>
      <c r="B12" s="8" t="n">
        <v>7.14</v>
      </c>
      <c r="C12" s="9" t="n">
        <v>5.38</v>
      </c>
      <c r="D12" s="8" t="n">
        <v>5.82</v>
      </c>
      <c r="E12" s="8">
        <f>MIN(B12:D12)</f>
        <v/>
      </c>
      <c r="F12" s="8" t="inlineStr">
        <is>
          <t>Costco</t>
        </is>
      </c>
    </row>
    <row r="13">
      <c r="A13" s="11" t="inlineStr">
        <is>
          <t>Team sync</t>
        </is>
      </c>
      <c r="B13" s="11" t="n">
        <v>4.87</v>
      </c>
      <c r="C13" s="12" t="n">
        <v>3.67</v>
      </c>
      <c r="D13" s="11" t="n">
        <v>3.97</v>
      </c>
      <c r="E13" s="11">
        <f>MIN(B13:D13)</f>
        <v/>
      </c>
      <c r="F13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MONTHLY SUMMARY</t>
        </is>
      </c>
    </row>
    <row r="4">
      <c r="B4" s="3" t="inlineStr">
        <is>
          <t>Grocery Summary</t>
        </is>
      </c>
    </row>
    <row r="5">
      <c r="B5" s="11" t="inlineStr">
        <is>
          <t>Monthly Budget</t>
        </is>
      </c>
      <c r="C5" s="25">
        <f>Settings!B2</f>
        <v/>
      </c>
    </row>
    <row r="6">
      <c r="B6" s="8" t="inlineStr">
        <is>
          <t>Monthly Spent</t>
        </is>
      </c>
      <c r="C6" s="26">
        <f>SUM(Shopping!D:D)</f>
        <v/>
      </c>
    </row>
    <row r="7">
      <c r="B7" s="11" t="inlineStr">
        <is>
          <t>Total Saved</t>
        </is>
      </c>
      <c r="C7" s="25">
        <f>Settings!B2-SUM(Shopping!D:D)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