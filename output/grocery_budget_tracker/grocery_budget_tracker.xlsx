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hopping Log" sheetId="2" state="visible" r:id="rId2"/>
    <sheet name="Weekly Budget" sheetId="3" state="visible" r:id="rId3"/>
    <sheet name="Price List" sheetId="4" state="visible" r:id="rId4"/>
    <sheet name="Month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4532D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Grocery &amp; Pantry Budget Tracker</t>
        </is>
      </c>
    </row>
    <row r="3">
      <c r="A3" s="2" t="inlineStr">
        <is>
          <t>Monthly Budget $</t>
        </is>
      </c>
      <c r="B3" s="2" t="inlineStr">
        <is>
          <t>Monthly Spent $</t>
        </is>
      </c>
      <c r="C3" s="2" t="inlineStr">
        <is>
          <t>Under Budget $</t>
        </is>
      </c>
      <c r="D3" s="2" t="inlineStr">
        <is>
          <t>Avg Trip Cost $</t>
        </is>
      </c>
    </row>
    <row r="4" ht="36" customHeight="1">
      <c r="A4" s="3">
        <f>Settings!B2</f>
        <v/>
      </c>
      <c r="B4" s="3">
        <f>SUM(Shopping!D:D)</f>
        <v/>
      </c>
      <c r="C4" s="3">
        <f>Settings!B2-SUM(Shopping!D:D)</f>
        <v/>
      </c>
      <c r="D4" s="3">
        <f>AVERAGE(Shopping!D:D)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6A34A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14" customWidth="1" min="4" max="4"/>
    <col width="22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Items Bought</t>
        </is>
      </c>
      <c r="D1" s="4" t="inlineStr">
        <is>
          <t>Total $</t>
        </is>
      </c>
      <c r="E1" s="4" t="inlineStr">
        <is>
          <t>Category Split</t>
        </is>
      </c>
    </row>
    <row r="2" ht="22" customHeight="1">
      <c r="A2" s="5" t="inlineStr">
        <is>
          <t>2024-01-15</t>
        </is>
      </c>
      <c r="B2" s="5" t="inlineStr"/>
      <c r="C2" s="5" t="inlineStr">
        <is>
          <t>Chicken, rice, vegetables, dairy</t>
        </is>
      </c>
      <c r="D2" s="5" t="inlineStr">
        <is>
          <t>87.50</t>
        </is>
      </c>
      <c r="E2" s="5" t="inlineStr">
        <is>
          <t>Food 70%, Household 30%</t>
        </is>
      </c>
    </row>
    <row r="3" ht="22" customHeight="1">
      <c r="A3" s="5" t="inlineStr">
        <is>
          <t>2024-01-15</t>
        </is>
      </c>
      <c r="B3" s="5" t="inlineStr"/>
      <c r="C3" s="5" t="inlineStr">
        <is>
          <t>Chicken, rice, vegetables, dairy</t>
        </is>
      </c>
      <c r="D3" s="5" t="inlineStr">
        <is>
          <t>87.50</t>
        </is>
      </c>
      <c r="E3" s="5" t="inlineStr">
        <is>
          <t>Food 70%, Household 30%</t>
        </is>
      </c>
    </row>
    <row r="4" ht="22" customHeight="1">
      <c r="A4" s="5" t="inlineStr">
        <is>
          <t>2024-01-15</t>
        </is>
      </c>
      <c r="B4" s="5" t="inlineStr"/>
      <c r="C4" s="5" t="inlineStr">
        <is>
          <t>Chicken, rice, vegetables, dairy</t>
        </is>
      </c>
      <c r="D4" s="5" t="inlineStr">
        <is>
          <t>87.50</t>
        </is>
      </c>
      <c r="E4" s="5" t="inlineStr">
        <is>
          <t>Food 70%, Household 30%</t>
        </is>
      </c>
    </row>
    <row r="5" ht="22" customHeight="1">
      <c r="A5" s="5" t="inlineStr">
        <is>
          <t>2024-01-15</t>
        </is>
      </c>
      <c r="B5" s="5" t="inlineStr"/>
      <c r="C5" s="5" t="inlineStr">
        <is>
          <t>Chicken, rice, vegetables, dairy</t>
        </is>
      </c>
      <c r="D5" s="5" t="inlineStr">
        <is>
          <t>87.50</t>
        </is>
      </c>
      <c r="E5" s="5" t="inlineStr">
        <is>
          <t>Food 70%, Household 30%</t>
        </is>
      </c>
    </row>
    <row r="6" ht="22" customHeight="1">
      <c r="A6" s="5" t="inlineStr">
        <is>
          <t>2024-01-15</t>
        </is>
      </c>
      <c r="B6" s="5" t="inlineStr"/>
      <c r="C6" s="5" t="inlineStr">
        <is>
          <t>Chicken, rice, vegetables, dairy</t>
        </is>
      </c>
      <c r="D6" s="5" t="inlineStr">
        <is>
          <t>87.50</t>
        </is>
      </c>
      <c r="E6" s="5" t="inlineStr">
        <is>
          <t>Food 70%, Household 30%</t>
        </is>
      </c>
    </row>
    <row r="7" ht="22" customHeight="1">
      <c r="A7" s="5" t="inlineStr">
        <is>
          <t>2024-01-15</t>
        </is>
      </c>
      <c r="B7" s="5" t="inlineStr"/>
      <c r="C7" s="5" t="inlineStr">
        <is>
          <t>Chicken, rice, vegetables, dairy</t>
        </is>
      </c>
      <c r="D7" s="5" t="inlineStr">
        <is>
          <t>87.50</t>
        </is>
      </c>
      <c r="E7" s="5" t="inlineStr">
        <is>
          <t>Food 70%, Household 30%</t>
        </is>
      </c>
    </row>
    <row r="8" ht="22" customHeight="1">
      <c r="A8" s="5" t="inlineStr">
        <is>
          <t>2024-01-15</t>
        </is>
      </c>
      <c r="B8" s="5" t="inlineStr"/>
      <c r="C8" s="5" t="inlineStr">
        <is>
          <t>Chicken, rice, vegetables, dairy</t>
        </is>
      </c>
      <c r="D8" s="5" t="inlineStr">
        <is>
          <t>87.50</t>
        </is>
      </c>
      <c r="E8" s="5" t="inlineStr">
        <is>
          <t>Food 70%, Household 30%</t>
        </is>
      </c>
    </row>
    <row r="9" ht="22" customHeight="1">
      <c r="A9" s="5" t="inlineStr">
        <is>
          <t>2024-01-15</t>
        </is>
      </c>
      <c r="B9" s="5" t="inlineStr"/>
      <c r="C9" s="5" t="inlineStr">
        <is>
          <t>Chicken, rice, vegetables, dairy</t>
        </is>
      </c>
      <c r="D9" s="5" t="inlineStr">
        <is>
          <t>87.50</t>
        </is>
      </c>
      <c r="E9" s="5" t="inlineStr">
        <is>
          <t>Food 70%, Household 30%</t>
        </is>
      </c>
    </row>
    <row r="10" ht="22" customHeight="1">
      <c r="A10" s="5" t="inlineStr">
        <is>
          <t>2024-01-15</t>
        </is>
      </c>
      <c r="B10" s="5" t="inlineStr"/>
      <c r="C10" s="5" t="inlineStr">
        <is>
          <t>Chicken, rice, vegetables, dairy</t>
        </is>
      </c>
      <c r="D10" s="5" t="inlineStr">
        <is>
          <t>87.50</t>
        </is>
      </c>
      <c r="E10" s="5" t="inlineStr">
        <is>
          <t>Food 70%, Household 30%</t>
        </is>
      </c>
    </row>
    <row r="11" ht="22" customHeight="1">
      <c r="A11" s="5" t="inlineStr">
        <is>
          <t>2024-01-15</t>
        </is>
      </c>
      <c r="B11" s="5" t="inlineStr"/>
      <c r="C11" s="5" t="inlineStr">
        <is>
          <t>Chicken, rice, vegetables, dairy</t>
        </is>
      </c>
      <c r="D11" s="5" t="inlineStr">
        <is>
          <t>87.50</t>
        </is>
      </c>
      <c r="E11" s="5" t="inlineStr">
        <is>
          <t>Food 70%, Household 30%</t>
        </is>
      </c>
    </row>
    <row r="12" ht="22" customHeight="1">
      <c r="A12" s="5" t="inlineStr">
        <is>
          <t>2024-01-15</t>
        </is>
      </c>
      <c r="B12" s="5" t="inlineStr"/>
      <c r="C12" s="5" t="inlineStr">
        <is>
          <t>Chicken, rice, vegetables, dairy</t>
        </is>
      </c>
      <c r="D12" s="5" t="inlineStr">
        <is>
          <t>87.50</t>
        </is>
      </c>
      <c r="E12" s="5" t="inlineStr">
        <is>
          <t>Food 70%, Household 30%</t>
        </is>
      </c>
    </row>
    <row r="13" ht="22" customHeight="1">
      <c r="A13" s="5" t="inlineStr">
        <is>
          <t>2024-01-15</t>
        </is>
      </c>
      <c r="B13" s="5" t="inlineStr"/>
      <c r="C13" s="5" t="inlineStr">
        <is>
          <t>Chicken, rice, vegetables, dairy</t>
        </is>
      </c>
      <c r="D13" s="5" t="inlineStr">
        <is>
          <t>87.50</t>
        </is>
      </c>
      <c r="E13" s="5" t="inlineStr">
        <is>
          <t>Food 70%, Household 30%</t>
        </is>
      </c>
    </row>
    <row r="14" ht="22" customHeight="1">
      <c r="A14" s="5" t="inlineStr">
        <is>
          <t>2024-01-15</t>
        </is>
      </c>
      <c r="B14" s="5" t="inlineStr"/>
      <c r="C14" s="5" t="inlineStr">
        <is>
          <t>Chicken, rice, vegetables, dairy</t>
        </is>
      </c>
      <c r="D14" s="5" t="inlineStr">
        <is>
          <t>87.50</t>
        </is>
      </c>
      <c r="E14" s="5" t="inlineStr">
        <is>
          <t>Food 70%, Household 30%</t>
        </is>
      </c>
    </row>
    <row r="15" ht="22" customHeight="1">
      <c r="A15" s="5" t="inlineStr">
        <is>
          <t>2024-01-15</t>
        </is>
      </c>
      <c r="B15" s="5" t="inlineStr"/>
      <c r="C15" s="5" t="inlineStr">
        <is>
          <t>Chicken, rice, vegetables, dairy</t>
        </is>
      </c>
      <c r="D15" s="5" t="inlineStr">
        <is>
          <t>87.50</t>
        </is>
      </c>
      <c r="E15" s="5" t="inlineStr">
        <is>
          <t>Food 70%, Household 30%</t>
        </is>
      </c>
    </row>
    <row r="16" ht="22" customHeight="1">
      <c r="A16" s="5" t="inlineStr">
        <is>
          <t>2024-01-15</t>
        </is>
      </c>
      <c r="B16" s="5" t="inlineStr"/>
      <c r="C16" s="5" t="inlineStr">
        <is>
          <t>Chicken, rice, vegetables, dairy</t>
        </is>
      </c>
      <c r="D16" s="5" t="inlineStr">
        <is>
          <t>87.50</t>
        </is>
      </c>
      <c r="E16" s="5" t="inlineStr">
        <is>
          <t>Food 70%, Household 30%</t>
        </is>
      </c>
    </row>
  </sheetData>
  <dataValidations count="1">
    <dataValidation sqref="B2 B3 B4 B5 B6 B7 B8 B9 B10 B11 B12 B13 B14 B15 B16" showDropDown="0" showInputMessage="0" showErrorMessage="0" allowBlank="1" type="list">
      <formula1>"Walmart","Costco","Aldi","Trader Joe's","Whole Foods","Kroger","Local Market","Online","Other"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2C55E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>
      <c r="A1" s="4" t="inlineStr">
        <is>
          <t>Week</t>
        </is>
      </c>
      <c r="B1" s="4" t="inlineStr">
        <is>
          <t>Budget $</t>
        </is>
      </c>
      <c r="C1" s="4" t="inlineStr">
        <is>
          <t>Spent $</t>
        </is>
      </c>
      <c r="D1" s="4" t="inlineStr">
        <is>
          <t>Under/Over $</t>
        </is>
      </c>
      <c r="E1" s="4" t="inlineStr">
        <is>
          <t>Notes</t>
        </is>
      </c>
    </row>
    <row r="2" ht="22" customHeight="1">
      <c r="A2" s="5" t="inlineStr">
        <is>
          <t>Week 1 - Jan</t>
        </is>
      </c>
      <c r="B2" s="5" t="inlineStr">
        <is>
          <t>150</t>
        </is>
      </c>
      <c r="C2" s="5" t="inlineStr">
        <is>
          <t>132</t>
        </is>
      </c>
      <c r="D2" s="6">
        <f>C2-D2</f>
        <v/>
      </c>
      <c r="E2" s="5" t="inlineStr">
        <is>
          <t>Costco run this week</t>
        </is>
      </c>
    </row>
    <row r="3" ht="22" customHeight="1">
      <c r="A3" s="5" t="inlineStr">
        <is>
          <t>Week 1 - Jan</t>
        </is>
      </c>
      <c r="B3" s="5" t="inlineStr">
        <is>
          <t>150</t>
        </is>
      </c>
      <c r="C3" s="5" t="inlineStr">
        <is>
          <t>132</t>
        </is>
      </c>
      <c r="D3" s="6">
        <f>C3-D3</f>
        <v/>
      </c>
      <c r="E3" s="5" t="inlineStr">
        <is>
          <t>Costco run this week</t>
        </is>
      </c>
    </row>
    <row r="4" ht="22" customHeight="1">
      <c r="A4" s="5" t="inlineStr">
        <is>
          <t>Week 1 - Jan</t>
        </is>
      </c>
      <c r="B4" s="5" t="inlineStr">
        <is>
          <t>150</t>
        </is>
      </c>
      <c r="C4" s="5" t="inlineStr">
        <is>
          <t>132</t>
        </is>
      </c>
      <c r="D4" s="6">
        <f>C4-D4</f>
        <v/>
      </c>
      <c r="E4" s="5" t="inlineStr">
        <is>
          <t>Costco run this week</t>
        </is>
      </c>
    </row>
    <row r="5" ht="22" customHeight="1">
      <c r="A5" s="5" t="inlineStr">
        <is>
          <t>Week 1 - Jan</t>
        </is>
      </c>
      <c r="B5" s="5" t="inlineStr">
        <is>
          <t>150</t>
        </is>
      </c>
      <c r="C5" s="5" t="inlineStr">
        <is>
          <t>132</t>
        </is>
      </c>
      <c r="D5" s="6">
        <f>C5-D5</f>
        <v/>
      </c>
      <c r="E5" s="5" t="inlineStr">
        <is>
          <t>Costco run this week</t>
        </is>
      </c>
    </row>
    <row r="6" ht="22" customHeight="1">
      <c r="A6" s="5" t="inlineStr">
        <is>
          <t>Week 1 - Jan</t>
        </is>
      </c>
      <c r="B6" s="5" t="inlineStr">
        <is>
          <t>150</t>
        </is>
      </c>
      <c r="C6" s="5" t="inlineStr">
        <is>
          <t>132</t>
        </is>
      </c>
      <c r="D6" s="6">
        <f>C6-D6</f>
        <v/>
      </c>
      <c r="E6" s="5" t="inlineStr">
        <is>
          <t>Costco run this week</t>
        </is>
      </c>
    </row>
    <row r="7" ht="22" customHeight="1">
      <c r="A7" s="5" t="inlineStr">
        <is>
          <t>Week 1 - Jan</t>
        </is>
      </c>
      <c r="B7" s="5" t="inlineStr">
        <is>
          <t>150</t>
        </is>
      </c>
      <c r="C7" s="5" t="inlineStr">
        <is>
          <t>132</t>
        </is>
      </c>
      <c r="D7" s="6">
        <f>C7-D7</f>
        <v/>
      </c>
      <c r="E7" s="5" t="inlineStr">
        <is>
          <t>Costco run this week</t>
        </is>
      </c>
    </row>
    <row r="8" ht="22" customHeight="1">
      <c r="A8" s="5" t="inlineStr">
        <is>
          <t>Week 1 - Jan</t>
        </is>
      </c>
      <c r="B8" s="5" t="inlineStr">
        <is>
          <t>150</t>
        </is>
      </c>
      <c r="C8" s="5" t="inlineStr">
        <is>
          <t>132</t>
        </is>
      </c>
      <c r="D8" s="6">
        <f>C8-D8</f>
        <v/>
      </c>
      <c r="E8" s="5" t="inlineStr">
        <is>
          <t>Costco run this week</t>
        </is>
      </c>
    </row>
    <row r="9" ht="22" customHeight="1">
      <c r="A9" s="5" t="inlineStr">
        <is>
          <t>Week 1 - Jan</t>
        </is>
      </c>
      <c r="B9" s="5" t="inlineStr">
        <is>
          <t>150</t>
        </is>
      </c>
      <c r="C9" s="5" t="inlineStr">
        <is>
          <t>132</t>
        </is>
      </c>
      <c r="D9" s="6">
        <f>C9-D9</f>
        <v/>
      </c>
      <c r="E9" s="5" t="inlineStr">
        <is>
          <t>Costco run this week</t>
        </is>
      </c>
    </row>
    <row r="10" ht="22" customHeight="1">
      <c r="A10" s="5" t="inlineStr">
        <is>
          <t>Week 1 - Jan</t>
        </is>
      </c>
      <c r="B10" s="5" t="inlineStr">
        <is>
          <t>150</t>
        </is>
      </c>
      <c r="C10" s="5" t="inlineStr">
        <is>
          <t>132</t>
        </is>
      </c>
      <c r="D10" s="6">
        <f>C10-D10</f>
        <v/>
      </c>
      <c r="E10" s="5" t="inlineStr">
        <is>
          <t>Costco run this week</t>
        </is>
      </c>
    </row>
    <row r="11" ht="22" customHeight="1">
      <c r="A11" s="5" t="inlineStr">
        <is>
          <t>Week 1 - Jan</t>
        </is>
      </c>
      <c r="B11" s="5" t="inlineStr">
        <is>
          <t>150</t>
        </is>
      </c>
      <c r="C11" s="5" t="inlineStr">
        <is>
          <t>132</t>
        </is>
      </c>
      <c r="D11" s="6">
        <f>C11-D11</f>
        <v/>
      </c>
      <c r="E11" s="5" t="inlineStr">
        <is>
          <t>Costco run this week</t>
        </is>
      </c>
    </row>
    <row r="12" ht="22" customHeight="1">
      <c r="A12" s="5" t="inlineStr">
        <is>
          <t>Week 1 - Jan</t>
        </is>
      </c>
      <c r="B12" s="5" t="inlineStr">
        <is>
          <t>150</t>
        </is>
      </c>
      <c r="C12" s="5" t="inlineStr">
        <is>
          <t>132</t>
        </is>
      </c>
      <c r="D12" s="6">
        <f>C12-D12</f>
        <v/>
      </c>
      <c r="E12" s="5" t="inlineStr">
        <is>
          <t>Costco run this week</t>
        </is>
      </c>
    </row>
    <row r="13" ht="22" customHeight="1">
      <c r="A13" s="5" t="inlineStr">
        <is>
          <t>Week 1 - Jan</t>
        </is>
      </c>
      <c r="B13" s="5" t="inlineStr">
        <is>
          <t>150</t>
        </is>
      </c>
      <c r="C13" s="5" t="inlineStr">
        <is>
          <t>132</t>
        </is>
      </c>
      <c r="D13" s="6">
        <f>C13-D13</f>
        <v/>
      </c>
      <c r="E13" s="5" t="inlineStr">
        <is>
          <t>Costco run this week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A8A04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16" customWidth="1" min="5" max="5"/>
    <col width="16" customWidth="1" min="6" max="6"/>
  </cols>
  <sheetData>
    <row r="1">
      <c r="A1" s="4" t="inlineStr">
        <is>
          <t>Item</t>
        </is>
      </c>
      <c r="B1" s="4" t="inlineStr">
        <is>
          <t>Walmart $</t>
        </is>
      </c>
      <c r="C1" s="4" t="inlineStr">
        <is>
          <t>Costco $</t>
        </is>
      </c>
      <c r="D1" s="4" t="inlineStr">
        <is>
          <t>Aldi $</t>
        </is>
      </c>
      <c r="E1" s="4" t="inlineStr">
        <is>
          <t>Best Price</t>
        </is>
      </c>
      <c r="F1" s="4" t="inlineStr">
        <is>
          <t>Best Store</t>
        </is>
      </c>
    </row>
    <row r="2" ht="22" customHeight="1">
      <c r="A2" s="5" t="inlineStr">
        <is>
          <t>Chicken Breast (1kg)</t>
        </is>
      </c>
      <c r="B2" s="5" t="inlineStr">
        <is>
          <t>6.49</t>
        </is>
      </c>
      <c r="C2" s="5" t="inlineStr">
        <is>
          <t>4.89</t>
        </is>
      </c>
      <c r="D2" s="5" t="inlineStr">
        <is>
          <t>5.29</t>
        </is>
      </c>
      <c r="E2" s="6">
        <f>MIN(B2:D2)</f>
        <v/>
      </c>
      <c r="F2" s="5" t="inlineStr">
        <is>
          <t>Costco</t>
        </is>
      </c>
    </row>
    <row r="3" ht="22" customHeight="1">
      <c r="A3" s="5" t="inlineStr">
        <is>
          <t>Chicken Breast (1kg)</t>
        </is>
      </c>
      <c r="B3" s="5" t="inlineStr">
        <is>
          <t>6.49</t>
        </is>
      </c>
      <c r="C3" s="5" t="inlineStr">
        <is>
          <t>4.89</t>
        </is>
      </c>
      <c r="D3" s="5" t="inlineStr">
        <is>
          <t>5.29</t>
        </is>
      </c>
      <c r="E3" s="6">
        <f>MIN(B3:D3)</f>
        <v/>
      </c>
      <c r="F3" s="5" t="inlineStr">
        <is>
          <t>Costco</t>
        </is>
      </c>
    </row>
    <row r="4" ht="22" customHeight="1">
      <c r="A4" s="5" t="inlineStr">
        <is>
          <t>Chicken Breast (1kg)</t>
        </is>
      </c>
      <c r="B4" s="5" t="inlineStr">
        <is>
          <t>6.49</t>
        </is>
      </c>
      <c r="C4" s="5" t="inlineStr">
        <is>
          <t>4.89</t>
        </is>
      </c>
      <c r="D4" s="5" t="inlineStr">
        <is>
          <t>5.29</t>
        </is>
      </c>
      <c r="E4" s="6">
        <f>MIN(B4:D4)</f>
        <v/>
      </c>
      <c r="F4" s="5" t="inlineStr">
        <is>
          <t>Costco</t>
        </is>
      </c>
    </row>
    <row r="5" ht="22" customHeight="1">
      <c r="A5" s="5" t="inlineStr">
        <is>
          <t>Chicken Breast (1kg)</t>
        </is>
      </c>
      <c r="B5" s="5" t="inlineStr">
        <is>
          <t>6.49</t>
        </is>
      </c>
      <c r="C5" s="5" t="inlineStr">
        <is>
          <t>4.89</t>
        </is>
      </c>
      <c r="D5" s="5" t="inlineStr">
        <is>
          <t>5.29</t>
        </is>
      </c>
      <c r="E5" s="6">
        <f>MIN(B5:D5)</f>
        <v/>
      </c>
      <c r="F5" s="5" t="inlineStr">
        <is>
          <t>Costco</t>
        </is>
      </c>
    </row>
    <row r="6" ht="22" customHeight="1">
      <c r="A6" s="5" t="inlineStr">
        <is>
          <t>Chicken Breast (1kg)</t>
        </is>
      </c>
      <c r="B6" s="5" t="inlineStr">
        <is>
          <t>6.49</t>
        </is>
      </c>
      <c r="C6" s="5" t="inlineStr">
        <is>
          <t>4.89</t>
        </is>
      </c>
      <c r="D6" s="5" t="inlineStr">
        <is>
          <t>5.29</t>
        </is>
      </c>
      <c r="E6" s="6">
        <f>MIN(B6:D6)</f>
        <v/>
      </c>
      <c r="F6" s="5" t="inlineStr">
        <is>
          <t>Costco</t>
        </is>
      </c>
    </row>
    <row r="7" ht="22" customHeight="1">
      <c r="A7" s="5" t="inlineStr">
        <is>
          <t>Chicken Breast (1kg)</t>
        </is>
      </c>
      <c r="B7" s="5" t="inlineStr">
        <is>
          <t>6.49</t>
        </is>
      </c>
      <c r="C7" s="5" t="inlineStr">
        <is>
          <t>4.89</t>
        </is>
      </c>
      <c r="D7" s="5" t="inlineStr">
        <is>
          <t>5.29</t>
        </is>
      </c>
      <c r="E7" s="6">
        <f>MIN(B7:D7)</f>
        <v/>
      </c>
      <c r="F7" s="5" t="inlineStr">
        <is>
          <t>Costco</t>
        </is>
      </c>
    </row>
    <row r="8" ht="22" customHeight="1">
      <c r="A8" s="5" t="inlineStr">
        <is>
          <t>Chicken Breast (1kg)</t>
        </is>
      </c>
      <c r="B8" s="5" t="inlineStr">
        <is>
          <t>6.49</t>
        </is>
      </c>
      <c r="C8" s="5" t="inlineStr">
        <is>
          <t>4.89</t>
        </is>
      </c>
      <c r="D8" s="5" t="inlineStr">
        <is>
          <t>5.29</t>
        </is>
      </c>
      <c r="E8" s="6">
        <f>MIN(B8:D8)</f>
        <v/>
      </c>
      <c r="F8" s="5" t="inlineStr">
        <is>
          <t>Costco</t>
        </is>
      </c>
    </row>
    <row r="9" ht="22" customHeight="1">
      <c r="A9" s="5" t="inlineStr">
        <is>
          <t>Chicken Breast (1kg)</t>
        </is>
      </c>
      <c r="B9" s="5" t="inlineStr">
        <is>
          <t>6.49</t>
        </is>
      </c>
      <c r="C9" s="5" t="inlineStr">
        <is>
          <t>4.89</t>
        </is>
      </c>
      <c r="D9" s="5" t="inlineStr">
        <is>
          <t>5.29</t>
        </is>
      </c>
      <c r="E9" s="6">
        <f>MIN(B9:D9)</f>
        <v/>
      </c>
      <c r="F9" s="5" t="inlineStr">
        <is>
          <t>Costco</t>
        </is>
      </c>
    </row>
    <row r="10" ht="22" customHeight="1">
      <c r="A10" s="5" t="inlineStr">
        <is>
          <t>Chicken Breast (1kg)</t>
        </is>
      </c>
      <c r="B10" s="5" t="inlineStr">
        <is>
          <t>6.49</t>
        </is>
      </c>
      <c r="C10" s="5" t="inlineStr">
        <is>
          <t>4.89</t>
        </is>
      </c>
      <c r="D10" s="5" t="inlineStr">
        <is>
          <t>5.29</t>
        </is>
      </c>
      <c r="E10" s="6">
        <f>MIN(B10:D10)</f>
        <v/>
      </c>
      <c r="F10" s="5" t="inlineStr">
        <is>
          <t>Costco</t>
        </is>
      </c>
    </row>
    <row r="11" ht="22" customHeight="1">
      <c r="A11" s="5" t="inlineStr">
        <is>
          <t>Chicken Breast (1kg)</t>
        </is>
      </c>
      <c r="B11" s="5" t="inlineStr">
        <is>
          <t>6.49</t>
        </is>
      </c>
      <c r="C11" s="5" t="inlineStr">
        <is>
          <t>4.89</t>
        </is>
      </c>
      <c r="D11" s="5" t="inlineStr">
        <is>
          <t>5.29</t>
        </is>
      </c>
      <c r="E11" s="6">
        <f>MIN(B11:D11)</f>
        <v/>
      </c>
      <c r="F11" s="5" t="inlineStr">
        <is>
          <t>Costco</t>
        </is>
      </c>
    </row>
    <row r="12" ht="22" customHeight="1">
      <c r="A12" s="5" t="inlineStr">
        <is>
          <t>Chicken Breast (1kg)</t>
        </is>
      </c>
      <c r="B12" s="5" t="inlineStr">
        <is>
          <t>6.49</t>
        </is>
      </c>
      <c r="C12" s="5" t="inlineStr">
        <is>
          <t>4.89</t>
        </is>
      </c>
      <c r="D12" s="5" t="inlineStr">
        <is>
          <t>5.29</t>
        </is>
      </c>
      <c r="E12" s="6">
        <f>MIN(B12:D12)</f>
        <v/>
      </c>
      <c r="F12" s="5" t="inlineStr">
        <is>
          <t>Costco</t>
        </is>
      </c>
    </row>
    <row r="13" ht="22" customHeight="1">
      <c r="A13" s="5" t="inlineStr">
        <is>
          <t>Chicken Breast (1kg)</t>
        </is>
      </c>
      <c r="B13" s="5" t="inlineStr">
        <is>
          <t>6.49</t>
        </is>
      </c>
      <c r="C13" s="5" t="inlineStr">
        <is>
          <t>4.89</t>
        </is>
      </c>
      <c r="D13" s="5" t="inlineStr">
        <is>
          <t>5.29</t>
        </is>
      </c>
      <c r="E13" s="6">
        <f>MIN(B13:D13)</f>
        <v/>
      </c>
      <c r="F13" s="5" t="inlineStr">
        <is>
          <t>Costco</t>
        </is>
      </c>
    </row>
    <row r="14" ht="22" customHeight="1">
      <c r="A14" s="5" t="inlineStr">
        <is>
          <t>Chicken Breast (1kg)</t>
        </is>
      </c>
      <c r="B14" s="5" t="inlineStr">
        <is>
          <t>6.49</t>
        </is>
      </c>
      <c r="C14" s="5" t="inlineStr">
        <is>
          <t>4.89</t>
        </is>
      </c>
      <c r="D14" s="5" t="inlineStr">
        <is>
          <t>5.29</t>
        </is>
      </c>
      <c r="E14" s="6">
        <f>MIN(B14:D14)</f>
        <v/>
      </c>
      <c r="F14" s="5" t="inlineStr">
        <is>
          <t>Costco</t>
        </is>
      </c>
    </row>
    <row r="15" ht="22" customHeight="1">
      <c r="A15" s="5" t="inlineStr">
        <is>
          <t>Chicken Breast (1kg)</t>
        </is>
      </c>
      <c r="B15" s="5" t="inlineStr">
        <is>
          <t>6.49</t>
        </is>
      </c>
      <c r="C15" s="5" t="inlineStr">
        <is>
          <t>4.89</t>
        </is>
      </c>
      <c r="D15" s="5" t="inlineStr">
        <is>
          <t>5.29</t>
        </is>
      </c>
      <c r="E15" s="6">
        <f>MIN(B15:D15)</f>
        <v/>
      </c>
      <c r="F15" s="5" t="inlineStr">
        <is>
          <t>Costco</t>
        </is>
      </c>
    </row>
    <row r="16" ht="22" customHeight="1">
      <c r="A16" s="5" t="inlineStr">
        <is>
          <t>Chicken Breast (1kg)</t>
        </is>
      </c>
      <c r="B16" s="5" t="inlineStr">
        <is>
          <t>6.49</t>
        </is>
      </c>
      <c r="C16" s="5" t="inlineStr">
        <is>
          <t>4.89</t>
        </is>
      </c>
      <c r="D16" s="5" t="inlineStr">
        <is>
          <t>5.29</t>
        </is>
      </c>
      <c r="E16" s="6">
        <f>MIN(B16:D16)</f>
        <v/>
      </c>
      <c r="F16" s="5" t="inlineStr">
        <is>
          <t>Costco</t>
        </is>
      </c>
    </row>
    <row r="17" ht="22" customHeight="1">
      <c r="A17" s="5" t="inlineStr">
        <is>
          <t>Chicken Breast (1kg)</t>
        </is>
      </c>
      <c r="B17" s="5" t="inlineStr">
        <is>
          <t>6.49</t>
        </is>
      </c>
      <c r="C17" s="5" t="inlineStr">
        <is>
          <t>4.89</t>
        </is>
      </c>
      <c r="D17" s="5" t="inlineStr">
        <is>
          <t>5.29</t>
        </is>
      </c>
      <c r="E17" s="6">
        <f>MIN(B17:D17)</f>
        <v/>
      </c>
      <c r="F17" s="5" t="inlineStr">
        <is>
          <t>Costco</t>
        </is>
      </c>
    </row>
    <row r="18" ht="22" customHeight="1">
      <c r="A18" s="5" t="inlineStr">
        <is>
          <t>Chicken Breast (1kg)</t>
        </is>
      </c>
      <c r="B18" s="5" t="inlineStr">
        <is>
          <t>6.49</t>
        </is>
      </c>
      <c r="C18" s="5" t="inlineStr">
        <is>
          <t>4.89</t>
        </is>
      </c>
      <c r="D18" s="5" t="inlineStr">
        <is>
          <t>5.29</t>
        </is>
      </c>
      <c r="E18" s="6">
        <f>MIN(B18:D18)</f>
        <v/>
      </c>
      <c r="F18" s="5" t="inlineStr">
        <is>
          <t>Costco</t>
        </is>
      </c>
    </row>
    <row r="19" ht="22" customHeight="1">
      <c r="A19" s="5" t="inlineStr">
        <is>
          <t>Chicken Breast (1kg)</t>
        </is>
      </c>
      <c r="B19" s="5" t="inlineStr">
        <is>
          <t>6.49</t>
        </is>
      </c>
      <c r="C19" s="5" t="inlineStr">
        <is>
          <t>4.89</t>
        </is>
      </c>
      <c r="D19" s="5" t="inlineStr">
        <is>
          <t>5.29</t>
        </is>
      </c>
      <c r="E19" s="6">
        <f>MIN(B19:D19)</f>
        <v/>
      </c>
      <c r="F19" s="5" t="inlineStr">
        <is>
          <t>Costco</t>
        </is>
      </c>
    </row>
    <row r="20" ht="22" customHeight="1">
      <c r="A20" s="5" t="inlineStr">
        <is>
          <t>Chicken Breast (1kg)</t>
        </is>
      </c>
      <c r="B20" s="5" t="inlineStr">
        <is>
          <t>6.49</t>
        </is>
      </c>
      <c r="C20" s="5" t="inlineStr">
        <is>
          <t>4.89</t>
        </is>
      </c>
      <c r="D20" s="5" t="inlineStr">
        <is>
          <t>5.29</t>
        </is>
      </c>
      <c r="E20" s="6">
        <f>MIN(B20:D20)</f>
        <v/>
      </c>
      <c r="F20" s="5" t="inlineStr">
        <is>
          <t>Costco</t>
        </is>
      </c>
    </row>
    <row r="21" ht="22" customHeight="1">
      <c r="A21" s="5" t="inlineStr">
        <is>
          <t>Chicken Breast (1kg)</t>
        </is>
      </c>
      <c r="B21" s="5" t="inlineStr">
        <is>
          <t>6.49</t>
        </is>
      </c>
      <c r="C21" s="5" t="inlineStr">
        <is>
          <t>4.89</t>
        </is>
      </c>
      <c r="D21" s="5" t="inlineStr">
        <is>
          <t>5.29</t>
        </is>
      </c>
      <c r="E21" s="6">
        <f>MIN(B21:D21)</f>
        <v/>
      </c>
      <c r="F21" s="5" t="inlineStr">
        <is>
          <t>Costco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Grocery Summary</t>
        </is>
      </c>
    </row>
    <row r="4">
      <c r="A4" s="9" t="inlineStr">
        <is>
          <t>Monthly Budget</t>
        </is>
      </c>
      <c r="B4" s="6">
        <f>Settings!B2</f>
        <v/>
      </c>
    </row>
    <row r="5">
      <c r="A5" s="9" t="inlineStr">
        <is>
          <t>Monthly Spent</t>
        </is>
      </c>
      <c r="B5" s="6">
        <f>SUM(Shopping!D:D)</f>
        <v/>
      </c>
    </row>
    <row r="6">
      <c r="A6" s="9" t="inlineStr">
        <is>
          <t>Total Saved</t>
        </is>
      </c>
      <c r="B6" s="6">
        <f>Settings!B2-SUM(Shopping!D:D)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2026-06-16T07:19:31Z</dcterms:created>
  <dcterms:modified xsi:type="dcterms:W3CDTF">2026-06-16T07:19:31Z</dcterms:modified>
</cp:coreProperties>
</file>