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roducts" sheetId="2" state="visible" r:id="rId2"/>
    <sheet name="Dashboard" sheetId="3" state="visible" r:id="rId3"/>
    <sheet name="Orders" sheetId="4" state="visible" r:id="rId4"/>
    <sheet name="Suppliers" sheetId="5" state="visible" r:id="rId5"/>
    <sheet name="Repo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.00"/>
    <numFmt numFmtId="165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0891B2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C4A6E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C4A6E"/>
      </patternFill>
    </fill>
    <fill>
      <patternFill patternType="solid">
        <fgColor rgb="00FFF7F0"/>
      </patternFill>
    </fill>
    <fill>
      <patternFill patternType="solid">
        <fgColor rgb="000891B2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164" fontId="5" fillId="0" borderId="1" pivotButton="0" quotePrefix="0" xfId="0"/>
    <xf numFmtId="164" fontId="5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📦  INVENTORY MANAGEMENT TRACKER</t>
        </is>
      </c>
    </row>
    <row r="3"/>
    <row r="4">
      <c r="B4" s="2" t="inlineStr">
        <is>
          <t>Stock, Reorder &amp; Supplier Manager Google Sheets</t>
        </is>
      </c>
    </row>
    <row r="6">
      <c r="B6" s="3" t="inlineStr">
        <is>
          <t>STEP 1 — Fill in “Products”</t>
        </is>
      </c>
    </row>
    <row r="7" ht="28" customHeight="1">
      <c r="B7" s="4" t="inlineStr">
        <is>
          <t>All products with current stock, reorder point, and status.</t>
        </is>
      </c>
    </row>
    <row r="9">
      <c r="B9" s="3" t="inlineStr">
        <is>
          <t>STEP 2 — Fill in “Orders”</t>
        </is>
      </c>
    </row>
    <row r="10" ht="28" customHeight="1">
      <c r="B10" s="4" t="inlineStr">
        <is>
          <t>Supplier orders: quantity ordered, cost, and delivery status.</t>
        </is>
      </c>
    </row>
    <row r="12">
      <c r="B12" s="3" t="inlineStr">
        <is>
          <t>STEP 3 — Fill in “Suppliers”</t>
        </is>
      </c>
    </row>
    <row r="13" ht="28" customHeight="1">
      <c r="B13" s="4" t="inlineStr">
        <is>
          <t>Supplier directory with contact, lead time, and rating.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12" customWidth="1" min="5" max="5"/>
    <col width="14" customWidth="1" min="6" max="6"/>
    <col width="16" customWidth="1" min="7" max="7"/>
    <col width="20" customWidth="1" min="8" max="8"/>
  </cols>
  <sheetData>
    <row r="1">
      <c r="A1" s="6" t="inlineStr">
        <is>
          <t>SKU</t>
        </is>
      </c>
      <c r="B1" s="6" t="inlineStr">
        <is>
          <t>Product Name</t>
        </is>
      </c>
      <c r="C1" s="6" t="inlineStr">
        <is>
          <t>Quantity</t>
        </is>
      </c>
      <c r="D1" s="6" t="inlineStr">
        <is>
          <t>Reorder Point</t>
        </is>
      </c>
      <c r="E1" s="6" t="inlineStr">
        <is>
          <t>Cost $</t>
        </is>
      </c>
      <c r="F1" s="6" t="inlineStr">
        <is>
          <t>Value $</t>
        </is>
      </c>
      <c r="G1" s="6" t="inlineStr">
        <is>
          <t>Status</t>
        </is>
      </c>
      <c r="H1" s="6" t="inlineStr">
        <is>
          <t>Supplier</t>
        </is>
      </c>
    </row>
    <row r="2">
      <c r="A2" s="7" t="inlineStr">
        <is>
          <t>PRD-001</t>
        </is>
      </c>
      <c r="B2" s="7" t="inlineStr">
        <is>
          <t>Alex Martin</t>
        </is>
      </c>
      <c r="C2" s="7" t="n">
        <v>45</v>
      </c>
      <c r="D2" s="7" t="n">
        <v>20</v>
      </c>
      <c r="E2" s="8" t="n">
        <v>8.5</v>
      </c>
      <c r="F2" s="7">
        <f>C2*E2</f>
        <v/>
      </c>
      <c r="G2" s="7" t="inlineStr">
        <is>
          <t>In Stock</t>
        </is>
      </c>
      <c r="H2" s="7" t="inlineStr">
        <is>
          <t>BrightWave Studio</t>
        </is>
      </c>
    </row>
    <row r="3">
      <c r="A3" s="9" t="inlineStr">
        <is>
          <t>PRD-002</t>
        </is>
      </c>
      <c r="B3" s="9" t="inlineStr">
        <is>
          <t>Sara Lopez</t>
        </is>
      </c>
      <c r="C3" s="9" t="n">
        <v>31.5</v>
      </c>
      <c r="D3" s="9" t="n">
        <v>14</v>
      </c>
      <c r="E3" s="10" t="n">
        <v>5.95</v>
      </c>
      <c r="F3" s="9">
        <f>C3*E3</f>
        <v/>
      </c>
      <c r="G3" s="9" t="inlineStr">
        <is>
          <t>Low Stock</t>
        </is>
      </c>
      <c r="H3" s="9" t="inlineStr">
        <is>
          <t>GreenLeaf Co.</t>
        </is>
      </c>
    </row>
    <row r="4">
      <c r="A4" s="7" t="inlineStr">
        <is>
          <t>PRD-003</t>
        </is>
      </c>
      <c r="B4" s="7" t="inlineStr">
        <is>
          <t>Omar Haddad</t>
        </is>
      </c>
      <c r="C4" s="7" t="n">
        <v>58.5</v>
      </c>
      <c r="D4" s="7" t="n">
        <v>26</v>
      </c>
      <c r="E4" s="8" t="n">
        <v>11.05</v>
      </c>
      <c r="F4" s="7">
        <f>C4*E4</f>
        <v/>
      </c>
      <c r="G4" s="7" t="inlineStr">
        <is>
          <t>Out of Stock</t>
        </is>
      </c>
      <c r="H4" s="7" t="inlineStr">
        <is>
          <t>Nova Digital</t>
        </is>
      </c>
    </row>
    <row r="5">
      <c r="A5" s="9" t="inlineStr">
        <is>
          <t>PRD-004</t>
        </is>
      </c>
      <c r="B5" s="9" t="inlineStr">
        <is>
          <t>Emma Fischer</t>
        </is>
      </c>
      <c r="C5" s="9" t="n">
        <v>38.25</v>
      </c>
      <c r="D5" s="9" t="n">
        <v>17</v>
      </c>
      <c r="E5" s="10" t="n">
        <v>7.22</v>
      </c>
      <c r="F5" s="9">
        <f>C5*E5</f>
        <v/>
      </c>
      <c r="G5" s="9" t="inlineStr">
        <is>
          <t>Discontinued</t>
        </is>
      </c>
      <c r="H5" s="9" t="inlineStr">
        <is>
          <t>Atlas Consulting</t>
        </is>
      </c>
    </row>
    <row r="6">
      <c r="A6" s="7" t="inlineStr">
        <is>
          <t>PRD-005</t>
        </is>
      </c>
      <c r="B6" s="7" t="inlineStr">
        <is>
          <t>Liam Carter</t>
        </is>
      </c>
      <c r="C6" s="7" t="n">
        <v>51.75</v>
      </c>
      <c r="D6" s="7" t="n">
        <v>23</v>
      </c>
      <c r="E6" s="8" t="n">
        <v>9.77</v>
      </c>
      <c r="F6" s="7">
        <f>C6*E6</f>
        <v/>
      </c>
      <c r="G6" s="7" t="inlineStr">
        <is>
          <t>In Stock</t>
        </is>
      </c>
      <c r="H6" s="7" t="inlineStr">
        <is>
          <t>Pixel &amp; Co</t>
        </is>
      </c>
    </row>
    <row r="7">
      <c r="A7" s="9" t="inlineStr">
        <is>
          <t>PRD-006</t>
        </is>
      </c>
      <c r="B7" s="9" t="inlineStr">
        <is>
          <t>Nadia Rahali</t>
        </is>
      </c>
      <c r="C7" s="9" t="n">
        <v>27</v>
      </c>
      <c r="D7" s="9" t="n">
        <v>12</v>
      </c>
      <c r="E7" s="10" t="n">
        <v>5.1</v>
      </c>
      <c r="F7" s="9">
        <f>C7*E7</f>
        <v/>
      </c>
      <c r="G7" s="9" t="inlineStr">
        <is>
          <t>Low Stock</t>
        </is>
      </c>
      <c r="H7" s="9" t="inlineStr">
        <is>
          <t>Blue Harbor Ltd</t>
        </is>
      </c>
    </row>
    <row r="8">
      <c r="A8" s="7" t="inlineStr">
        <is>
          <t>PRD-007</t>
        </is>
      </c>
      <c r="B8" s="7" t="inlineStr">
        <is>
          <t>Tom Becker</t>
        </is>
      </c>
      <c r="C8" s="7" t="n">
        <v>65.25</v>
      </c>
      <c r="D8" s="7" t="n">
        <v>29</v>
      </c>
      <c r="E8" s="8" t="n">
        <v>12.32</v>
      </c>
      <c r="F8" s="7">
        <f>C8*E8</f>
        <v/>
      </c>
      <c r="G8" s="7" t="inlineStr">
        <is>
          <t>Out of Stock</t>
        </is>
      </c>
      <c r="H8" s="7" t="inlineStr">
        <is>
          <t>Sunrise Media</t>
        </is>
      </c>
    </row>
    <row r="9">
      <c r="A9" s="9" t="inlineStr">
        <is>
          <t>PRD-008</t>
        </is>
      </c>
      <c r="B9" s="9" t="inlineStr">
        <is>
          <t>Julia Romero</t>
        </is>
      </c>
      <c r="C9" s="9" t="n">
        <v>42.75</v>
      </c>
      <c r="D9" s="9" t="n">
        <v>19</v>
      </c>
      <c r="E9" s="10" t="n">
        <v>8.07</v>
      </c>
      <c r="F9" s="9">
        <f>C9*E9</f>
        <v/>
      </c>
      <c r="G9" s="9" t="inlineStr">
        <is>
          <t>Discontinued</t>
        </is>
      </c>
      <c r="H9" s="9" t="inlineStr">
        <is>
          <t>UrbanCraft</t>
        </is>
      </c>
    </row>
    <row r="10">
      <c r="A10" s="7" t="inlineStr">
        <is>
          <t>PRD-009</t>
        </is>
      </c>
      <c r="B10" s="7" t="inlineStr">
        <is>
          <t>Karim Ziani</t>
        </is>
      </c>
      <c r="C10" s="7" t="n">
        <v>56.25</v>
      </c>
      <c r="D10" s="7" t="n">
        <v>25</v>
      </c>
      <c r="E10" s="8" t="n">
        <v>10.62</v>
      </c>
      <c r="F10" s="7">
        <f>C10*E10</f>
        <v/>
      </c>
      <c r="G10" s="7" t="inlineStr">
        <is>
          <t>In Stock</t>
        </is>
      </c>
      <c r="H10" s="7" t="inlineStr">
        <is>
          <t>PrimeWorks</t>
        </is>
      </c>
    </row>
    <row r="11">
      <c r="A11" s="9" t="inlineStr">
        <is>
          <t>PRD-010</t>
        </is>
      </c>
      <c r="B11" s="9" t="inlineStr">
        <is>
          <t>Anna Kowalska</t>
        </is>
      </c>
      <c r="C11" s="9" t="n">
        <v>36</v>
      </c>
      <c r="D11" s="9" t="n">
        <v>16</v>
      </c>
      <c r="E11" s="10" t="n">
        <v>6.8</v>
      </c>
      <c r="F11" s="9">
        <f>C11*E11</f>
        <v/>
      </c>
      <c r="G11" s="9" t="inlineStr">
        <is>
          <t>Low Stock</t>
        </is>
      </c>
      <c r="H11" s="9" t="inlineStr">
        <is>
          <t>EchoLab</t>
        </is>
      </c>
    </row>
    <row r="12">
      <c r="A12" s="7" t="inlineStr">
        <is>
          <t>PRD-011</t>
        </is>
      </c>
      <c r="B12" s="7" t="inlineStr">
        <is>
          <t>David Chen</t>
        </is>
      </c>
      <c r="C12" s="7" t="n">
        <v>49.5</v>
      </c>
      <c r="D12" s="7" t="n">
        <v>22</v>
      </c>
      <c r="E12" s="8" t="n">
        <v>9.35</v>
      </c>
      <c r="F12" s="7">
        <f>C12*E12</f>
        <v/>
      </c>
      <c r="G12" s="7" t="inlineStr">
        <is>
          <t>Out of Stock</t>
        </is>
      </c>
      <c r="H12" s="7" t="inlineStr">
        <is>
          <t>Vertex Group</t>
        </is>
      </c>
    </row>
    <row r="13">
      <c r="A13" s="9" t="inlineStr">
        <is>
          <t>PRD-012</t>
        </is>
      </c>
      <c r="B13" s="9" t="inlineStr">
        <is>
          <t>Lea Moreau</t>
        </is>
      </c>
      <c r="C13" s="9" t="n">
        <v>33.75</v>
      </c>
      <c r="D13" s="9" t="n">
        <v>15</v>
      </c>
      <c r="E13" s="10" t="n">
        <v>6.38</v>
      </c>
      <c r="F13" s="9">
        <f>C13*E13</f>
        <v/>
      </c>
      <c r="G13" s="9" t="inlineStr">
        <is>
          <t>Discontinued</t>
        </is>
      </c>
      <c r="H13" s="9" t="inlineStr">
        <is>
          <t>ClearPath Inc</t>
        </is>
      </c>
    </row>
  </sheetData>
  <dataValidations count="1">
    <dataValidation sqref="G2:G500" showDropDown="0" showInputMessage="0" showErrorMessage="0" allowBlank="1" type="list">
      <formula1>"In Stock,Low Stock,Out of Stock,Discontinued"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INVENTORY MANAGEMENT TRACKER — DASHBOARD</t>
        </is>
      </c>
    </row>
    <row r="4">
      <c r="B4" s="12" t="inlineStr">
        <is>
          <t>TOTAL SKUS</t>
        </is>
      </c>
      <c r="D4" s="13" t="inlineStr">
        <is>
          <t>LOW STOCK</t>
        </is>
      </c>
      <c r="F4" s="14" t="inlineStr">
        <is>
          <t>STOCK VALUE $</t>
        </is>
      </c>
      <c r="H4" s="15" t="inlineStr">
        <is>
          <t>PENDING ORDERS</t>
        </is>
      </c>
    </row>
    <row r="5" ht="26" customHeight="1">
      <c r="B5" s="16">
        <f>COUNTA(Products!A:A)-1</f>
        <v/>
      </c>
      <c r="D5" s="17">
        <f>COUNTIF(Products!G:G,"Low Stock")</f>
        <v/>
      </c>
      <c r="F5" s="18">
        <f>SUMPRODUCT(Products!C:C,Products!E:E)</f>
        <v/>
      </c>
      <c r="H5" s="19">
        <f>COUNTIF(Orders!F:F,"Pending")</f>
        <v/>
      </c>
    </row>
    <row r="8">
      <c r="B8" s="20" t="inlineStr">
        <is>
          <t>WHAT'S INSIDE</t>
        </is>
      </c>
    </row>
    <row r="9">
      <c r="B9" s="21" t="inlineStr">
        <is>
          <t>🏷️  Products — All products with current stock, reorder point, and status.</t>
        </is>
      </c>
    </row>
    <row r="10">
      <c r="B10" s="21" t="inlineStr">
        <is>
          <t>📋  Orders — Supplier orders: quantity ordered, cost, and delivery status.</t>
        </is>
      </c>
    </row>
    <row r="11">
      <c r="B11" s="21" t="inlineStr">
        <is>
          <t>🏢  Suppliers — Supplier directory with contact, lead time, and rating.</t>
        </is>
      </c>
    </row>
    <row r="12">
      <c r="B12" s="21" t="inlineStr">
        <is>
          <t>📊  Reports — Inventory value summary and low stock report.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6" customWidth="1" min="3" max="3"/>
    <col width="14" customWidth="1" min="4" max="4"/>
    <col width="14" customWidth="1" min="5" max="5"/>
    <col width="18" customWidth="1" min="6" max="6"/>
    <col width="16" customWidth="1" min="7" max="7"/>
  </cols>
  <sheetData>
    <row r="1">
      <c r="A1" s="6" t="inlineStr">
        <is>
          <t>Order Date</t>
        </is>
      </c>
      <c r="B1" s="6" t="inlineStr">
        <is>
          <t>Supplier</t>
        </is>
      </c>
      <c r="C1" s="6" t="inlineStr">
        <is>
          <t>Product</t>
        </is>
      </c>
      <c r="D1" s="6" t="inlineStr">
        <is>
          <t>Qty Ordered</t>
        </is>
      </c>
      <c r="E1" s="6" t="inlineStr">
        <is>
          <t>Unit Cost $</t>
        </is>
      </c>
      <c r="F1" s="6" t="inlineStr">
        <is>
          <t>Status</t>
        </is>
      </c>
      <c r="G1" s="6" t="inlineStr">
        <is>
          <t>Expected Date</t>
        </is>
      </c>
    </row>
    <row r="2">
      <c r="A2" s="22" t="n">
        <v>46174</v>
      </c>
      <c r="B2" s="7" t="inlineStr">
        <is>
          <t>BrightWave Studio</t>
        </is>
      </c>
      <c r="C2" s="7" t="inlineStr">
        <is>
          <t>Blue T-Shirt Size M</t>
        </is>
      </c>
      <c r="D2" s="7" t="n">
        <v>100</v>
      </c>
      <c r="E2" s="8" t="n">
        <v>8.5</v>
      </c>
      <c r="F2" s="7" t="inlineStr">
        <is>
          <t>Pending</t>
        </is>
      </c>
      <c r="G2" s="22" t="n">
        <v>46174</v>
      </c>
    </row>
    <row r="3">
      <c r="A3" s="23" t="n">
        <v>46180</v>
      </c>
      <c r="B3" s="9" t="inlineStr">
        <is>
          <t>GreenLeaf Co.</t>
        </is>
      </c>
      <c r="C3" s="9" t="inlineStr">
        <is>
          <t>Blue T-Shirt Size M</t>
        </is>
      </c>
      <c r="D3" s="9" t="n">
        <v>70</v>
      </c>
      <c r="E3" s="10" t="n">
        <v>5.95</v>
      </c>
      <c r="F3" s="9" t="inlineStr">
        <is>
          <t>Confirmed</t>
        </is>
      </c>
      <c r="G3" s="23" t="n">
        <v>46180</v>
      </c>
    </row>
    <row r="4">
      <c r="A4" s="22" t="n">
        <v>46186</v>
      </c>
      <c r="B4" s="7" t="inlineStr">
        <is>
          <t>Nova Digital</t>
        </is>
      </c>
      <c r="C4" s="7" t="inlineStr"/>
      <c r="D4" s="7" t="n">
        <v>130</v>
      </c>
      <c r="E4" s="8" t="n">
        <v>11.05</v>
      </c>
      <c r="F4" s="7" t="inlineStr">
        <is>
          <t>Shipped</t>
        </is>
      </c>
      <c r="G4" s="22" t="n">
        <v>46186</v>
      </c>
    </row>
    <row r="5">
      <c r="A5" s="23" t="n">
        <v>46189</v>
      </c>
      <c r="B5" s="9" t="inlineStr">
        <is>
          <t>Atlas Consulting</t>
        </is>
      </c>
      <c r="C5" s="9" t="inlineStr">
        <is>
          <t>Blue T-Shirt Size M</t>
        </is>
      </c>
      <c r="D5" s="9" t="n">
        <v>85</v>
      </c>
      <c r="E5" s="10" t="n">
        <v>7.22</v>
      </c>
      <c r="F5" s="9" t="inlineStr">
        <is>
          <t>Received</t>
        </is>
      </c>
      <c r="G5" s="23" t="n">
        <v>46189</v>
      </c>
    </row>
    <row r="6">
      <c r="A6" s="22" t="n">
        <v>46195</v>
      </c>
      <c r="B6" s="7" t="inlineStr">
        <is>
          <t>Pixel &amp; Co</t>
        </is>
      </c>
      <c r="C6" s="7" t="inlineStr">
        <is>
          <t>Blue T-Shirt Size M</t>
        </is>
      </c>
      <c r="D6" s="7" t="n">
        <v>115</v>
      </c>
      <c r="E6" s="8" t="n">
        <v>9.77</v>
      </c>
      <c r="F6" s="7" t="inlineStr">
        <is>
          <t>Cancelled</t>
        </is>
      </c>
      <c r="G6" s="22" t="n">
        <v>46195</v>
      </c>
    </row>
    <row r="7">
      <c r="A7" s="23" t="n">
        <v>46201</v>
      </c>
      <c r="B7" s="9" t="inlineStr">
        <is>
          <t>Blue Harbor Ltd</t>
        </is>
      </c>
      <c r="C7" s="9" t="inlineStr"/>
      <c r="D7" s="9" t="n">
        <v>60</v>
      </c>
      <c r="E7" s="10" t="n">
        <v>5.1</v>
      </c>
      <c r="F7" s="9" t="inlineStr">
        <is>
          <t>Pending</t>
        </is>
      </c>
      <c r="G7" s="23" t="n">
        <v>46201</v>
      </c>
    </row>
    <row r="8">
      <c r="A8" s="22" t="n">
        <v>46176</v>
      </c>
      <c r="B8" s="7" t="inlineStr">
        <is>
          <t>Sunrise Media</t>
        </is>
      </c>
      <c r="C8" s="7" t="inlineStr">
        <is>
          <t>Blue T-Shirt Size M</t>
        </is>
      </c>
      <c r="D8" s="7" t="n">
        <v>145</v>
      </c>
      <c r="E8" s="8" t="n">
        <v>12.32</v>
      </c>
      <c r="F8" s="7" t="inlineStr">
        <is>
          <t>Confirmed</t>
        </is>
      </c>
      <c r="G8" s="22" t="n">
        <v>46176</v>
      </c>
    </row>
    <row r="9">
      <c r="A9" s="23" t="n">
        <v>46182</v>
      </c>
      <c r="B9" s="9" t="inlineStr">
        <is>
          <t>UrbanCraft</t>
        </is>
      </c>
      <c r="C9" s="9" t="inlineStr">
        <is>
          <t>Blue T-Shirt Size M</t>
        </is>
      </c>
      <c r="D9" s="9" t="n">
        <v>95</v>
      </c>
      <c r="E9" s="10" t="n">
        <v>8.07</v>
      </c>
      <c r="F9" s="9" t="inlineStr">
        <is>
          <t>Shipped</t>
        </is>
      </c>
      <c r="G9" s="23" t="n">
        <v>46182</v>
      </c>
    </row>
    <row r="10">
      <c r="A10" s="22" t="n">
        <v>46188</v>
      </c>
      <c r="B10" s="7" t="inlineStr">
        <is>
          <t>PrimeWorks</t>
        </is>
      </c>
      <c r="C10" s="7" t="inlineStr"/>
      <c r="D10" s="7" t="n">
        <v>125</v>
      </c>
      <c r="E10" s="8" t="n">
        <v>10.62</v>
      </c>
      <c r="F10" s="7" t="inlineStr">
        <is>
          <t>Received</t>
        </is>
      </c>
      <c r="G10" s="22" t="n">
        <v>46188</v>
      </c>
    </row>
    <row r="11">
      <c r="A11" s="23" t="n">
        <v>46191</v>
      </c>
      <c r="B11" s="9" t="inlineStr">
        <is>
          <t>EchoLab</t>
        </is>
      </c>
      <c r="C11" s="9" t="inlineStr">
        <is>
          <t>Blue T-Shirt Size M</t>
        </is>
      </c>
      <c r="D11" s="9" t="n">
        <v>80</v>
      </c>
      <c r="E11" s="10" t="n">
        <v>6.8</v>
      </c>
      <c r="F11" s="9" t="inlineStr">
        <is>
          <t>Cancelled</t>
        </is>
      </c>
      <c r="G11" s="23" t="n">
        <v>46191</v>
      </c>
    </row>
    <row r="12">
      <c r="A12" s="22" t="n">
        <v>46197</v>
      </c>
      <c r="B12" s="7" t="inlineStr">
        <is>
          <t>Vertex Group</t>
        </is>
      </c>
      <c r="C12" s="7" t="inlineStr">
        <is>
          <t>Blue T-Shirt Size M</t>
        </is>
      </c>
      <c r="D12" s="7" t="n">
        <v>110</v>
      </c>
      <c r="E12" s="8" t="n">
        <v>9.35</v>
      </c>
      <c r="F12" s="7" t="inlineStr">
        <is>
          <t>Pending</t>
        </is>
      </c>
      <c r="G12" s="22" t="n">
        <v>46197</v>
      </c>
    </row>
    <row r="13">
      <c r="A13" s="23" t="n">
        <v>46175</v>
      </c>
      <c r="B13" s="9" t="inlineStr">
        <is>
          <t>ClearPath Inc</t>
        </is>
      </c>
      <c r="C13" s="9" t="inlineStr"/>
      <c r="D13" s="9" t="n">
        <v>75</v>
      </c>
      <c r="E13" s="10" t="n">
        <v>6.38</v>
      </c>
      <c r="F13" s="9" t="inlineStr">
        <is>
          <t>Confirmed</t>
        </is>
      </c>
      <c r="G13" s="23" t="n">
        <v>46175</v>
      </c>
    </row>
  </sheetData>
  <dataValidations count="1">
    <dataValidation sqref="F2:F500" showDropDown="0" showInputMessage="0" showErrorMessage="0" allowBlank="1" type="list">
      <formula1>"Pending,Confirmed,Shipped,Received,Cancelled"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8" customWidth="1" min="3" max="3"/>
    <col width="18" customWidth="1" min="4" max="4"/>
    <col width="14" customWidth="1" min="5" max="5"/>
  </cols>
  <sheetData>
    <row r="1">
      <c r="A1" s="6" t="inlineStr">
        <is>
          <t>Supplier</t>
        </is>
      </c>
      <c r="B1" s="6" t="inlineStr">
        <is>
          <t>Contact</t>
        </is>
      </c>
      <c r="C1" s="6" t="inlineStr">
        <is>
          <t>Email</t>
        </is>
      </c>
      <c r="D1" s="6" t="inlineStr">
        <is>
          <t>Lead Time (days)</t>
        </is>
      </c>
      <c r="E1" s="6" t="inlineStr">
        <is>
          <t>Rating</t>
        </is>
      </c>
    </row>
    <row r="2">
      <c r="A2" s="7" t="inlineStr">
        <is>
          <t>BrightWave Studio</t>
        </is>
      </c>
      <c r="B2" s="7" t="inlineStr">
        <is>
          <t>Alex Martin</t>
        </is>
      </c>
      <c r="C2" s="7" t="inlineStr">
        <is>
          <t>alex@mail.com</t>
        </is>
      </c>
      <c r="D2" s="7" t="n">
        <v>14</v>
      </c>
      <c r="E2" s="7" t="inlineStr">
        <is>
          <t>⭐⭐⭐⭐⭐</t>
        </is>
      </c>
    </row>
    <row r="3">
      <c r="A3" s="9" t="inlineStr">
        <is>
          <t>GreenLeaf Co.</t>
        </is>
      </c>
      <c r="B3" s="9" t="inlineStr">
        <is>
          <t>Sara Lopez</t>
        </is>
      </c>
      <c r="C3" s="9" t="inlineStr">
        <is>
          <t>sara@mail.com</t>
        </is>
      </c>
      <c r="D3" s="9" t="n">
        <v>9.800000000000001</v>
      </c>
      <c r="E3" s="9" t="inlineStr">
        <is>
          <t>⭐⭐⭐⭐</t>
        </is>
      </c>
    </row>
    <row r="4">
      <c r="A4" s="7" t="inlineStr">
        <is>
          <t>Nova Digital</t>
        </is>
      </c>
      <c r="B4" s="7" t="inlineStr">
        <is>
          <t>Omar Haddad</t>
        </is>
      </c>
      <c r="C4" s="7" t="inlineStr">
        <is>
          <t>omar@mail.com</t>
        </is>
      </c>
      <c r="D4" s="7" t="n">
        <v>18.2</v>
      </c>
      <c r="E4" s="7" t="inlineStr">
        <is>
          <t>⭐⭐⭐</t>
        </is>
      </c>
    </row>
    <row r="5">
      <c r="A5" s="9" t="inlineStr">
        <is>
          <t>Atlas Consulting</t>
        </is>
      </c>
      <c r="B5" s="9" t="inlineStr">
        <is>
          <t>Emma Fischer</t>
        </is>
      </c>
      <c r="C5" s="9" t="inlineStr">
        <is>
          <t>emma@mail.com</t>
        </is>
      </c>
      <c r="D5" s="9" t="n">
        <v>11.9</v>
      </c>
      <c r="E5" s="9" t="inlineStr">
        <is>
          <t>⭐⭐</t>
        </is>
      </c>
    </row>
    <row r="6">
      <c r="A6" s="7" t="inlineStr">
        <is>
          <t>Pixel &amp; Co</t>
        </is>
      </c>
      <c r="B6" s="7" t="inlineStr">
        <is>
          <t>Liam Carter</t>
        </is>
      </c>
      <c r="C6" s="7" t="inlineStr">
        <is>
          <t>liam@mail.com</t>
        </is>
      </c>
      <c r="D6" s="7" t="n">
        <v>16.1</v>
      </c>
      <c r="E6" s="7" t="inlineStr">
        <is>
          <t>⭐</t>
        </is>
      </c>
    </row>
    <row r="7">
      <c r="A7" s="9" t="inlineStr">
        <is>
          <t>Blue Harbor Ltd</t>
        </is>
      </c>
      <c r="B7" s="9" t="inlineStr">
        <is>
          <t>Nadia Rahali</t>
        </is>
      </c>
      <c r="C7" s="9" t="inlineStr">
        <is>
          <t>nadia@mail.com</t>
        </is>
      </c>
      <c r="D7" s="9" t="n">
        <v>8.4</v>
      </c>
      <c r="E7" s="9" t="inlineStr">
        <is>
          <t>⭐⭐⭐⭐⭐</t>
        </is>
      </c>
    </row>
    <row r="8">
      <c r="A8" s="7" t="inlineStr">
        <is>
          <t>Sunrise Media</t>
        </is>
      </c>
      <c r="B8" s="7" t="inlineStr">
        <is>
          <t>Tom Becker</t>
        </is>
      </c>
      <c r="C8" s="7" t="inlineStr">
        <is>
          <t>tom@mail.com</t>
        </is>
      </c>
      <c r="D8" s="7" t="n">
        <v>20.3</v>
      </c>
      <c r="E8" s="7" t="inlineStr">
        <is>
          <t>⭐⭐⭐⭐</t>
        </is>
      </c>
    </row>
    <row r="9">
      <c r="A9" s="9" t="inlineStr">
        <is>
          <t>UrbanCraft</t>
        </is>
      </c>
      <c r="B9" s="9" t="inlineStr">
        <is>
          <t>Julia Romero</t>
        </is>
      </c>
      <c r="C9" s="9" t="inlineStr">
        <is>
          <t>julia@mail.com</t>
        </is>
      </c>
      <c r="D9" s="9" t="n">
        <v>13.3</v>
      </c>
      <c r="E9" s="9" t="inlineStr">
        <is>
          <t>⭐⭐⭐</t>
        </is>
      </c>
    </row>
    <row r="10">
      <c r="A10" s="7" t="inlineStr">
        <is>
          <t>PrimeWorks</t>
        </is>
      </c>
      <c r="B10" s="7" t="inlineStr">
        <is>
          <t>Karim Ziani</t>
        </is>
      </c>
      <c r="C10" s="7" t="inlineStr">
        <is>
          <t>karim@mail.com</t>
        </is>
      </c>
      <c r="D10" s="7" t="n">
        <v>17.5</v>
      </c>
      <c r="E10" s="7" t="inlineStr">
        <is>
          <t>⭐⭐</t>
        </is>
      </c>
    </row>
    <row r="11">
      <c r="A11" s="9" t="inlineStr">
        <is>
          <t>EchoLab</t>
        </is>
      </c>
      <c r="B11" s="9" t="inlineStr">
        <is>
          <t>Anna Kowalska</t>
        </is>
      </c>
      <c r="C11" s="9" t="inlineStr">
        <is>
          <t>anna@mail.com</t>
        </is>
      </c>
      <c r="D11" s="9" t="n">
        <v>11.2</v>
      </c>
      <c r="E11" s="9" t="inlineStr">
        <is>
          <t>⭐</t>
        </is>
      </c>
    </row>
    <row r="12">
      <c r="A12" s="7" t="inlineStr">
        <is>
          <t>Vertex Group</t>
        </is>
      </c>
      <c r="B12" s="7" t="inlineStr">
        <is>
          <t>David Chen</t>
        </is>
      </c>
      <c r="C12" s="7" t="inlineStr">
        <is>
          <t>david@mail.com</t>
        </is>
      </c>
      <c r="D12" s="7" t="n">
        <v>15.4</v>
      </c>
      <c r="E12" s="7" t="inlineStr">
        <is>
          <t>⭐⭐⭐⭐⭐</t>
        </is>
      </c>
    </row>
    <row r="13">
      <c r="A13" s="9" t="inlineStr">
        <is>
          <t>ClearPath Inc</t>
        </is>
      </c>
      <c r="B13" s="9" t="inlineStr">
        <is>
          <t>Lea Moreau</t>
        </is>
      </c>
      <c r="C13" s="9" t="inlineStr">
        <is>
          <t>lea@mail.com</t>
        </is>
      </c>
      <c r="D13" s="9" t="n">
        <v>10.5</v>
      </c>
      <c r="E13" s="9" t="inlineStr">
        <is>
          <t>⭐⭐⭐⭐</t>
        </is>
      </c>
    </row>
  </sheetData>
  <dataValidations count="1">
    <dataValidation sqref="E2:E500" showDropDown="0" showInputMessage="0" showErrorMessage="0" allowBlank="1" type="list">
      <formula1>"⭐⭐⭐⭐⭐,⭐⭐⭐⭐,⭐⭐⭐,⭐⭐,⭐"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REPORTS</t>
        </is>
      </c>
    </row>
    <row r="4">
      <c r="B4" s="3" t="inlineStr">
        <is>
          <t>Inventory Summary</t>
        </is>
      </c>
    </row>
    <row r="5">
      <c r="B5" s="9" t="inlineStr">
        <is>
          <t>Total SKUs</t>
        </is>
      </c>
      <c r="C5" s="25">
        <f>COUNTA(Products!A:A)-1</f>
        <v/>
      </c>
    </row>
    <row r="6">
      <c r="B6" s="7" t="inlineStr">
        <is>
          <t>Total Stock Value</t>
        </is>
      </c>
      <c r="C6" s="26">
        <f>SUMPRODUCT(Products!C:C,Products!E:E)</f>
        <v/>
      </c>
    </row>
    <row r="7">
      <c r="B7" s="9" t="inlineStr">
        <is>
          <t>Low Stock Items</t>
        </is>
      </c>
      <c r="C7" s="27">
        <f>COUNTIF(Products!G:G,"Low Stock")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