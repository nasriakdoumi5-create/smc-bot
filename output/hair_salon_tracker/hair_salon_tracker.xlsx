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Appointments" sheetId="2" state="visible" r:id="rId2"/>
    <sheet name="Dashboard" sheetId="3" state="visible" r:id="rId3"/>
    <sheet name="Clients" sheetId="4" state="visible" r:id="rId4"/>
    <sheet name="Services" sheetId="5" state="visible" r:id="rId5"/>
    <sheet name="R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€&quot;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3B0764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b val="1"/>
      <color rgb="00EC4899"/>
      <sz val="12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3B0764"/>
      </patternFill>
    </fill>
    <fill>
      <patternFill patternType="solid">
        <fgColor rgb="00FFF7F0"/>
      </patternFill>
    </fill>
    <fill>
      <patternFill patternType="solid">
        <fgColor rgb="00EC4899"/>
      </patternFill>
    </fill>
    <fill>
      <patternFill patternType="solid">
        <fgColor rgb="0086EFAC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pivotButton="0" quotePrefix="0" xfId="0"/>
    <xf numFmtId="0" fontId="2" fillId="3" borderId="1" pivotButton="0" quotePrefix="0" xfId="0"/>
    <xf numFmtId="165" fontId="2" fillId="3" borderId="1" pivotButton="0" quotePrefix="0" xfId="0"/>
    <xf numFmtId="164" fontId="2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💇  HAIR SALON TRACKER</t>
        </is>
      </c>
    </row>
    <row r="3"/>
    <row r="4">
      <c r="B4" s="2" t="inlineStr">
        <is>
          <t>Appointments, Revenue &amp; Client Manager Google Sheets</t>
        </is>
      </c>
    </row>
    <row r="6">
      <c r="B6" s="3" t="inlineStr">
        <is>
          <t>STEP 1 — Fill in “Appointments”</t>
        </is>
      </c>
    </row>
    <row r="7" ht="28" customHeight="1">
      <c r="B7" s="4" t="inlineStr">
        <is>
          <t>All appointments with service, duration, and revenue.</t>
        </is>
      </c>
    </row>
    <row r="9">
      <c r="B9" s="3" t="inlineStr">
        <is>
          <t>STEP 2 — Fill in “Clients”</t>
        </is>
      </c>
    </row>
    <row r="10" ht="28" customHeight="1">
      <c r="B10" s="4" t="inlineStr">
        <is>
          <t>Client directory with visit history and color notes.</t>
        </is>
      </c>
    </row>
    <row r="12">
      <c r="B12" s="3" t="inlineStr">
        <is>
          <t>STEP 3 — Fill in “Services”</t>
        </is>
      </c>
    </row>
    <row r="13" ht="28" customHeight="1">
      <c r="B13" s="4" t="inlineStr">
        <is>
          <t>Service menu with pricing and average duration.</t>
        </is>
      </c>
    </row>
    <row r="15">
      <c r="B15" s="3" t="inlineStr">
        <is>
          <t>STEP 4 — Fill in “Retail”</t>
        </is>
      </c>
    </row>
    <row r="16" ht="28" customHeight="1">
      <c r="B16" s="4" t="inlineStr">
        <is>
          <t>Retail product sales alongside service revenue.</t>
        </is>
      </c>
    </row>
    <row r="18">
      <c r="B18" s="3" t="inlineStr">
        <is>
          <t>Then open the Dashboard — everything calculates automatically.</t>
        </is>
      </c>
    </row>
    <row r="20">
      <c r="B20" s="5" t="inlineStr">
        <is>
          <t>TIP: Delete the sample rows once you've seen how it works.</t>
        </is>
      </c>
    </row>
    <row r="22">
      <c r="B22" s="5" t="inlineStr">
        <is>
          <t>TIP: On Google Sheets? File → Make a copy first, then edit your copy.</t>
        </is>
      </c>
    </row>
    <row r="24">
      <c r="B24" s="5" t="inlineStr">
        <is>
          <t>TIP: Columns with dropdowns keep your data clean — use them.</t>
        </is>
      </c>
    </row>
    <row r="26">
      <c r="B26" s="5" t="inlineStr">
        <is>
          <t>Need help? Message NasriTools on Etsy — I reply fast. 🧡</t>
        </is>
      </c>
    </row>
  </sheetData>
  <mergeCells count="15">
    <mergeCell ref="B4:F4"/>
    <mergeCell ref="B12:F12"/>
    <mergeCell ref="B7:F7"/>
    <mergeCell ref="B6:F6"/>
    <mergeCell ref="B24:F24"/>
    <mergeCell ref="B16:F16"/>
    <mergeCell ref="B20:F20"/>
    <mergeCell ref="B15:F15"/>
    <mergeCell ref="B2:F3"/>
    <mergeCell ref="B10:F10"/>
    <mergeCell ref="B18:F18"/>
    <mergeCell ref="B22:F22"/>
    <mergeCell ref="B26:F26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26" customWidth="1" min="4" max="4"/>
    <col width="14" customWidth="1" min="5" max="5"/>
    <col width="18" customWidth="1" min="6" max="6"/>
    <col width="12" customWidth="1" min="7" max="7"/>
    <col width="14" customWidth="1" min="8" max="8"/>
  </cols>
  <sheetData>
    <row r="1">
      <c r="A1" s="6" t="inlineStr">
        <is>
          <t>Date</t>
        </is>
      </c>
      <c r="B1" s="6" t="inlineStr">
        <is>
          <t>Time</t>
        </is>
      </c>
      <c r="C1" s="6" t="inlineStr">
        <is>
          <t>Client</t>
        </is>
      </c>
      <c r="D1" s="6" t="inlineStr">
        <is>
          <t>Service</t>
        </is>
      </c>
      <c r="E1" s="6" t="inlineStr">
        <is>
          <t>Duration (hr)</t>
        </is>
      </c>
      <c r="F1" s="6" t="inlineStr">
        <is>
          <t>Stylist</t>
        </is>
      </c>
      <c r="G1" s="6" t="inlineStr">
        <is>
          <t>Total $</t>
        </is>
      </c>
      <c r="H1" s="6" t="inlineStr">
        <is>
          <t>Rebooked?</t>
        </is>
      </c>
    </row>
    <row r="2">
      <c r="A2" s="7" t="n">
        <v>46174</v>
      </c>
      <c r="B2" s="8" t="inlineStr">
        <is>
          <t>10:00</t>
        </is>
      </c>
      <c r="C2" s="8" t="inlineStr">
        <is>
          <t>Alex Martin</t>
        </is>
      </c>
      <c r="D2" s="8" t="inlineStr">
        <is>
          <t>Cut</t>
        </is>
      </c>
      <c r="E2" s="8" t="n">
        <v>2</v>
      </c>
      <c r="F2" s="8" t="inlineStr">
        <is>
          <t>Tanya</t>
        </is>
      </c>
      <c r="G2" s="9" t="n">
        <v>185</v>
      </c>
      <c r="H2" s="8" t="inlineStr">
        <is>
          <t>Rebooked</t>
        </is>
      </c>
    </row>
    <row r="3">
      <c r="A3" s="10" t="n">
        <v>46180</v>
      </c>
      <c r="B3" s="11" t="inlineStr">
        <is>
          <t>10:01</t>
        </is>
      </c>
      <c r="C3" s="11" t="inlineStr">
        <is>
          <t>Sara Lopez</t>
        </is>
      </c>
      <c r="D3" s="11" t="inlineStr">
        <is>
          <t>Color</t>
        </is>
      </c>
      <c r="E3" s="11" t="n">
        <v>1.4</v>
      </c>
      <c r="F3" s="11" t="inlineStr">
        <is>
          <t>Tanya</t>
        </is>
      </c>
      <c r="G3" s="12" t="n">
        <v>130</v>
      </c>
      <c r="H3" s="11" t="inlineStr">
        <is>
          <t>Not Yet</t>
        </is>
      </c>
    </row>
    <row r="4">
      <c r="A4" s="7" t="n">
        <v>46186</v>
      </c>
      <c r="B4" s="8" t="inlineStr">
        <is>
          <t>10:02</t>
        </is>
      </c>
      <c r="C4" s="8" t="inlineStr">
        <is>
          <t>Omar Haddad</t>
        </is>
      </c>
      <c r="D4" s="8" t="inlineStr">
        <is>
          <t>Highlights</t>
        </is>
      </c>
      <c r="E4" s="8" t="n">
        <v>2.6</v>
      </c>
      <c r="F4" s="8" t="inlineStr"/>
      <c r="G4" s="9" t="n">
        <v>240</v>
      </c>
      <c r="H4" s="8" t="inlineStr">
        <is>
          <t>No</t>
        </is>
      </c>
    </row>
    <row r="5">
      <c r="A5" s="10" t="n">
        <v>46189</v>
      </c>
      <c r="B5" s="11" t="inlineStr">
        <is>
          <t>10:03</t>
        </is>
      </c>
      <c r="C5" s="11" t="inlineStr">
        <is>
          <t>Emma Fischer</t>
        </is>
      </c>
      <c r="D5" s="11" t="inlineStr">
        <is>
          <t>Balayage</t>
        </is>
      </c>
      <c r="E5" s="11" t="n">
        <v>1.7</v>
      </c>
      <c r="F5" s="11" t="inlineStr">
        <is>
          <t>Tanya</t>
        </is>
      </c>
      <c r="G5" s="12" t="n">
        <v>157</v>
      </c>
      <c r="H5" s="11" t="inlineStr">
        <is>
          <t>Rebooked</t>
        </is>
      </c>
    </row>
    <row r="6">
      <c r="A6" s="7" t="n">
        <v>46195</v>
      </c>
      <c r="B6" s="8" t="inlineStr">
        <is>
          <t>10:04</t>
        </is>
      </c>
      <c r="C6" s="8" t="inlineStr">
        <is>
          <t>Liam Carter</t>
        </is>
      </c>
      <c r="D6" s="8" t="inlineStr">
        <is>
          <t>Blowout</t>
        </is>
      </c>
      <c r="E6" s="8" t="n">
        <v>2.3</v>
      </c>
      <c r="F6" s="8" t="inlineStr">
        <is>
          <t>Tanya</t>
        </is>
      </c>
      <c r="G6" s="9" t="n">
        <v>213</v>
      </c>
      <c r="H6" s="8" t="inlineStr">
        <is>
          <t>Not Yet</t>
        </is>
      </c>
    </row>
    <row r="7">
      <c r="A7" s="10" t="n">
        <v>46201</v>
      </c>
      <c r="B7" s="11" t="inlineStr">
        <is>
          <t>10:05</t>
        </is>
      </c>
      <c r="C7" s="11" t="inlineStr">
        <is>
          <t>Nadia Rahali</t>
        </is>
      </c>
      <c r="D7" s="11" t="inlineStr">
        <is>
          <t>Treatment</t>
        </is>
      </c>
      <c r="E7" s="11" t="n">
        <v>1.2</v>
      </c>
      <c r="F7" s="11" t="inlineStr"/>
      <c r="G7" s="12" t="n">
        <v>111</v>
      </c>
      <c r="H7" s="11" t="inlineStr">
        <is>
          <t>No</t>
        </is>
      </c>
    </row>
    <row r="8">
      <c r="A8" s="7" t="n">
        <v>46176</v>
      </c>
      <c r="B8" s="8" t="inlineStr">
        <is>
          <t>10:06</t>
        </is>
      </c>
      <c r="C8" s="8" t="inlineStr">
        <is>
          <t>Tom Becker</t>
        </is>
      </c>
      <c r="D8" s="8" t="inlineStr">
        <is>
          <t>Full Set</t>
        </is>
      </c>
      <c r="E8" s="8" t="n">
        <v>2.9</v>
      </c>
      <c r="F8" s="8" t="inlineStr">
        <is>
          <t>Tanya</t>
        </is>
      </c>
      <c r="G8" s="9" t="n">
        <v>268</v>
      </c>
      <c r="H8" s="8" t="inlineStr">
        <is>
          <t>Rebooked</t>
        </is>
      </c>
    </row>
    <row r="9">
      <c r="A9" s="10" t="n">
        <v>46182</v>
      </c>
      <c r="B9" s="11" t="inlineStr">
        <is>
          <t>10:07</t>
        </is>
      </c>
      <c r="C9" s="11" t="inlineStr">
        <is>
          <t>Julia Romero</t>
        </is>
      </c>
      <c r="D9" s="11" t="inlineStr">
        <is>
          <t>Cut</t>
        </is>
      </c>
      <c r="E9" s="11" t="n">
        <v>1.9</v>
      </c>
      <c r="F9" s="11" t="inlineStr">
        <is>
          <t>Tanya</t>
        </is>
      </c>
      <c r="G9" s="12" t="n">
        <v>176</v>
      </c>
      <c r="H9" s="11" t="inlineStr">
        <is>
          <t>Not Yet</t>
        </is>
      </c>
    </row>
    <row r="10">
      <c r="A10" s="7" t="n">
        <v>46188</v>
      </c>
      <c r="B10" s="8" t="inlineStr">
        <is>
          <t>10:08</t>
        </is>
      </c>
      <c r="C10" s="8" t="inlineStr">
        <is>
          <t>Karim Ziani</t>
        </is>
      </c>
      <c r="D10" s="8" t="inlineStr">
        <is>
          <t>Color</t>
        </is>
      </c>
      <c r="E10" s="8" t="n">
        <v>2.5</v>
      </c>
      <c r="F10" s="8" t="inlineStr"/>
      <c r="G10" s="9" t="n">
        <v>231</v>
      </c>
      <c r="H10" s="8" t="inlineStr">
        <is>
          <t>No</t>
        </is>
      </c>
    </row>
    <row r="11">
      <c r="A11" s="10" t="n">
        <v>46191</v>
      </c>
      <c r="B11" s="11" t="inlineStr">
        <is>
          <t>10:09</t>
        </is>
      </c>
      <c r="C11" s="11" t="inlineStr">
        <is>
          <t>Anna Kowalska</t>
        </is>
      </c>
      <c r="D11" s="11" t="inlineStr">
        <is>
          <t>Highlights</t>
        </is>
      </c>
      <c r="E11" s="11" t="n">
        <v>1.6</v>
      </c>
      <c r="F11" s="11" t="inlineStr">
        <is>
          <t>Tanya</t>
        </is>
      </c>
      <c r="G11" s="12" t="n">
        <v>148</v>
      </c>
      <c r="H11" s="11" t="inlineStr">
        <is>
          <t>Rebooked</t>
        </is>
      </c>
    </row>
    <row r="12">
      <c r="A12" s="7" t="n">
        <v>46197</v>
      </c>
      <c r="B12" s="8" t="inlineStr">
        <is>
          <t>10:10</t>
        </is>
      </c>
      <c r="C12" s="8" t="inlineStr">
        <is>
          <t>David Chen</t>
        </is>
      </c>
      <c r="D12" s="8" t="inlineStr">
        <is>
          <t>Balayage</t>
        </is>
      </c>
      <c r="E12" s="8" t="n">
        <v>2.2</v>
      </c>
      <c r="F12" s="8" t="inlineStr">
        <is>
          <t>Tanya</t>
        </is>
      </c>
      <c r="G12" s="9" t="n">
        <v>204</v>
      </c>
      <c r="H12" s="8" t="inlineStr">
        <is>
          <t>Not Yet</t>
        </is>
      </c>
    </row>
    <row r="13">
      <c r="A13" s="10" t="n">
        <v>46175</v>
      </c>
      <c r="B13" s="11" t="inlineStr">
        <is>
          <t>10:11</t>
        </is>
      </c>
      <c r="C13" s="11" t="inlineStr">
        <is>
          <t>Lea Moreau</t>
        </is>
      </c>
      <c r="D13" s="11" t="inlineStr">
        <is>
          <t>Blowout</t>
        </is>
      </c>
      <c r="E13" s="11" t="n">
        <v>1.5</v>
      </c>
      <c r="F13" s="11" t="inlineStr"/>
      <c r="G13" s="12" t="n">
        <v>139</v>
      </c>
      <c r="H13" s="11" t="inlineStr">
        <is>
          <t>No</t>
        </is>
      </c>
    </row>
  </sheetData>
  <dataValidations count="2">
    <dataValidation sqref="D2:D500" showDropDown="0" showInputMessage="0" showErrorMessage="0" allowBlank="1" type="list">
      <formula1>"Cut,Color,Highlights,Balayage,Blowout,Treatment,Full Set"</formula1>
    </dataValidation>
    <dataValidation sqref="H2:H500" showDropDown="0" showInputMessage="0" showErrorMessage="0" allowBlank="1" type="list">
      <formula1>"Rebooked,Not Yet,No"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3" t="inlineStr">
        <is>
          <t>📊  HAIR SALON TRACKER — DASHBOARD</t>
        </is>
      </c>
    </row>
    <row r="4">
      <c r="B4" s="14" t="inlineStr">
        <is>
          <t>MONTHLY REVENUE</t>
        </is>
      </c>
      <c r="D4" s="15" t="inlineStr">
        <is>
          <t>ACTIVE CLIENTS</t>
        </is>
      </c>
      <c r="F4" s="16" t="inlineStr">
        <is>
          <t>AVG TICKET $</t>
        </is>
      </c>
      <c r="H4" s="17" t="inlineStr">
        <is>
          <t>REBOOKING %</t>
        </is>
      </c>
    </row>
    <row r="5" ht="26" customHeight="1">
      <c r="B5" s="18">
        <f>SUMIF(Appointments!A:A,"&gt;="&amp;DATE(YEAR(TODAY()),MONTH(TODAY()),1),Appointments!G:G)</f>
        <v/>
      </c>
      <c r="D5" s="19">
        <f>COUNTA(Clients!A:A)-1</f>
        <v/>
      </c>
      <c r="F5" s="20">
        <f>AVERAGE(Appointments!G:G)</f>
        <v/>
      </c>
      <c r="H5" s="21">
        <f>COUNTIF(Appointments!H:H,"Rebooked")/COUNTA(Appointments!A:A)</f>
        <v/>
      </c>
    </row>
    <row r="8">
      <c r="B8" s="22" t="inlineStr">
        <is>
          <t>WHAT'S INSIDE</t>
        </is>
      </c>
    </row>
    <row r="9">
      <c r="B9" s="23" t="inlineStr">
        <is>
          <t>📅  Appointments — All appointments with service, duration, and revenue.</t>
        </is>
      </c>
    </row>
    <row r="10">
      <c r="B10" s="23" t="inlineStr">
        <is>
          <t>👥  Clients — Client directory with visit history and color notes.</t>
        </is>
      </c>
    </row>
    <row r="11">
      <c r="B11" s="23" t="inlineStr">
        <is>
          <t>✂️  Services — Service menu with pricing and average duration.</t>
        </is>
      </c>
    </row>
    <row r="12">
      <c r="B12" s="23" t="inlineStr">
        <is>
          <t>🧴  Retail — Retail product sales alongside service revenue.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6" customWidth="1" min="3" max="3"/>
    <col width="14" customWidth="1" min="4" max="4"/>
    <col width="16" customWidth="1" min="5" max="5"/>
    <col width="36" customWidth="1" min="6" max="6"/>
  </cols>
  <sheetData>
    <row r="1">
      <c r="A1" s="6" t="inlineStr">
        <is>
          <t>Client Name</t>
        </is>
      </c>
      <c r="B1" s="6" t="inlineStr">
        <is>
          <t>Phone</t>
        </is>
      </c>
      <c r="C1" s="6" t="inlineStr">
        <is>
          <t>Email</t>
        </is>
      </c>
      <c r="D1" s="6" t="inlineStr">
        <is>
          <t>Total Visits</t>
        </is>
      </c>
      <c r="E1" s="6" t="inlineStr">
        <is>
          <t>Lifetime Spend</t>
        </is>
      </c>
      <c r="F1" s="6" t="inlineStr">
        <is>
          <t>Formula Notes</t>
        </is>
      </c>
    </row>
    <row r="2">
      <c r="A2" s="8" t="inlineStr">
        <is>
          <t>Alex Martin</t>
        </is>
      </c>
      <c r="B2" s="8" t="inlineStr">
        <is>
          <t>555-0123</t>
        </is>
      </c>
      <c r="C2" s="8" t="inlineStr">
        <is>
          <t>alex@mail.com</t>
        </is>
      </c>
      <c r="D2" s="9" t="n">
        <v>12</v>
      </c>
      <c r="E2" s="8" t="n">
        <v>1850</v>
      </c>
      <c r="F2" s="8" t="inlineStr"/>
    </row>
    <row r="3">
      <c r="A3" s="11" t="inlineStr">
        <is>
          <t>Sara Lopez</t>
        </is>
      </c>
      <c r="B3" s="11" t="inlineStr">
        <is>
          <t>555-0124</t>
        </is>
      </c>
      <c r="C3" s="11" t="inlineStr">
        <is>
          <t>sara@mail.com</t>
        </is>
      </c>
      <c r="D3" s="12" t="n">
        <v>8.4</v>
      </c>
      <c r="E3" s="11" t="n">
        <v>1295</v>
      </c>
      <c r="F3" s="11" t="inlineStr">
        <is>
          <t>Paid</t>
        </is>
      </c>
    </row>
    <row r="4">
      <c r="A4" s="8" t="inlineStr">
        <is>
          <t>Omar Haddad</t>
        </is>
      </c>
      <c r="B4" s="8" t="inlineStr">
        <is>
          <t>555-0125</t>
        </is>
      </c>
      <c r="C4" s="8" t="inlineStr">
        <is>
          <t>omar@mail.com</t>
        </is>
      </c>
      <c r="D4" s="9" t="n">
        <v>15.6</v>
      </c>
      <c r="E4" s="8" t="n">
        <v>2405</v>
      </c>
      <c r="F4" s="8" t="inlineStr">
        <is>
          <t>Urgent</t>
        </is>
      </c>
    </row>
    <row r="5">
      <c r="A5" s="11" t="inlineStr">
        <is>
          <t>Emma Fischer</t>
        </is>
      </c>
      <c r="B5" s="11" t="inlineStr">
        <is>
          <t>555-0126</t>
        </is>
      </c>
      <c r="C5" s="11" t="inlineStr">
        <is>
          <t>emma@mail.com</t>
        </is>
      </c>
      <c r="D5" s="12" t="n">
        <v>10.2</v>
      </c>
      <c r="E5" s="11" t="n">
        <v>1572</v>
      </c>
      <c r="F5" s="11" t="inlineStr">
        <is>
          <t>Follow up Friday</t>
        </is>
      </c>
    </row>
    <row r="6">
      <c r="A6" s="8" t="inlineStr">
        <is>
          <t>Liam Carter</t>
        </is>
      </c>
      <c r="B6" s="8" t="inlineStr">
        <is>
          <t>555-0127</t>
        </is>
      </c>
      <c r="C6" s="8" t="inlineStr">
        <is>
          <t>liam@mail.com</t>
        </is>
      </c>
      <c r="D6" s="9" t="n">
        <v>13.8</v>
      </c>
      <c r="E6" s="8" t="n">
        <v>2128</v>
      </c>
      <c r="F6" s="8" t="inlineStr"/>
    </row>
    <row r="7">
      <c r="A7" s="11" t="inlineStr">
        <is>
          <t>Nadia Rahali</t>
        </is>
      </c>
      <c r="B7" s="11" t="inlineStr">
        <is>
          <t>555-0128</t>
        </is>
      </c>
      <c r="C7" s="11" t="inlineStr">
        <is>
          <t>nadia@mail.com</t>
        </is>
      </c>
      <c r="D7" s="12" t="n">
        <v>7.2</v>
      </c>
      <c r="E7" s="11" t="n">
        <v>1110</v>
      </c>
      <c r="F7" s="11" t="inlineStr">
        <is>
          <t>Monthly</t>
        </is>
      </c>
    </row>
    <row r="8">
      <c r="A8" s="8" t="inlineStr">
        <is>
          <t>Tom Becker</t>
        </is>
      </c>
      <c r="B8" s="8" t="inlineStr">
        <is>
          <t>555-0129</t>
        </is>
      </c>
      <c r="C8" s="8" t="inlineStr">
        <is>
          <t>tom@mail.com</t>
        </is>
      </c>
      <c r="D8" s="9" t="n">
        <v>17.4</v>
      </c>
      <c r="E8" s="8" t="n">
        <v>2682</v>
      </c>
      <c r="F8" s="8" t="inlineStr">
        <is>
          <t>Confirmed</t>
        </is>
      </c>
    </row>
    <row r="9">
      <c r="A9" s="11" t="inlineStr">
        <is>
          <t>Julia Romero</t>
        </is>
      </c>
      <c r="B9" s="11" t="inlineStr">
        <is>
          <t>555-0130</t>
        </is>
      </c>
      <c r="C9" s="11" t="inlineStr">
        <is>
          <t>julia@mail.com</t>
        </is>
      </c>
      <c r="D9" s="12" t="n">
        <v>11.4</v>
      </c>
      <c r="E9" s="11" t="n">
        <v>1758</v>
      </c>
      <c r="F9" s="11" t="inlineStr"/>
    </row>
    <row r="10">
      <c r="A10" s="8" t="inlineStr">
        <is>
          <t>Karim Ziani</t>
        </is>
      </c>
      <c r="B10" s="8" t="inlineStr">
        <is>
          <t>555-0131</t>
        </is>
      </c>
      <c r="C10" s="8" t="inlineStr">
        <is>
          <t>karim@mail.com</t>
        </is>
      </c>
      <c r="D10" s="9" t="n">
        <v>15</v>
      </c>
      <c r="E10" s="8" t="n">
        <v>2312</v>
      </c>
      <c r="F10" s="8" t="inlineStr">
        <is>
          <t>Waiting reply</t>
        </is>
      </c>
    </row>
    <row r="11">
      <c r="A11" s="11" t="inlineStr">
        <is>
          <t>Anna Kowalska</t>
        </is>
      </c>
      <c r="B11" s="11" t="inlineStr">
        <is>
          <t>555-0132</t>
        </is>
      </c>
      <c r="C11" s="11" t="inlineStr">
        <is>
          <t>anna@mail.com</t>
        </is>
      </c>
      <c r="D11" s="12" t="n">
        <v>9.6</v>
      </c>
      <c r="E11" s="11" t="n">
        <v>1480</v>
      </c>
      <c r="F11" s="11" t="inlineStr">
        <is>
          <t>Done early</t>
        </is>
      </c>
    </row>
    <row r="12">
      <c r="A12" s="8" t="inlineStr">
        <is>
          <t>David Chen</t>
        </is>
      </c>
      <c r="B12" s="8" t="inlineStr">
        <is>
          <t>555-0133</t>
        </is>
      </c>
      <c r="C12" s="8" t="inlineStr">
        <is>
          <t>david@mail.com</t>
        </is>
      </c>
      <c r="D12" s="9" t="n">
        <v>13.2</v>
      </c>
      <c r="E12" s="8" t="n">
        <v>2035</v>
      </c>
      <c r="F12" s="8" t="inlineStr"/>
    </row>
    <row r="13">
      <c r="A13" s="11" t="inlineStr">
        <is>
          <t>Lea Moreau</t>
        </is>
      </c>
      <c r="B13" s="11" t="inlineStr">
        <is>
          <t>555-0134</t>
        </is>
      </c>
      <c r="C13" s="11" t="inlineStr">
        <is>
          <t>lea@mail.com</t>
        </is>
      </c>
      <c r="D13" s="12" t="n">
        <v>9</v>
      </c>
      <c r="E13" s="11" t="n">
        <v>1388</v>
      </c>
      <c r="F13" s="11" t="inlineStr">
        <is>
          <t>Recheck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6" t="inlineStr">
        <is>
          <t>Service</t>
        </is>
      </c>
      <c r="B1" s="6" t="inlineStr">
        <is>
          <t>Base Price $</t>
        </is>
      </c>
      <c r="C1" s="6" t="inlineStr">
        <is>
          <t>Duration (hr)</t>
        </is>
      </c>
      <c r="D1" s="6" t="inlineStr">
        <is>
          <t>Revenue/hr</t>
        </is>
      </c>
      <c r="E1" s="6" t="inlineStr">
        <is>
          <t>Popularity</t>
        </is>
      </c>
    </row>
    <row r="2">
      <c r="A2" s="8" t="inlineStr">
        <is>
          <t>Balayage</t>
        </is>
      </c>
      <c r="B2" s="9" t="n">
        <v>150</v>
      </c>
      <c r="C2" s="8" t="n">
        <v>3</v>
      </c>
      <c r="D2" s="8">
        <f>B2/C2</f>
        <v/>
      </c>
      <c r="E2" s="8" t="inlineStr">
        <is>
          <t>High</t>
        </is>
      </c>
    </row>
    <row r="3">
      <c r="A3" s="11" t="inlineStr">
        <is>
          <t>Balayage</t>
        </is>
      </c>
      <c r="B3" s="12" t="n">
        <v>105</v>
      </c>
      <c r="C3" s="11" t="n">
        <v>2.1</v>
      </c>
      <c r="D3" s="11">
        <f>B3/C3</f>
        <v/>
      </c>
      <c r="E3" s="11" t="inlineStr">
        <is>
          <t>Medium</t>
        </is>
      </c>
    </row>
    <row r="4">
      <c r="A4" s="8" t="inlineStr"/>
      <c r="B4" s="9" t="n">
        <v>195</v>
      </c>
      <c r="C4" s="8" t="n">
        <v>3.9</v>
      </c>
      <c r="D4" s="8">
        <f>B4/C4</f>
        <v/>
      </c>
      <c r="E4" s="8" t="inlineStr">
        <is>
          <t>Low</t>
        </is>
      </c>
    </row>
    <row r="5">
      <c r="A5" s="11" t="inlineStr">
        <is>
          <t>Balayage</t>
        </is>
      </c>
      <c r="B5" s="12" t="n">
        <v>128</v>
      </c>
      <c r="C5" s="11" t="n">
        <v>2.55</v>
      </c>
      <c r="D5" s="11">
        <f>B5/C5</f>
        <v/>
      </c>
      <c r="E5" s="11" t="inlineStr">
        <is>
          <t>High</t>
        </is>
      </c>
    </row>
    <row r="6">
      <c r="A6" s="8" t="inlineStr">
        <is>
          <t>Balayage</t>
        </is>
      </c>
      <c r="B6" s="9" t="n">
        <v>172</v>
      </c>
      <c r="C6" s="8" t="n">
        <v>3.45</v>
      </c>
      <c r="D6" s="8">
        <f>B6/C6</f>
        <v/>
      </c>
      <c r="E6" s="8" t="inlineStr">
        <is>
          <t>Medium</t>
        </is>
      </c>
    </row>
    <row r="7">
      <c r="A7" s="11" t="inlineStr"/>
      <c r="B7" s="12" t="n">
        <v>90</v>
      </c>
      <c r="C7" s="11" t="n">
        <v>1.8</v>
      </c>
      <c r="D7" s="11">
        <f>B7/C7</f>
        <v/>
      </c>
      <c r="E7" s="11" t="inlineStr">
        <is>
          <t>Low</t>
        </is>
      </c>
    </row>
    <row r="8">
      <c r="A8" s="8" t="inlineStr">
        <is>
          <t>Balayage</t>
        </is>
      </c>
      <c r="B8" s="9" t="n">
        <v>218</v>
      </c>
      <c r="C8" s="8" t="n">
        <v>4.35</v>
      </c>
      <c r="D8" s="8">
        <f>B8/C8</f>
        <v/>
      </c>
      <c r="E8" s="8" t="inlineStr">
        <is>
          <t>High</t>
        </is>
      </c>
    </row>
    <row r="9">
      <c r="A9" s="11" t="inlineStr">
        <is>
          <t>Balayage</t>
        </is>
      </c>
      <c r="B9" s="12" t="n">
        <v>142</v>
      </c>
      <c r="C9" s="11" t="n">
        <v>2.85</v>
      </c>
      <c r="D9" s="11">
        <f>B9/C9</f>
        <v/>
      </c>
      <c r="E9" s="11" t="inlineStr">
        <is>
          <t>Medium</t>
        </is>
      </c>
    </row>
    <row r="10">
      <c r="A10" s="8" t="inlineStr"/>
      <c r="B10" s="9" t="n">
        <v>188</v>
      </c>
      <c r="C10" s="8" t="n">
        <v>3.75</v>
      </c>
      <c r="D10" s="8">
        <f>B10/C10</f>
        <v/>
      </c>
      <c r="E10" s="8" t="inlineStr">
        <is>
          <t>Low</t>
        </is>
      </c>
    </row>
    <row r="11">
      <c r="A11" s="11" t="inlineStr">
        <is>
          <t>Balayage</t>
        </is>
      </c>
      <c r="B11" s="12" t="n">
        <v>120</v>
      </c>
      <c r="C11" s="11" t="n">
        <v>2.4</v>
      </c>
      <c r="D11" s="11">
        <f>B11/C11</f>
        <v/>
      </c>
      <c r="E11" s="11" t="inlineStr">
        <is>
          <t>High</t>
        </is>
      </c>
    </row>
    <row r="12">
      <c r="A12" s="8" t="inlineStr">
        <is>
          <t>Balayage</t>
        </is>
      </c>
      <c r="B12" s="9" t="n">
        <v>165</v>
      </c>
      <c r="C12" s="8" t="n">
        <v>3.3</v>
      </c>
      <c r="D12" s="8">
        <f>B12/C12</f>
        <v/>
      </c>
      <c r="E12" s="8" t="inlineStr">
        <is>
          <t>Medium</t>
        </is>
      </c>
    </row>
    <row r="13">
      <c r="A13" s="11" t="inlineStr"/>
      <c r="B13" s="12" t="n">
        <v>112</v>
      </c>
      <c r="C13" s="11" t="n">
        <v>2.25</v>
      </c>
      <c r="D13" s="11">
        <f>B13/C13</f>
        <v/>
      </c>
      <c r="E13" s="11" t="inlineStr">
        <is>
          <t>Low</t>
        </is>
      </c>
    </row>
  </sheetData>
  <dataValidations count="1">
    <dataValidation sqref="E2:E50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6" t="inlineStr">
        <is>
          <t>Date</t>
        </is>
      </c>
      <c r="B1" s="6" t="inlineStr">
        <is>
          <t>Product</t>
        </is>
      </c>
      <c r="C1" s="6" t="inlineStr">
        <is>
          <t>Brand</t>
        </is>
      </c>
      <c r="D1" s="6" t="inlineStr">
        <is>
          <t>Qty Sold</t>
        </is>
      </c>
      <c r="E1" s="6" t="inlineStr">
        <is>
          <t>Price $</t>
        </is>
      </c>
      <c r="F1" s="6" t="inlineStr">
        <is>
          <t>Cost $</t>
        </is>
      </c>
      <c r="G1" s="6" t="inlineStr">
        <is>
          <t>Profit $</t>
        </is>
      </c>
    </row>
    <row r="2">
      <c r="A2" s="7" t="n">
        <v>46174</v>
      </c>
      <c r="B2" s="8" t="inlineStr">
        <is>
          <t>Olaplex No.3 Hair Perfector</t>
        </is>
      </c>
      <c r="C2" s="8" t="inlineStr">
        <is>
          <t>BrightWave Studio</t>
        </is>
      </c>
      <c r="D2" s="8" t="n">
        <v>3</v>
      </c>
      <c r="E2" s="9" t="n">
        <v>28</v>
      </c>
      <c r="F2" s="9" t="n">
        <v>14</v>
      </c>
      <c r="G2" s="8">
        <f>(E2-F2)*D2</f>
        <v/>
      </c>
    </row>
    <row r="3">
      <c r="A3" s="10" t="n">
        <v>46180</v>
      </c>
      <c r="B3" s="11" t="inlineStr">
        <is>
          <t>Olaplex No.3 Hair Perfector</t>
        </is>
      </c>
      <c r="C3" s="11" t="inlineStr">
        <is>
          <t>GreenLeaf Co.</t>
        </is>
      </c>
      <c r="D3" s="11" t="n">
        <v>2.1</v>
      </c>
      <c r="E3" s="12" t="n">
        <v>19.6</v>
      </c>
      <c r="F3" s="12" t="n">
        <v>9.800000000000001</v>
      </c>
      <c r="G3" s="11">
        <f>(E3-F3)*D3</f>
        <v/>
      </c>
    </row>
    <row r="4">
      <c r="A4" s="7" t="n">
        <v>46186</v>
      </c>
      <c r="B4" s="8" t="inlineStr"/>
      <c r="C4" s="8" t="inlineStr">
        <is>
          <t>Nova Digital</t>
        </is>
      </c>
      <c r="D4" s="8" t="n">
        <v>3.9</v>
      </c>
      <c r="E4" s="9" t="n">
        <v>36.4</v>
      </c>
      <c r="F4" s="9" t="n">
        <v>18.2</v>
      </c>
      <c r="G4" s="8">
        <f>(E4-F4)*D4</f>
        <v/>
      </c>
    </row>
    <row r="5">
      <c r="A5" s="10" t="n">
        <v>46189</v>
      </c>
      <c r="B5" s="11" t="inlineStr">
        <is>
          <t>Olaplex No.3 Hair Perfector</t>
        </is>
      </c>
      <c r="C5" s="11" t="inlineStr">
        <is>
          <t>Atlas Consulting</t>
        </is>
      </c>
      <c r="D5" s="11" t="n">
        <v>2.55</v>
      </c>
      <c r="E5" s="12" t="n">
        <v>23.8</v>
      </c>
      <c r="F5" s="12" t="n">
        <v>11.9</v>
      </c>
      <c r="G5" s="11">
        <f>(E5-F5)*D5</f>
        <v/>
      </c>
    </row>
    <row r="6">
      <c r="A6" s="7" t="n">
        <v>46195</v>
      </c>
      <c r="B6" s="8" t="inlineStr">
        <is>
          <t>Olaplex No.3 Hair Perfector</t>
        </is>
      </c>
      <c r="C6" s="8" t="inlineStr">
        <is>
          <t>Pixel &amp; Co</t>
        </is>
      </c>
      <c r="D6" s="8" t="n">
        <v>3.45</v>
      </c>
      <c r="E6" s="9" t="n">
        <v>32.2</v>
      </c>
      <c r="F6" s="9" t="n">
        <v>16.1</v>
      </c>
      <c r="G6" s="8">
        <f>(E6-F6)*D6</f>
        <v/>
      </c>
    </row>
    <row r="7">
      <c r="A7" s="10" t="n">
        <v>46201</v>
      </c>
      <c r="B7" s="11" t="inlineStr"/>
      <c r="C7" s="11" t="inlineStr">
        <is>
          <t>Blue Harbor Ltd</t>
        </is>
      </c>
      <c r="D7" s="11" t="n">
        <v>1.8</v>
      </c>
      <c r="E7" s="12" t="n">
        <v>16.8</v>
      </c>
      <c r="F7" s="12" t="n">
        <v>8.4</v>
      </c>
      <c r="G7" s="11">
        <f>(E7-F7)*D7</f>
        <v/>
      </c>
    </row>
    <row r="8">
      <c r="A8" s="7" t="n">
        <v>46176</v>
      </c>
      <c r="B8" s="8" t="inlineStr">
        <is>
          <t>Olaplex No.3 Hair Perfector</t>
        </is>
      </c>
      <c r="C8" s="8" t="inlineStr">
        <is>
          <t>Sunrise Media</t>
        </is>
      </c>
      <c r="D8" s="8" t="n">
        <v>4.35</v>
      </c>
      <c r="E8" s="9" t="n">
        <v>40.6</v>
      </c>
      <c r="F8" s="9" t="n">
        <v>20.3</v>
      </c>
      <c r="G8" s="8">
        <f>(E8-F8)*D8</f>
        <v/>
      </c>
    </row>
    <row r="9">
      <c r="A9" s="10" t="n">
        <v>46182</v>
      </c>
      <c r="B9" s="11" t="inlineStr">
        <is>
          <t>Olaplex No.3 Hair Perfector</t>
        </is>
      </c>
      <c r="C9" s="11" t="inlineStr">
        <is>
          <t>UrbanCraft</t>
        </is>
      </c>
      <c r="D9" s="11" t="n">
        <v>2.85</v>
      </c>
      <c r="E9" s="12" t="n">
        <v>26.6</v>
      </c>
      <c r="F9" s="12" t="n">
        <v>13.3</v>
      </c>
      <c r="G9" s="11">
        <f>(E9-F9)*D9</f>
        <v/>
      </c>
    </row>
    <row r="10">
      <c r="A10" s="7" t="n">
        <v>46188</v>
      </c>
      <c r="B10" s="8" t="inlineStr"/>
      <c r="C10" s="8" t="inlineStr">
        <is>
          <t>PrimeWorks</t>
        </is>
      </c>
      <c r="D10" s="8" t="n">
        <v>3.75</v>
      </c>
      <c r="E10" s="9" t="n">
        <v>35</v>
      </c>
      <c r="F10" s="9" t="n">
        <v>17.5</v>
      </c>
      <c r="G10" s="8">
        <f>(E10-F10)*D10</f>
        <v/>
      </c>
    </row>
    <row r="11">
      <c r="A11" s="10" t="n">
        <v>46191</v>
      </c>
      <c r="B11" s="11" t="inlineStr">
        <is>
          <t>Olaplex No.3 Hair Perfector</t>
        </is>
      </c>
      <c r="C11" s="11" t="inlineStr">
        <is>
          <t>EchoLab</t>
        </is>
      </c>
      <c r="D11" s="11" t="n">
        <v>2.4</v>
      </c>
      <c r="E11" s="12" t="n">
        <v>22.4</v>
      </c>
      <c r="F11" s="12" t="n">
        <v>11.2</v>
      </c>
      <c r="G11" s="11">
        <f>(E11-F11)*D11</f>
        <v/>
      </c>
    </row>
    <row r="12">
      <c r="A12" s="7" t="n">
        <v>46197</v>
      </c>
      <c r="B12" s="8" t="inlineStr">
        <is>
          <t>Olaplex No.3 Hair Perfector</t>
        </is>
      </c>
      <c r="C12" s="8" t="inlineStr">
        <is>
          <t>Vertex Group</t>
        </is>
      </c>
      <c r="D12" s="8" t="n">
        <v>3.3</v>
      </c>
      <c r="E12" s="9" t="n">
        <v>30.8</v>
      </c>
      <c r="F12" s="9" t="n">
        <v>15.4</v>
      </c>
      <c r="G12" s="8">
        <f>(E12-F12)*D12</f>
        <v/>
      </c>
    </row>
    <row r="13">
      <c r="A13" s="10" t="n">
        <v>46175</v>
      </c>
      <c r="B13" s="11" t="inlineStr"/>
      <c r="C13" s="11" t="inlineStr">
        <is>
          <t>ClearPath Inc</t>
        </is>
      </c>
      <c r="D13" s="11" t="n">
        <v>2.25</v>
      </c>
      <c r="E13" s="12" t="n">
        <v>21</v>
      </c>
      <c r="F13" s="12" t="n">
        <v>10.5</v>
      </c>
      <c r="G13" s="11">
        <f>(E13-F13)*D13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2026-07-16T21:44:39Z</dcterms:created>
  <dcterms:modified xsi:type="dcterms:W3CDTF">2026-07-16T21:44:39Z</dcterms:modified>
</cp:coreProperties>
</file>