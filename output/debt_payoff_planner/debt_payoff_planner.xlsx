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ebts" sheetId="2" state="visible" r:id="rId2"/>
    <sheet name="Dashboard" sheetId="3" state="visible" r:id="rId3"/>
    <sheet name="Snowball Plan" sheetId="4" state="visible" r:id="rId4"/>
    <sheet name="Avalanche Plan" sheetId="5" state="visible" r:id="rId5"/>
    <sheet name="Progres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7C3AED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1B4B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1B4B"/>
      </patternFill>
    </fill>
    <fill>
      <patternFill patternType="solid">
        <fgColor rgb="00FFF7F0"/>
      </patternFill>
    </fill>
    <fill>
      <patternFill patternType="solid">
        <fgColor rgb="007C3AED"/>
      </patternFill>
    </fill>
    <fill>
      <patternFill patternType="solid">
        <fgColor rgb="0010B981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🏔️  DEBT PAYOFF PLANNER</t>
        </is>
      </c>
    </row>
    <row r="3"/>
    <row r="4">
      <c r="B4" s="2" t="inlineStr">
        <is>
          <t>Snowball &amp; Avalanche Method Google Sheets Template</t>
        </is>
      </c>
    </row>
    <row r="6">
      <c r="B6" s="3" t="inlineStr">
        <is>
          <t>STEP 1 — Fill in “Debts”</t>
        </is>
      </c>
    </row>
    <row r="7" ht="28" customHeight="1">
      <c r="B7" s="4" t="inlineStr">
        <is>
          <t>List all debts: credit cards, loans, medical bills.</t>
        </is>
      </c>
    </row>
    <row r="9">
      <c r="B9" s="3" t="inlineStr">
        <is>
          <t>STEP 2 — Fill in “Snowball Plan”</t>
        </is>
      </c>
    </row>
    <row r="10" ht="28" customHeight="1">
      <c r="B10" s="4" t="inlineStr">
        <is>
          <t>Snowball method: pay smallest debt first for quick wins.</t>
        </is>
      </c>
    </row>
    <row r="12">
      <c r="B12" s="3" t="inlineStr">
        <is>
          <t>STEP 3 — Fill in “Avalanche Plan”</t>
        </is>
      </c>
    </row>
    <row r="13" ht="28" customHeight="1">
      <c r="B13" s="4" t="inlineStr">
        <is>
          <t>Avalanche method: pay highest interest first to save money.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>
      <c r="A1" s="6" t="inlineStr">
        <is>
          <t>Debt Name</t>
        </is>
      </c>
      <c r="B1" s="6" t="inlineStr">
        <is>
          <t>Lender</t>
        </is>
      </c>
      <c r="C1" s="6" t="inlineStr">
        <is>
          <t>Balance $</t>
        </is>
      </c>
      <c r="D1" s="6" t="inlineStr">
        <is>
          <t>Min Payment</t>
        </is>
      </c>
      <c r="E1" s="6" t="inlineStr">
        <is>
          <t>Interest %</t>
        </is>
      </c>
      <c r="F1" s="6" t="inlineStr">
        <is>
          <t>Type</t>
        </is>
      </c>
    </row>
    <row r="2">
      <c r="A2" s="7" t="inlineStr">
        <is>
          <t>Alex Martin</t>
        </is>
      </c>
      <c r="B2" s="7" t="inlineStr">
        <is>
          <t>Chase Bank</t>
        </is>
      </c>
      <c r="C2" s="8" t="n">
        <v>4500</v>
      </c>
      <c r="D2" s="7" t="n">
        <v>120</v>
      </c>
      <c r="E2" s="7" t="n">
        <v>22.99</v>
      </c>
      <c r="F2" s="7" t="inlineStr">
        <is>
          <t>Credit Card</t>
        </is>
      </c>
    </row>
    <row r="3">
      <c r="A3" s="9" t="inlineStr">
        <is>
          <t>Sara Lopez</t>
        </is>
      </c>
      <c r="B3" s="9" t="inlineStr">
        <is>
          <t>Chase Bank</t>
        </is>
      </c>
      <c r="C3" s="10" t="n">
        <v>3150</v>
      </c>
      <c r="D3" s="9" t="n">
        <v>84</v>
      </c>
      <c r="E3" s="9" t="n">
        <v>16.09</v>
      </c>
      <c r="F3" s="9" t="inlineStr">
        <is>
          <t>Student Loan</t>
        </is>
      </c>
    </row>
    <row r="4">
      <c r="A4" s="7" t="inlineStr">
        <is>
          <t>Omar Haddad</t>
        </is>
      </c>
      <c r="B4" s="7" t="inlineStr"/>
      <c r="C4" s="8" t="n">
        <v>5850</v>
      </c>
      <c r="D4" s="7" t="n">
        <v>156</v>
      </c>
      <c r="E4" s="7" t="n">
        <v>29.89</v>
      </c>
      <c r="F4" s="7" t="inlineStr">
        <is>
          <t>Car Loan</t>
        </is>
      </c>
    </row>
    <row r="5">
      <c r="A5" s="9" t="inlineStr">
        <is>
          <t>Emma Fischer</t>
        </is>
      </c>
      <c r="B5" s="9" t="inlineStr">
        <is>
          <t>Chase Bank</t>
        </is>
      </c>
      <c r="C5" s="10" t="n">
        <v>3825</v>
      </c>
      <c r="D5" s="9" t="n">
        <v>102</v>
      </c>
      <c r="E5" s="9" t="n">
        <v>19.54</v>
      </c>
      <c r="F5" s="9" t="inlineStr">
        <is>
          <t>Medical</t>
        </is>
      </c>
    </row>
    <row r="6">
      <c r="A6" s="7" t="inlineStr">
        <is>
          <t>Liam Carter</t>
        </is>
      </c>
      <c r="B6" s="7" t="inlineStr">
        <is>
          <t>Chase Bank</t>
        </is>
      </c>
      <c r="C6" s="8" t="n">
        <v>5175</v>
      </c>
      <c r="D6" s="7" t="n">
        <v>138</v>
      </c>
      <c r="E6" s="7" t="n">
        <v>26.44</v>
      </c>
      <c r="F6" s="7" t="inlineStr">
        <is>
          <t>Personal Loan</t>
        </is>
      </c>
    </row>
    <row r="7">
      <c r="A7" s="9" t="inlineStr">
        <is>
          <t>Nadia Rahali</t>
        </is>
      </c>
      <c r="B7" s="9" t="inlineStr"/>
      <c r="C7" s="10" t="n">
        <v>2700</v>
      </c>
      <c r="D7" s="9" t="n">
        <v>72</v>
      </c>
      <c r="E7" s="9" t="n">
        <v>13.79</v>
      </c>
      <c r="F7" s="9" t="inlineStr">
        <is>
          <t>Mortgage</t>
        </is>
      </c>
    </row>
    <row r="8">
      <c r="A8" s="7" t="inlineStr">
        <is>
          <t>Tom Becker</t>
        </is>
      </c>
      <c r="B8" s="7" t="inlineStr">
        <is>
          <t>Chase Bank</t>
        </is>
      </c>
      <c r="C8" s="8" t="n">
        <v>6525</v>
      </c>
      <c r="D8" s="7" t="n">
        <v>174</v>
      </c>
      <c r="E8" s="7" t="n">
        <v>33.34</v>
      </c>
      <c r="F8" s="7" t="inlineStr">
        <is>
          <t>Other</t>
        </is>
      </c>
    </row>
    <row r="9">
      <c r="A9" s="9" t="inlineStr">
        <is>
          <t>Julia Romero</t>
        </is>
      </c>
      <c r="B9" s="9" t="inlineStr">
        <is>
          <t>Chase Bank</t>
        </is>
      </c>
      <c r="C9" s="10" t="n">
        <v>4275</v>
      </c>
      <c r="D9" s="9" t="n">
        <v>114</v>
      </c>
      <c r="E9" s="9" t="n">
        <v>21.84</v>
      </c>
      <c r="F9" s="9" t="inlineStr">
        <is>
          <t>Credit Card</t>
        </is>
      </c>
    </row>
    <row r="10">
      <c r="A10" s="7" t="inlineStr">
        <is>
          <t>Karim Ziani</t>
        </is>
      </c>
      <c r="B10" s="7" t="inlineStr"/>
      <c r="C10" s="8" t="n">
        <v>5625</v>
      </c>
      <c r="D10" s="7" t="n">
        <v>150</v>
      </c>
      <c r="E10" s="7" t="n">
        <v>28.74</v>
      </c>
      <c r="F10" s="7" t="inlineStr">
        <is>
          <t>Student Loan</t>
        </is>
      </c>
    </row>
    <row r="11">
      <c r="A11" s="9" t="inlineStr">
        <is>
          <t>Anna Kowalska</t>
        </is>
      </c>
      <c r="B11" s="9" t="inlineStr">
        <is>
          <t>Chase Bank</t>
        </is>
      </c>
      <c r="C11" s="10" t="n">
        <v>3600</v>
      </c>
      <c r="D11" s="9" t="n">
        <v>96</v>
      </c>
      <c r="E11" s="9" t="n">
        <v>18.39</v>
      </c>
      <c r="F11" s="9" t="inlineStr">
        <is>
          <t>Car Loan</t>
        </is>
      </c>
    </row>
    <row r="12">
      <c r="A12" s="7" t="inlineStr">
        <is>
          <t>David Chen</t>
        </is>
      </c>
      <c r="B12" s="7" t="inlineStr">
        <is>
          <t>Chase Bank</t>
        </is>
      </c>
      <c r="C12" s="8" t="n">
        <v>4950</v>
      </c>
      <c r="D12" s="7" t="n">
        <v>132</v>
      </c>
      <c r="E12" s="7" t="n">
        <v>25.29</v>
      </c>
      <c r="F12" s="7" t="inlineStr">
        <is>
          <t>Medical</t>
        </is>
      </c>
    </row>
    <row r="13">
      <c r="A13" s="9" t="inlineStr">
        <is>
          <t>Lea Moreau</t>
        </is>
      </c>
      <c r="B13" s="9" t="inlineStr"/>
      <c r="C13" s="10" t="n">
        <v>3375</v>
      </c>
      <c r="D13" s="9" t="n">
        <v>90</v>
      </c>
      <c r="E13" s="9" t="n">
        <v>17.24</v>
      </c>
      <c r="F13" s="9" t="inlineStr">
        <is>
          <t>Personal Loan</t>
        </is>
      </c>
    </row>
  </sheetData>
  <dataValidations count="1">
    <dataValidation sqref="F2:F500" showDropDown="0" showInputMessage="0" showErrorMessage="0" allowBlank="1" type="list">
      <formula1>"Credit Card,Student Loan,Car Loan,Medical,Personal Loan,Mortgage,Other"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DEBT PAYOFF PLANNER — DASHBOARD</t>
        </is>
      </c>
    </row>
    <row r="4">
      <c r="B4" s="12" t="inlineStr">
        <is>
          <t>TOTAL DEBT</t>
        </is>
      </c>
      <c r="D4" s="13" t="inlineStr">
        <is>
          <t>MIN PAYMENTS</t>
        </is>
      </c>
      <c r="F4" s="14" t="inlineStr">
        <is>
          <t>DEBTS COUNT</t>
        </is>
      </c>
      <c r="H4" s="15" t="inlineStr">
        <is>
          <t>HIGHEST RATE</t>
        </is>
      </c>
    </row>
    <row r="5" ht="26" customHeight="1">
      <c r="B5" s="16">
        <f>SUM(Debts!C:C)</f>
        <v/>
      </c>
      <c r="D5" s="17">
        <f>SUM(Debts!D:D)</f>
        <v/>
      </c>
      <c r="F5" s="18">
        <f>COUNTA(Debts!A:A)-1</f>
        <v/>
      </c>
      <c r="H5" s="19">
        <f>MAX(Debts!E:E)</f>
        <v/>
      </c>
    </row>
    <row r="8">
      <c r="B8" s="20" t="inlineStr">
        <is>
          <t>WHAT'S INSIDE</t>
        </is>
      </c>
    </row>
    <row r="9">
      <c r="B9" s="21" t="inlineStr">
        <is>
          <t>💳  Debts — List all debts: credit cards, loans, medical bills.</t>
        </is>
      </c>
    </row>
    <row r="10">
      <c r="B10" s="21" t="inlineStr">
        <is>
          <t>❄️  Snowball Plan — Snowball method: pay smallest debt first for quick wins.</t>
        </is>
      </c>
    </row>
    <row r="11">
      <c r="B11" s="21" t="inlineStr">
        <is>
          <t>🏔️  Avalanche Plan — Avalanche method: pay highest interest first to save money.</t>
        </is>
      </c>
    </row>
    <row r="12">
      <c r="B12" s="21" t="inlineStr">
        <is>
          <t>📊  Progress — Debt payoff progress and total interest saved.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Priority</t>
        </is>
      </c>
      <c r="B1" s="6" t="inlineStr">
        <is>
          <t>Debt Name</t>
        </is>
      </c>
      <c r="C1" s="6" t="inlineStr">
        <is>
          <t>Balance $</t>
        </is>
      </c>
      <c r="D1" s="6" t="inlineStr">
        <is>
          <t>Extra Payment</t>
        </is>
      </c>
      <c r="E1" s="6" t="inlineStr">
        <is>
          <t>Payoff Month</t>
        </is>
      </c>
      <c r="F1" s="6" t="inlineStr">
        <is>
          <t>Status</t>
        </is>
      </c>
    </row>
    <row r="2">
      <c r="A2" s="7" t="n">
        <v>1</v>
      </c>
      <c r="B2" s="7" t="inlineStr">
        <is>
          <t>Alex Martin</t>
        </is>
      </c>
      <c r="C2" s="8" t="n">
        <v>850</v>
      </c>
      <c r="D2" s="7" t="n">
        <v>200</v>
      </c>
      <c r="E2" s="7" t="inlineStr">
        <is>
          <t>Month 4</t>
        </is>
      </c>
      <c r="F2" s="7" t="inlineStr">
        <is>
          <t>In Progress</t>
        </is>
      </c>
    </row>
    <row r="3">
      <c r="A3" s="9" t="n">
        <v>0.7</v>
      </c>
      <c r="B3" s="9" t="inlineStr">
        <is>
          <t>Sara Lopez</t>
        </is>
      </c>
      <c r="C3" s="10" t="n">
        <v>595</v>
      </c>
      <c r="D3" s="9" t="n">
        <v>140</v>
      </c>
      <c r="E3" s="9" t="inlineStr">
        <is>
          <t>Month 5</t>
        </is>
      </c>
      <c r="F3" s="9" t="inlineStr">
        <is>
          <t>Paid Off</t>
        </is>
      </c>
    </row>
    <row r="4">
      <c r="A4" s="7" t="n">
        <v>1.3</v>
      </c>
      <c r="B4" s="7" t="inlineStr">
        <is>
          <t>Omar Haddad</t>
        </is>
      </c>
      <c r="C4" s="8" t="n">
        <v>1105</v>
      </c>
      <c r="D4" s="7" t="n">
        <v>260</v>
      </c>
      <c r="E4" s="7" t="inlineStr">
        <is>
          <t>Month 6</t>
        </is>
      </c>
      <c r="F4" s="7" t="inlineStr">
        <is>
          <t>Not Started</t>
        </is>
      </c>
    </row>
    <row r="5">
      <c r="A5" s="9" t="n">
        <v>0.85</v>
      </c>
      <c r="B5" s="9" t="inlineStr">
        <is>
          <t>Emma Fischer</t>
        </is>
      </c>
      <c r="C5" s="10" t="n">
        <v>722</v>
      </c>
      <c r="D5" s="9" t="n">
        <v>170</v>
      </c>
      <c r="E5" s="9" t="inlineStr">
        <is>
          <t>Month 7</t>
        </is>
      </c>
      <c r="F5" s="9" t="inlineStr">
        <is>
          <t>In Progress</t>
        </is>
      </c>
    </row>
    <row r="6">
      <c r="A6" s="7" t="n">
        <v>1.15</v>
      </c>
      <c r="B6" s="7" t="inlineStr">
        <is>
          <t>Liam Carter</t>
        </is>
      </c>
      <c r="C6" s="8" t="n">
        <v>977</v>
      </c>
      <c r="D6" s="7" t="n">
        <v>230</v>
      </c>
      <c r="E6" s="7" t="inlineStr">
        <is>
          <t>Month 8</t>
        </is>
      </c>
      <c r="F6" s="7" t="inlineStr">
        <is>
          <t>Paid Off</t>
        </is>
      </c>
    </row>
    <row r="7">
      <c r="A7" s="9" t="n">
        <v>0.6</v>
      </c>
      <c r="B7" s="9" t="inlineStr">
        <is>
          <t>Nadia Rahali</t>
        </is>
      </c>
      <c r="C7" s="10" t="n">
        <v>510</v>
      </c>
      <c r="D7" s="9" t="n">
        <v>120</v>
      </c>
      <c r="E7" s="9" t="inlineStr">
        <is>
          <t>Month 9</t>
        </is>
      </c>
      <c r="F7" s="9" t="inlineStr">
        <is>
          <t>Not Started</t>
        </is>
      </c>
    </row>
    <row r="8">
      <c r="A8" s="7" t="n">
        <v>1.45</v>
      </c>
      <c r="B8" s="7" t="inlineStr">
        <is>
          <t>Tom Becker</t>
        </is>
      </c>
      <c r="C8" s="8" t="n">
        <v>1232</v>
      </c>
      <c r="D8" s="7" t="n">
        <v>290</v>
      </c>
      <c r="E8" s="7" t="inlineStr">
        <is>
          <t>Month 10</t>
        </is>
      </c>
      <c r="F8" s="7" t="inlineStr">
        <is>
          <t>In Progress</t>
        </is>
      </c>
    </row>
    <row r="9">
      <c r="A9" s="9" t="n">
        <v>0.95</v>
      </c>
      <c r="B9" s="9" t="inlineStr">
        <is>
          <t>Julia Romero</t>
        </is>
      </c>
      <c r="C9" s="10" t="n">
        <v>808</v>
      </c>
      <c r="D9" s="9" t="n">
        <v>190</v>
      </c>
      <c r="E9" s="9" t="inlineStr">
        <is>
          <t>Month 11</t>
        </is>
      </c>
      <c r="F9" s="9" t="inlineStr">
        <is>
          <t>Paid Off</t>
        </is>
      </c>
    </row>
    <row r="10">
      <c r="A10" s="7" t="n">
        <v>1.25</v>
      </c>
      <c r="B10" s="7" t="inlineStr">
        <is>
          <t>Karim Ziani</t>
        </is>
      </c>
      <c r="C10" s="8" t="n">
        <v>1062</v>
      </c>
      <c r="D10" s="7" t="n">
        <v>250</v>
      </c>
      <c r="E10" s="7" t="inlineStr">
        <is>
          <t>Month 12</t>
        </is>
      </c>
      <c r="F10" s="7" t="inlineStr">
        <is>
          <t>Not Started</t>
        </is>
      </c>
    </row>
    <row r="11">
      <c r="A11" s="9" t="n">
        <v>0.8</v>
      </c>
      <c r="B11" s="9" t="inlineStr">
        <is>
          <t>Anna Kowalska</t>
        </is>
      </c>
      <c r="C11" s="10" t="n">
        <v>680</v>
      </c>
      <c r="D11" s="9" t="n">
        <v>160</v>
      </c>
      <c r="E11" s="9" t="inlineStr">
        <is>
          <t>Month 13</t>
        </is>
      </c>
      <c r="F11" s="9" t="inlineStr">
        <is>
          <t>In Progress</t>
        </is>
      </c>
    </row>
    <row r="12">
      <c r="A12" s="7" t="n">
        <v>1.1</v>
      </c>
      <c r="B12" s="7" t="inlineStr">
        <is>
          <t>David Chen</t>
        </is>
      </c>
      <c r="C12" s="8" t="n">
        <v>935</v>
      </c>
      <c r="D12" s="7" t="n">
        <v>220</v>
      </c>
      <c r="E12" s="7" t="inlineStr">
        <is>
          <t>Month 14</t>
        </is>
      </c>
      <c r="F12" s="7" t="inlineStr">
        <is>
          <t>Paid Off</t>
        </is>
      </c>
    </row>
    <row r="13">
      <c r="A13" s="9" t="n">
        <v>0.75</v>
      </c>
      <c r="B13" s="9" t="inlineStr">
        <is>
          <t>Lea Moreau</t>
        </is>
      </c>
      <c r="C13" s="10" t="n">
        <v>638</v>
      </c>
      <c r="D13" s="9" t="n">
        <v>150</v>
      </c>
      <c r="E13" s="9" t="inlineStr">
        <is>
          <t>Month 15</t>
        </is>
      </c>
      <c r="F13" s="9" t="inlineStr">
        <is>
          <t>Not Started</t>
        </is>
      </c>
    </row>
  </sheetData>
  <dataValidations count="1">
    <dataValidation sqref="F2:F500" showDropDown="0" showInputMessage="0" showErrorMessage="0" allowBlank="1" type="list">
      <formula1>"In Progress,Paid Off,Not Started"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Priority</t>
        </is>
      </c>
      <c r="B1" s="6" t="inlineStr">
        <is>
          <t>Debt Name</t>
        </is>
      </c>
      <c r="C1" s="6" t="inlineStr">
        <is>
          <t>Balance $</t>
        </is>
      </c>
      <c r="D1" s="6" t="inlineStr">
        <is>
          <t>Interest %</t>
        </is>
      </c>
      <c r="E1" s="6" t="inlineStr">
        <is>
          <t>Extra Payment</t>
        </is>
      </c>
      <c r="F1" s="6" t="inlineStr">
        <is>
          <t>Status</t>
        </is>
      </c>
    </row>
    <row r="2">
      <c r="A2" s="7" t="n">
        <v>1</v>
      </c>
      <c r="B2" s="7" t="inlineStr">
        <is>
          <t>Alex Martin</t>
        </is>
      </c>
      <c r="C2" s="8" t="n">
        <v>4500</v>
      </c>
      <c r="D2" s="7" t="n">
        <v>22.99</v>
      </c>
      <c r="E2" s="7" t="n">
        <v>200</v>
      </c>
      <c r="F2" s="7" t="inlineStr">
        <is>
          <t>In Progress</t>
        </is>
      </c>
    </row>
    <row r="3">
      <c r="A3" s="9" t="n">
        <v>0.7</v>
      </c>
      <c r="B3" s="9" t="inlineStr">
        <is>
          <t>Sara Lopez</t>
        </is>
      </c>
      <c r="C3" s="10" t="n">
        <v>3150</v>
      </c>
      <c r="D3" s="9" t="n">
        <v>16.09</v>
      </c>
      <c r="E3" s="9" t="n">
        <v>140</v>
      </c>
      <c r="F3" s="9" t="inlineStr">
        <is>
          <t>Paid Off</t>
        </is>
      </c>
    </row>
    <row r="4">
      <c r="A4" s="7" t="n">
        <v>1.3</v>
      </c>
      <c r="B4" s="7" t="inlineStr">
        <is>
          <t>Omar Haddad</t>
        </is>
      </c>
      <c r="C4" s="8" t="n">
        <v>5850</v>
      </c>
      <c r="D4" s="7" t="n">
        <v>29.89</v>
      </c>
      <c r="E4" s="7" t="n">
        <v>260</v>
      </c>
      <c r="F4" s="7" t="inlineStr">
        <is>
          <t>Not Started</t>
        </is>
      </c>
    </row>
    <row r="5">
      <c r="A5" s="9" t="n">
        <v>0.85</v>
      </c>
      <c r="B5" s="9" t="inlineStr">
        <is>
          <t>Emma Fischer</t>
        </is>
      </c>
      <c r="C5" s="10" t="n">
        <v>3825</v>
      </c>
      <c r="D5" s="9" t="n">
        <v>19.54</v>
      </c>
      <c r="E5" s="9" t="n">
        <v>170</v>
      </c>
      <c r="F5" s="9" t="inlineStr">
        <is>
          <t>In Progress</t>
        </is>
      </c>
    </row>
    <row r="6">
      <c r="A6" s="7" t="n">
        <v>1.15</v>
      </c>
      <c r="B6" s="7" t="inlineStr">
        <is>
          <t>Liam Carter</t>
        </is>
      </c>
      <c r="C6" s="8" t="n">
        <v>5175</v>
      </c>
      <c r="D6" s="7" t="n">
        <v>26.44</v>
      </c>
      <c r="E6" s="7" t="n">
        <v>230</v>
      </c>
      <c r="F6" s="7" t="inlineStr">
        <is>
          <t>Paid Off</t>
        </is>
      </c>
    </row>
    <row r="7">
      <c r="A7" s="9" t="n">
        <v>0.6</v>
      </c>
      <c r="B7" s="9" t="inlineStr">
        <is>
          <t>Nadia Rahali</t>
        </is>
      </c>
      <c r="C7" s="10" t="n">
        <v>2700</v>
      </c>
      <c r="D7" s="9" t="n">
        <v>13.79</v>
      </c>
      <c r="E7" s="9" t="n">
        <v>120</v>
      </c>
      <c r="F7" s="9" t="inlineStr">
        <is>
          <t>Not Started</t>
        </is>
      </c>
    </row>
    <row r="8">
      <c r="A8" s="7" t="n">
        <v>1.45</v>
      </c>
      <c r="B8" s="7" t="inlineStr">
        <is>
          <t>Tom Becker</t>
        </is>
      </c>
      <c r="C8" s="8" t="n">
        <v>6525</v>
      </c>
      <c r="D8" s="7" t="n">
        <v>33.34</v>
      </c>
      <c r="E8" s="7" t="n">
        <v>290</v>
      </c>
      <c r="F8" s="7" t="inlineStr">
        <is>
          <t>In Progress</t>
        </is>
      </c>
    </row>
    <row r="9">
      <c r="A9" s="9" t="n">
        <v>0.95</v>
      </c>
      <c r="B9" s="9" t="inlineStr">
        <is>
          <t>Julia Romero</t>
        </is>
      </c>
      <c r="C9" s="10" t="n">
        <v>4275</v>
      </c>
      <c r="D9" s="9" t="n">
        <v>21.84</v>
      </c>
      <c r="E9" s="9" t="n">
        <v>190</v>
      </c>
      <c r="F9" s="9" t="inlineStr">
        <is>
          <t>Paid Off</t>
        </is>
      </c>
    </row>
    <row r="10">
      <c r="A10" s="7" t="n">
        <v>1.25</v>
      </c>
      <c r="B10" s="7" t="inlineStr">
        <is>
          <t>Karim Ziani</t>
        </is>
      </c>
      <c r="C10" s="8" t="n">
        <v>5625</v>
      </c>
      <c r="D10" s="7" t="n">
        <v>28.74</v>
      </c>
      <c r="E10" s="7" t="n">
        <v>250</v>
      </c>
      <c r="F10" s="7" t="inlineStr">
        <is>
          <t>Not Started</t>
        </is>
      </c>
    </row>
    <row r="11">
      <c r="A11" s="9" t="n">
        <v>0.8</v>
      </c>
      <c r="B11" s="9" t="inlineStr">
        <is>
          <t>Anna Kowalska</t>
        </is>
      </c>
      <c r="C11" s="10" t="n">
        <v>3600</v>
      </c>
      <c r="D11" s="9" t="n">
        <v>18.39</v>
      </c>
      <c r="E11" s="9" t="n">
        <v>160</v>
      </c>
      <c r="F11" s="9" t="inlineStr">
        <is>
          <t>In Progress</t>
        </is>
      </c>
    </row>
    <row r="12">
      <c r="A12" s="7" t="n">
        <v>1.1</v>
      </c>
      <c r="B12" s="7" t="inlineStr">
        <is>
          <t>David Chen</t>
        </is>
      </c>
      <c r="C12" s="8" t="n">
        <v>4950</v>
      </c>
      <c r="D12" s="7" t="n">
        <v>25.29</v>
      </c>
      <c r="E12" s="7" t="n">
        <v>220</v>
      </c>
      <c r="F12" s="7" t="inlineStr">
        <is>
          <t>Paid Off</t>
        </is>
      </c>
    </row>
    <row r="13">
      <c r="A13" s="9" t="n">
        <v>0.75</v>
      </c>
      <c r="B13" s="9" t="inlineStr">
        <is>
          <t>Lea Moreau</t>
        </is>
      </c>
      <c r="C13" s="10" t="n">
        <v>3375</v>
      </c>
      <c r="D13" s="9" t="n">
        <v>17.24</v>
      </c>
      <c r="E13" s="9" t="n">
        <v>150</v>
      </c>
      <c r="F13" s="9" t="inlineStr">
        <is>
          <t>Not Started</t>
        </is>
      </c>
    </row>
  </sheetData>
  <dataValidations count="1">
    <dataValidation sqref="F2:F500" showDropDown="0" showInputMessage="0" showErrorMessage="0" allowBlank="1" type="list">
      <formula1>"In Progress,Paid Off,Not Started"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PROGRESS</t>
        </is>
      </c>
    </row>
    <row r="4">
      <c r="B4" s="3" t="inlineStr">
        <is>
          <t>Payoff Summary</t>
        </is>
      </c>
    </row>
    <row r="5">
      <c r="B5" s="9" t="inlineStr">
        <is>
          <t>Starting Debt</t>
        </is>
      </c>
      <c r="C5" s="23">
        <f>SUM(Debts!C:C)</f>
        <v/>
      </c>
    </row>
    <row r="6">
      <c r="B6" s="7" t="inlineStr">
        <is>
          <t>Paid Off So Far</t>
        </is>
      </c>
      <c r="C6" s="24">
        <f>SUMIF(Snowball!F:F,"Paid Off",Debts!C:C)</f>
        <v/>
      </c>
    </row>
    <row r="7">
      <c r="B7" s="9" t="inlineStr">
        <is>
          <t>Remaining</t>
        </is>
      </c>
      <c r="C7" s="23">
        <f>SUM(Debts!C:C)-SUMIF(Snowball!F:F,"Paid Off",Debts!C:C)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