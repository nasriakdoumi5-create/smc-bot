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lients" sheetId="2" state="visible" r:id="rId2"/>
    <sheet name="Dashboard" sheetId="3" state="visible" r:id="rId3"/>
    <sheet name="Pipeline" sheetId="4" state="visible" r:id="rId4"/>
    <sheet name="Revenue" sheetId="5" state="visible" r:id="rId5"/>
    <sheet name="Follow-u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0C4A6E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b val="1"/>
      <color rgb="000891B2"/>
      <sz val="12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0C4A6E"/>
      </patternFill>
    </fill>
    <fill>
      <patternFill patternType="solid">
        <fgColor rgb="00FFF7F0"/>
      </patternFill>
    </fill>
    <fill>
      <patternFill patternType="solid">
        <fgColor rgb="000891B2"/>
      </patternFill>
    </fill>
    <fill>
      <patternFill patternType="solid">
        <fgColor rgb="00059669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5" fontId="2" fillId="3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🤝  FREELANCE CLIENT CRM</t>
        </is>
      </c>
    </row>
    <row r="3"/>
    <row r="4">
      <c r="B4" s="2" t="inlineStr">
        <is>
          <t>Client Management &amp; Pipeline Tracker Google Sheets</t>
        </is>
      </c>
    </row>
    <row r="6">
      <c r="B6" s="3" t="inlineStr">
        <is>
          <t>STEP 1 — Fill in “Clients”</t>
        </is>
      </c>
    </row>
    <row r="7" ht="28" customHeight="1">
      <c r="B7" s="4" t="inlineStr">
        <is>
          <t>Active client directory with contact info, services, and value.</t>
        </is>
      </c>
    </row>
    <row r="9">
      <c r="B9" s="3" t="inlineStr">
        <is>
          <t>STEP 2 — Fill in “Pipeline”</t>
        </is>
      </c>
    </row>
    <row r="10" ht="28" customHeight="1">
      <c r="B10" s="4" t="inlineStr">
        <is>
          <t>Sales pipeline: all leads from inquiry to won/lost.</t>
        </is>
      </c>
    </row>
    <row r="12">
      <c r="B12" s="3" t="inlineStr">
        <is>
          <t>STEP 3 — Fill in “Revenue”</t>
        </is>
      </c>
    </row>
    <row r="13" ht="28" customHeight="1">
      <c r="B13" s="4" t="inlineStr">
        <is>
          <t>Monthly revenue per client with invoice status.</t>
        </is>
      </c>
    </row>
    <row r="15">
      <c r="B15" s="3" t="inlineStr">
        <is>
          <t>STEP 4 — Fill in “Follow-ups”</t>
        </is>
      </c>
    </row>
    <row r="16" ht="28" customHeight="1">
      <c r="B16" s="4" t="inlineStr">
        <is>
          <t>Scheduled follow-up actions for leads and clients.</t>
        </is>
      </c>
    </row>
    <row r="18">
      <c r="B18" s="3" t="inlineStr">
        <is>
          <t>Then open the Dashboard — everything calculates automatically.</t>
        </is>
      </c>
    </row>
    <row r="20">
      <c r="B20" s="5" t="inlineStr">
        <is>
          <t>TIP: Delete the sample rows once you've seen how it works.</t>
        </is>
      </c>
    </row>
    <row r="22">
      <c r="B22" s="5" t="inlineStr">
        <is>
          <t>TIP: On Google Sheets? File → Make a copy first, then edit your copy.</t>
        </is>
      </c>
    </row>
    <row r="24">
      <c r="B24" s="5" t="inlineStr">
        <is>
          <t>TIP: Columns with dropdowns keep your data clean — use them.</t>
        </is>
      </c>
    </row>
    <row r="26">
      <c r="B26" s="5" t="inlineStr">
        <is>
          <t>Need help? Message NasriTools on Etsy — I reply fast. 🧡</t>
        </is>
      </c>
    </row>
  </sheetData>
  <mergeCells count="15">
    <mergeCell ref="B4:F4"/>
    <mergeCell ref="B12:F12"/>
    <mergeCell ref="B7:F7"/>
    <mergeCell ref="B6:F6"/>
    <mergeCell ref="B24:F24"/>
    <mergeCell ref="B16:F16"/>
    <mergeCell ref="B20:F20"/>
    <mergeCell ref="B15:F15"/>
    <mergeCell ref="B2:F3"/>
    <mergeCell ref="B10:F10"/>
    <mergeCell ref="B18:F18"/>
    <mergeCell ref="B22:F22"/>
    <mergeCell ref="B26:F26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24" customWidth="1" min="4" max="4"/>
    <col width="16" customWidth="1" min="5" max="5"/>
    <col width="16" customWidth="1" min="6" max="6"/>
  </cols>
  <sheetData>
    <row r="1">
      <c r="A1" s="6" t="inlineStr">
        <is>
          <t>Client Name</t>
        </is>
      </c>
      <c r="B1" s="6" t="inlineStr">
        <is>
          <t>Contact</t>
        </is>
      </c>
      <c r="C1" s="6" t="inlineStr">
        <is>
          <t>Email</t>
        </is>
      </c>
      <c r="D1" s="6" t="inlineStr">
        <is>
          <t>Service</t>
        </is>
      </c>
      <c r="E1" s="6" t="inlineStr">
        <is>
          <t>Status</t>
        </is>
      </c>
      <c r="F1" s="6" t="inlineStr">
        <is>
          <t>Monthly Value</t>
        </is>
      </c>
    </row>
    <row r="2">
      <c r="A2" s="7" t="inlineStr">
        <is>
          <t>Alex Martin</t>
        </is>
      </c>
      <c r="B2" s="7" t="inlineStr">
        <is>
          <t>Alex Martin</t>
        </is>
      </c>
      <c r="C2" s="7" t="inlineStr">
        <is>
          <t>alex@mail.com</t>
        </is>
      </c>
      <c r="D2" s="7" t="inlineStr">
        <is>
          <t>Web Design</t>
        </is>
      </c>
      <c r="E2" s="7" t="inlineStr">
        <is>
          <t>Lead</t>
        </is>
      </c>
      <c r="F2" s="8" t="n">
        <v>1500</v>
      </c>
    </row>
    <row r="3">
      <c r="A3" s="9" t="inlineStr">
        <is>
          <t>Sara Lopez</t>
        </is>
      </c>
      <c r="B3" s="9" t="inlineStr">
        <is>
          <t>Sara Lopez</t>
        </is>
      </c>
      <c r="C3" s="9" t="inlineStr">
        <is>
          <t>sara@mail.com</t>
        </is>
      </c>
      <c r="D3" s="9" t="inlineStr">
        <is>
          <t>Copywriting</t>
        </is>
      </c>
      <c r="E3" s="9" t="inlineStr">
        <is>
          <t>Active</t>
        </is>
      </c>
      <c r="F3" s="10" t="n">
        <v>1050</v>
      </c>
    </row>
    <row r="4">
      <c r="A4" s="7" t="inlineStr">
        <is>
          <t>Omar Haddad</t>
        </is>
      </c>
      <c r="B4" s="7" t="inlineStr">
        <is>
          <t>Omar Haddad</t>
        </is>
      </c>
      <c r="C4" s="7" t="inlineStr">
        <is>
          <t>omar@mail.com</t>
        </is>
      </c>
      <c r="D4" s="7" t="inlineStr">
        <is>
          <t>SEO</t>
        </is>
      </c>
      <c r="E4" s="7" t="inlineStr">
        <is>
          <t>Paused</t>
        </is>
      </c>
      <c r="F4" s="8" t="n">
        <v>1950</v>
      </c>
    </row>
    <row r="5">
      <c r="A5" s="9" t="inlineStr">
        <is>
          <t>Emma Fischer</t>
        </is>
      </c>
      <c r="B5" s="9" t="inlineStr">
        <is>
          <t>Emma Fischer</t>
        </is>
      </c>
      <c r="C5" s="9" t="inlineStr">
        <is>
          <t>emma@mail.com</t>
        </is>
      </c>
      <c r="D5" s="9" t="inlineStr">
        <is>
          <t>Social Media</t>
        </is>
      </c>
      <c r="E5" s="9" t="inlineStr">
        <is>
          <t>Completed</t>
        </is>
      </c>
      <c r="F5" s="10" t="n">
        <v>1275</v>
      </c>
    </row>
    <row r="6">
      <c r="A6" s="7" t="inlineStr">
        <is>
          <t>Liam Carter</t>
        </is>
      </c>
      <c r="B6" s="7" t="inlineStr">
        <is>
          <t>Liam Carter</t>
        </is>
      </c>
      <c r="C6" s="7" t="inlineStr">
        <is>
          <t>liam@mail.com</t>
        </is>
      </c>
      <c r="D6" s="7" t="inlineStr">
        <is>
          <t>Video</t>
        </is>
      </c>
      <c r="E6" s="7" t="inlineStr">
        <is>
          <t>Lost</t>
        </is>
      </c>
      <c r="F6" s="8" t="n">
        <v>1725</v>
      </c>
    </row>
    <row r="7">
      <c r="A7" s="9" t="inlineStr">
        <is>
          <t>Nadia Rahali</t>
        </is>
      </c>
      <c r="B7" s="9" t="inlineStr">
        <is>
          <t>Nadia Rahali</t>
        </is>
      </c>
      <c r="C7" s="9" t="inlineStr">
        <is>
          <t>nadia@mail.com</t>
        </is>
      </c>
      <c r="D7" s="9" t="inlineStr">
        <is>
          <t>Consulting</t>
        </is>
      </c>
      <c r="E7" s="9" t="inlineStr">
        <is>
          <t>Lead</t>
        </is>
      </c>
      <c r="F7" s="10" t="n">
        <v>900</v>
      </c>
    </row>
    <row r="8">
      <c r="A8" s="7" t="inlineStr">
        <is>
          <t>Tom Becker</t>
        </is>
      </c>
      <c r="B8" s="7" t="inlineStr">
        <is>
          <t>Tom Becker</t>
        </is>
      </c>
      <c r="C8" s="7" t="inlineStr">
        <is>
          <t>tom@mail.com</t>
        </is>
      </c>
      <c r="D8" s="7" t="inlineStr">
        <is>
          <t>Other</t>
        </is>
      </c>
      <c r="E8" s="7" t="inlineStr">
        <is>
          <t>Active</t>
        </is>
      </c>
      <c r="F8" s="8" t="n">
        <v>2175</v>
      </c>
    </row>
    <row r="9">
      <c r="A9" s="9" t="inlineStr">
        <is>
          <t>Julia Romero</t>
        </is>
      </c>
      <c r="B9" s="9" t="inlineStr">
        <is>
          <t>Julia Romero</t>
        </is>
      </c>
      <c r="C9" s="9" t="inlineStr">
        <is>
          <t>julia@mail.com</t>
        </is>
      </c>
      <c r="D9" s="9" t="inlineStr">
        <is>
          <t>Web Design</t>
        </is>
      </c>
      <c r="E9" s="9" t="inlineStr">
        <is>
          <t>Paused</t>
        </is>
      </c>
      <c r="F9" s="10" t="n">
        <v>1425</v>
      </c>
    </row>
    <row r="10">
      <c r="A10" s="7" t="inlineStr">
        <is>
          <t>Karim Ziani</t>
        </is>
      </c>
      <c r="B10" s="7" t="inlineStr">
        <is>
          <t>Karim Ziani</t>
        </is>
      </c>
      <c r="C10" s="7" t="inlineStr">
        <is>
          <t>karim@mail.com</t>
        </is>
      </c>
      <c r="D10" s="7" t="inlineStr">
        <is>
          <t>Copywriting</t>
        </is>
      </c>
      <c r="E10" s="7" t="inlineStr">
        <is>
          <t>Completed</t>
        </is>
      </c>
      <c r="F10" s="8" t="n">
        <v>1875</v>
      </c>
    </row>
    <row r="11">
      <c r="A11" s="9" t="inlineStr">
        <is>
          <t>Anna Kowalska</t>
        </is>
      </c>
      <c r="B11" s="9" t="inlineStr">
        <is>
          <t>Anna Kowalska</t>
        </is>
      </c>
      <c r="C11" s="9" t="inlineStr">
        <is>
          <t>anna@mail.com</t>
        </is>
      </c>
      <c r="D11" s="9" t="inlineStr">
        <is>
          <t>SEO</t>
        </is>
      </c>
      <c r="E11" s="9" t="inlineStr">
        <is>
          <t>Lost</t>
        </is>
      </c>
      <c r="F11" s="10" t="n">
        <v>1200</v>
      </c>
    </row>
    <row r="12">
      <c r="A12" s="7" t="inlineStr">
        <is>
          <t>David Chen</t>
        </is>
      </c>
      <c r="B12" s="7" t="inlineStr">
        <is>
          <t>David Chen</t>
        </is>
      </c>
      <c r="C12" s="7" t="inlineStr">
        <is>
          <t>david@mail.com</t>
        </is>
      </c>
      <c r="D12" s="7" t="inlineStr">
        <is>
          <t>Social Media</t>
        </is>
      </c>
      <c r="E12" s="7" t="inlineStr">
        <is>
          <t>Lead</t>
        </is>
      </c>
      <c r="F12" s="8" t="n">
        <v>1650</v>
      </c>
    </row>
    <row r="13">
      <c r="A13" s="9" t="inlineStr">
        <is>
          <t>Lea Moreau</t>
        </is>
      </c>
      <c r="B13" s="9" t="inlineStr">
        <is>
          <t>Lea Moreau</t>
        </is>
      </c>
      <c r="C13" s="9" t="inlineStr">
        <is>
          <t>lea@mail.com</t>
        </is>
      </c>
      <c r="D13" s="9" t="inlineStr">
        <is>
          <t>Video</t>
        </is>
      </c>
      <c r="E13" s="9" t="inlineStr">
        <is>
          <t>Active</t>
        </is>
      </c>
      <c r="F13" s="10" t="n">
        <v>1125</v>
      </c>
    </row>
  </sheetData>
  <dataValidations count="2">
    <dataValidation sqref="D2:D500" showDropDown="0" showInputMessage="0" showErrorMessage="0" allowBlank="1" type="list">
      <formula1>"Web Design,Copywriting,SEO,Social Media,Video,Consulting,Other"</formula1>
    </dataValidation>
    <dataValidation sqref="E2:E500" showDropDown="0" showInputMessage="0" showErrorMessage="0" allowBlank="1" type="list">
      <formula1>"Lead,Active,Paused,Completed,Lost"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1" t="inlineStr">
        <is>
          <t>📊  FREELANCE CLIENT CRM — DASHBOARD</t>
        </is>
      </c>
    </row>
    <row r="4">
      <c r="B4" s="12" t="inlineStr">
        <is>
          <t>ACTIVE CLIENTS</t>
        </is>
      </c>
      <c r="D4" s="13" t="inlineStr">
        <is>
          <t>PIPELINE VALUE</t>
        </is>
      </c>
      <c r="F4" s="14" t="inlineStr">
        <is>
          <t>WON THIS MONTH</t>
        </is>
      </c>
      <c r="H4" s="15" t="inlineStr">
        <is>
          <t>TOTAL REVENUE</t>
        </is>
      </c>
    </row>
    <row r="5" ht="26" customHeight="1">
      <c r="B5" s="16">
        <f>COUNTIF(Clients!E:E,"Active")</f>
        <v/>
      </c>
      <c r="D5" s="17">
        <f>SUMIF(Pipeline!E:E,"Proposal Sent",Pipeline!D:D)</f>
        <v/>
      </c>
      <c r="F5" s="18">
        <f>SUMIF(Pipeline!E:E,"Won",Pipeline!D:D)</f>
        <v/>
      </c>
      <c r="H5" s="19">
        <f>SUM(Revenue!C:C)</f>
        <v/>
      </c>
    </row>
    <row r="8">
      <c r="B8" s="20" t="inlineStr">
        <is>
          <t>WHAT'S INSIDE</t>
        </is>
      </c>
    </row>
    <row r="9">
      <c r="B9" s="21" t="inlineStr">
        <is>
          <t>👥  Clients — Active client directory with contact info, services, and value.</t>
        </is>
      </c>
    </row>
    <row r="10">
      <c r="B10" s="21" t="inlineStr">
        <is>
          <t>🔄  Pipeline — Sales pipeline: all leads from inquiry to won/lost.</t>
        </is>
      </c>
    </row>
    <row r="11">
      <c r="B11" s="21" t="inlineStr">
        <is>
          <t>💰  Revenue — Monthly revenue per client with invoice status.</t>
        </is>
      </c>
    </row>
    <row r="12">
      <c r="B12" s="21" t="inlineStr">
        <is>
          <t>📧  Follow-ups — Scheduled follow-up actions for leads and clients.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14" customWidth="1" min="4" max="4"/>
    <col width="22" customWidth="1" min="5" max="5"/>
    <col width="14" customWidth="1" min="6" max="6"/>
  </cols>
  <sheetData>
    <row r="1">
      <c r="A1" s="6" t="inlineStr">
        <is>
          <t>Company</t>
        </is>
      </c>
      <c r="B1" s="6" t="inlineStr">
        <is>
          <t>Contact</t>
        </is>
      </c>
      <c r="C1" s="6" t="inlineStr">
        <is>
          <t>Service</t>
        </is>
      </c>
      <c r="D1" s="6" t="inlineStr">
        <is>
          <t>Value $</t>
        </is>
      </c>
      <c r="E1" s="6" t="inlineStr">
        <is>
          <t>Stage</t>
        </is>
      </c>
      <c r="F1" s="6" t="inlineStr">
        <is>
          <t>Follow-up</t>
        </is>
      </c>
    </row>
    <row r="2">
      <c r="A2" s="7" t="inlineStr">
        <is>
          <t>BrightWave Studio</t>
        </is>
      </c>
      <c r="B2" s="7" t="inlineStr">
        <is>
          <t>Alex Martin</t>
        </is>
      </c>
      <c r="C2" s="7" t="inlineStr">
        <is>
          <t>Website Redesign</t>
        </is>
      </c>
      <c r="D2" s="8" t="n">
        <v>3000</v>
      </c>
      <c r="E2" s="7" t="inlineStr">
        <is>
          <t>New Lead</t>
        </is>
      </c>
      <c r="F2" s="22" t="n">
        <v>46174</v>
      </c>
    </row>
    <row r="3">
      <c r="A3" s="9" t="inlineStr">
        <is>
          <t>GreenLeaf Co.</t>
        </is>
      </c>
      <c r="B3" s="9" t="inlineStr">
        <is>
          <t>Sara Lopez</t>
        </is>
      </c>
      <c r="C3" s="9" t="inlineStr">
        <is>
          <t>Website Redesign</t>
        </is>
      </c>
      <c r="D3" s="10" t="n">
        <v>2100</v>
      </c>
      <c r="E3" s="9" t="inlineStr">
        <is>
          <t>Contacted</t>
        </is>
      </c>
      <c r="F3" s="23" t="n">
        <v>46180</v>
      </c>
    </row>
    <row r="4">
      <c r="A4" s="7" t="inlineStr">
        <is>
          <t>Nova Digital</t>
        </is>
      </c>
      <c r="B4" s="7" t="inlineStr">
        <is>
          <t>Omar Haddad</t>
        </is>
      </c>
      <c r="C4" s="7" t="inlineStr"/>
      <c r="D4" s="8" t="n">
        <v>3900</v>
      </c>
      <c r="E4" s="7" t="inlineStr">
        <is>
          <t>Discovery Call</t>
        </is>
      </c>
      <c r="F4" s="22" t="n">
        <v>46186</v>
      </c>
    </row>
    <row r="5">
      <c r="A5" s="9" t="inlineStr">
        <is>
          <t>Atlas Consulting</t>
        </is>
      </c>
      <c r="B5" s="9" t="inlineStr">
        <is>
          <t>Emma Fischer</t>
        </is>
      </c>
      <c r="C5" s="9" t="inlineStr">
        <is>
          <t>Website Redesign</t>
        </is>
      </c>
      <c r="D5" s="10" t="n">
        <v>2550</v>
      </c>
      <c r="E5" s="9" t="inlineStr">
        <is>
          <t>Proposal Sent</t>
        </is>
      </c>
      <c r="F5" s="23" t="n">
        <v>46189</v>
      </c>
    </row>
    <row r="6">
      <c r="A6" s="7" t="inlineStr">
        <is>
          <t>Pixel &amp; Co</t>
        </is>
      </c>
      <c r="B6" s="7" t="inlineStr">
        <is>
          <t>Liam Carter</t>
        </is>
      </c>
      <c r="C6" s="7" t="inlineStr">
        <is>
          <t>Website Redesign</t>
        </is>
      </c>
      <c r="D6" s="8" t="n">
        <v>3450</v>
      </c>
      <c r="E6" s="7" t="inlineStr">
        <is>
          <t>Negotiating</t>
        </is>
      </c>
      <c r="F6" s="22" t="n">
        <v>46195</v>
      </c>
    </row>
    <row r="7">
      <c r="A7" s="9" t="inlineStr">
        <is>
          <t>Blue Harbor Ltd</t>
        </is>
      </c>
      <c r="B7" s="9" t="inlineStr">
        <is>
          <t>Nadia Rahali</t>
        </is>
      </c>
      <c r="C7" s="9" t="inlineStr"/>
      <c r="D7" s="10" t="n">
        <v>1800</v>
      </c>
      <c r="E7" s="9" t="inlineStr">
        <is>
          <t>Won</t>
        </is>
      </c>
      <c r="F7" s="23" t="n">
        <v>46201</v>
      </c>
    </row>
    <row r="8">
      <c r="A8" s="7" t="inlineStr">
        <is>
          <t>Sunrise Media</t>
        </is>
      </c>
      <c r="B8" s="7" t="inlineStr">
        <is>
          <t>Tom Becker</t>
        </is>
      </c>
      <c r="C8" s="7" t="inlineStr">
        <is>
          <t>Website Redesign</t>
        </is>
      </c>
      <c r="D8" s="8" t="n">
        <v>4350</v>
      </c>
      <c r="E8" s="7" t="inlineStr">
        <is>
          <t>Lost</t>
        </is>
      </c>
      <c r="F8" s="22" t="n">
        <v>46176</v>
      </c>
    </row>
    <row r="9">
      <c r="A9" s="9" t="inlineStr">
        <is>
          <t>UrbanCraft</t>
        </is>
      </c>
      <c r="B9" s="9" t="inlineStr">
        <is>
          <t>Julia Romero</t>
        </is>
      </c>
      <c r="C9" s="9" t="inlineStr">
        <is>
          <t>Website Redesign</t>
        </is>
      </c>
      <c r="D9" s="10" t="n">
        <v>2850</v>
      </c>
      <c r="E9" s="9" t="inlineStr">
        <is>
          <t>New Lead</t>
        </is>
      </c>
      <c r="F9" s="23" t="n">
        <v>46182</v>
      </c>
    </row>
    <row r="10">
      <c r="A10" s="7" t="inlineStr">
        <is>
          <t>PrimeWorks</t>
        </is>
      </c>
      <c r="B10" s="7" t="inlineStr">
        <is>
          <t>Karim Ziani</t>
        </is>
      </c>
      <c r="C10" s="7" t="inlineStr"/>
      <c r="D10" s="8" t="n">
        <v>3750</v>
      </c>
      <c r="E10" s="7" t="inlineStr">
        <is>
          <t>Contacted</t>
        </is>
      </c>
      <c r="F10" s="22" t="n">
        <v>46188</v>
      </c>
    </row>
    <row r="11">
      <c r="A11" s="9" t="inlineStr">
        <is>
          <t>EchoLab</t>
        </is>
      </c>
      <c r="B11" s="9" t="inlineStr">
        <is>
          <t>Anna Kowalska</t>
        </is>
      </c>
      <c r="C11" s="9" t="inlineStr">
        <is>
          <t>Website Redesign</t>
        </is>
      </c>
      <c r="D11" s="10" t="n">
        <v>2400</v>
      </c>
      <c r="E11" s="9" t="inlineStr">
        <is>
          <t>Discovery Call</t>
        </is>
      </c>
      <c r="F11" s="23" t="n">
        <v>46191</v>
      </c>
    </row>
    <row r="12">
      <c r="A12" s="7" t="inlineStr">
        <is>
          <t>Vertex Group</t>
        </is>
      </c>
      <c r="B12" s="7" t="inlineStr">
        <is>
          <t>David Chen</t>
        </is>
      </c>
      <c r="C12" s="7" t="inlineStr">
        <is>
          <t>Website Redesign</t>
        </is>
      </c>
      <c r="D12" s="8" t="n">
        <v>3300</v>
      </c>
      <c r="E12" s="7" t="inlineStr">
        <is>
          <t>Proposal Sent</t>
        </is>
      </c>
      <c r="F12" s="22" t="n">
        <v>46197</v>
      </c>
    </row>
    <row r="13">
      <c r="A13" s="9" t="inlineStr">
        <is>
          <t>ClearPath Inc</t>
        </is>
      </c>
      <c r="B13" s="9" t="inlineStr">
        <is>
          <t>Lea Moreau</t>
        </is>
      </c>
      <c r="C13" s="9" t="inlineStr"/>
      <c r="D13" s="10" t="n">
        <v>2250</v>
      </c>
      <c r="E13" s="9" t="inlineStr">
        <is>
          <t>Negotiating</t>
        </is>
      </c>
      <c r="F13" s="23" t="n">
        <v>46175</v>
      </c>
    </row>
  </sheetData>
  <dataValidations count="1">
    <dataValidation sqref="E2:E500" showDropDown="0" showInputMessage="0" showErrorMessage="0" allowBlank="1" type="list">
      <formula1>"New Lead,Contacted,Discovery Call,Proposal Sent,Negotiating,Won,Lost"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4" customWidth="1" min="4" max="4"/>
    <col width="12" customWidth="1" min="5" max="5"/>
  </cols>
  <sheetData>
    <row r="1">
      <c r="A1" s="6" t="inlineStr">
        <is>
          <t>Month</t>
        </is>
      </c>
      <c r="B1" s="6" t="inlineStr">
        <is>
          <t>Client</t>
        </is>
      </c>
      <c r="C1" s="6" t="inlineStr">
        <is>
          <t>Amount $</t>
        </is>
      </c>
      <c r="D1" s="6" t="inlineStr">
        <is>
          <t>Invoice</t>
        </is>
      </c>
      <c r="E1" s="6" t="inlineStr">
        <is>
          <t>Paid</t>
        </is>
      </c>
    </row>
    <row r="2">
      <c r="A2" s="7" t="inlineStr">
        <is>
          <t>January 2024</t>
        </is>
      </c>
      <c r="B2" s="7" t="inlineStr">
        <is>
          <t>Alex Martin</t>
        </is>
      </c>
      <c r="C2" s="8" t="n">
        <v>1500</v>
      </c>
      <c r="D2" s="7" t="inlineStr">
        <is>
          <t>INV-012</t>
        </is>
      </c>
      <c r="E2" s="7" t="inlineStr">
        <is>
          <t>Yes</t>
        </is>
      </c>
    </row>
    <row r="3">
      <c r="A3" s="9" t="inlineStr">
        <is>
          <t>January 2025</t>
        </is>
      </c>
      <c r="B3" s="9" t="inlineStr">
        <is>
          <t>Sara Lopez</t>
        </is>
      </c>
      <c r="C3" s="10" t="n">
        <v>1050</v>
      </c>
      <c r="D3" s="9" t="inlineStr">
        <is>
          <t>INV-013</t>
        </is>
      </c>
      <c r="E3" s="9" t="inlineStr">
        <is>
          <t>No</t>
        </is>
      </c>
    </row>
    <row r="4">
      <c r="A4" s="7" t="inlineStr">
        <is>
          <t>January 2026</t>
        </is>
      </c>
      <c r="B4" s="7" t="inlineStr">
        <is>
          <t>Omar Haddad</t>
        </is>
      </c>
      <c r="C4" s="8" t="n">
        <v>1950</v>
      </c>
      <c r="D4" s="7" t="inlineStr">
        <is>
          <t>INV-014</t>
        </is>
      </c>
      <c r="E4" s="7" t="inlineStr">
        <is>
          <t>Partial</t>
        </is>
      </c>
    </row>
    <row r="5">
      <c r="A5" s="9" t="inlineStr">
        <is>
          <t>January 2027</t>
        </is>
      </c>
      <c r="B5" s="9" t="inlineStr">
        <is>
          <t>Emma Fischer</t>
        </is>
      </c>
      <c r="C5" s="10" t="n">
        <v>1275</v>
      </c>
      <c r="D5" s="9" t="inlineStr">
        <is>
          <t>INV-015</t>
        </is>
      </c>
      <c r="E5" s="9" t="inlineStr">
        <is>
          <t>Yes</t>
        </is>
      </c>
    </row>
    <row r="6">
      <c r="A6" s="7" t="inlineStr">
        <is>
          <t>January 2028</t>
        </is>
      </c>
      <c r="B6" s="7" t="inlineStr">
        <is>
          <t>Liam Carter</t>
        </is>
      </c>
      <c r="C6" s="8" t="n">
        <v>1725</v>
      </c>
      <c r="D6" s="7" t="inlineStr">
        <is>
          <t>INV-016</t>
        </is>
      </c>
      <c r="E6" s="7" t="inlineStr">
        <is>
          <t>No</t>
        </is>
      </c>
    </row>
    <row r="7">
      <c r="A7" s="9" t="inlineStr">
        <is>
          <t>January 2029</t>
        </is>
      </c>
      <c r="B7" s="9" t="inlineStr">
        <is>
          <t>Nadia Rahali</t>
        </is>
      </c>
      <c r="C7" s="10" t="n">
        <v>900</v>
      </c>
      <c r="D7" s="9" t="inlineStr">
        <is>
          <t>INV-017</t>
        </is>
      </c>
      <c r="E7" s="9" t="inlineStr">
        <is>
          <t>Partial</t>
        </is>
      </c>
    </row>
    <row r="8">
      <c r="A8" s="7" t="inlineStr">
        <is>
          <t>January 2030</t>
        </is>
      </c>
      <c r="B8" s="7" t="inlineStr">
        <is>
          <t>Tom Becker</t>
        </is>
      </c>
      <c r="C8" s="8" t="n">
        <v>2175</v>
      </c>
      <c r="D8" s="7" t="inlineStr">
        <is>
          <t>INV-018</t>
        </is>
      </c>
      <c r="E8" s="7" t="inlineStr">
        <is>
          <t>Yes</t>
        </is>
      </c>
    </row>
    <row r="9">
      <c r="A9" s="9" t="inlineStr">
        <is>
          <t>January 2031</t>
        </is>
      </c>
      <c r="B9" s="9" t="inlineStr">
        <is>
          <t>Julia Romero</t>
        </is>
      </c>
      <c r="C9" s="10" t="n">
        <v>1425</v>
      </c>
      <c r="D9" s="9" t="inlineStr">
        <is>
          <t>INV-019</t>
        </is>
      </c>
      <c r="E9" s="9" t="inlineStr">
        <is>
          <t>No</t>
        </is>
      </c>
    </row>
    <row r="10">
      <c r="A10" s="7" t="inlineStr">
        <is>
          <t>January 2032</t>
        </is>
      </c>
      <c r="B10" s="7" t="inlineStr">
        <is>
          <t>Karim Ziani</t>
        </is>
      </c>
      <c r="C10" s="8" t="n">
        <v>1875</v>
      </c>
      <c r="D10" s="7" t="inlineStr">
        <is>
          <t>INV-020</t>
        </is>
      </c>
      <c r="E10" s="7" t="inlineStr">
        <is>
          <t>Partial</t>
        </is>
      </c>
    </row>
    <row r="11">
      <c r="A11" s="9" t="inlineStr">
        <is>
          <t>January 2033</t>
        </is>
      </c>
      <c r="B11" s="9" t="inlineStr">
        <is>
          <t>Anna Kowalska</t>
        </is>
      </c>
      <c r="C11" s="10" t="n">
        <v>1200</v>
      </c>
      <c r="D11" s="9" t="inlineStr">
        <is>
          <t>INV-021</t>
        </is>
      </c>
      <c r="E11" s="9" t="inlineStr">
        <is>
          <t>Yes</t>
        </is>
      </c>
    </row>
    <row r="12">
      <c r="A12" s="7" t="inlineStr">
        <is>
          <t>January 2034</t>
        </is>
      </c>
      <c r="B12" s="7" t="inlineStr">
        <is>
          <t>David Chen</t>
        </is>
      </c>
      <c r="C12" s="8" t="n">
        <v>1650</v>
      </c>
      <c r="D12" s="7" t="inlineStr">
        <is>
          <t>INV-022</t>
        </is>
      </c>
      <c r="E12" s="7" t="inlineStr">
        <is>
          <t>No</t>
        </is>
      </c>
    </row>
    <row r="13">
      <c r="A13" s="9" t="inlineStr">
        <is>
          <t>January 2035</t>
        </is>
      </c>
      <c r="B13" s="9" t="inlineStr">
        <is>
          <t>Lea Moreau</t>
        </is>
      </c>
      <c r="C13" s="10" t="n">
        <v>1125</v>
      </c>
      <c r="D13" s="9" t="inlineStr">
        <is>
          <t>INV-023</t>
        </is>
      </c>
      <c r="E13" s="9" t="inlineStr">
        <is>
          <t>Partial</t>
        </is>
      </c>
    </row>
  </sheetData>
  <dataValidations count="1">
    <dataValidation sqref="E2:E500" showDropDown="0" showInputMessage="0" showErrorMessage="0" allowBlank="1" type="list">
      <formula1>"Yes,No,Partial"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4" customWidth="1" min="4" max="4"/>
    <col width="10" customWidth="1" min="5" max="5"/>
  </cols>
  <sheetData>
    <row r="1">
      <c r="A1" s="6" t="inlineStr">
        <is>
          <t>Contact</t>
        </is>
      </c>
      <c r="B1" s="6" t="inlineStr">
        <is>
          <t>Action</t>
        </is>
      </c>
      <c r="C1" s="6" t="inlineStr">
        <is>
          <t>Due Date</t>
        </is>
      </c>
      <c r="D1" s="6" t="inlineStr">
        <is>
          <t>Priority</t>
        </is>
      </c>
      <c r="E1" s="6" t="inlineStr">
        <is>
          <t>Done</t>
        </is>
      </c>
    </row>
    <row r="2">
      <c r="A2" s="7" t="inlineStr">
        <is>
          <t>Alex Martin</t>
        </is>
      </c>
      <c r="B2" s="7" t="inlineStr">
        <is>
          <t>Kickoff meeting</t>
        </is>
      </c>
      <c r="C2" s="22" t="n">
        <v>46174</v>
      </c>
      <c r="D2" s="7" t="inlineStr">
        <is>
          <t>Urgent</t>
        </is>
      </c>
      <c r="E2" s="7" t="inlineStr">
        <is>
          <t>Yes</t>
        </is>
      </c>
    </row>
    <row r="3">
      <c r="A3" s="9" t="inlineStr">
        <is>
          <t>Sara Lopez</t>
        </is>
      </c>
      <c r="B3" s="9" t="inlineStr">
        <is>
          <t>Send proposal</t>
        </is>
      </c>
      <c r="C3" s="23" t="n">
        <v>46180</v>
      </c>
      <c r="D3" s="9" t="inlineStr">
        <is>
          <t>High</t>
        </is>
      </c>
      <c r="E3" s="9" t="inlineStr">
        <is>
          <t>No</t>
        </is>
      </c>
    </row>
    <row r="4">
      <c r="A4" s="7" t="inlineStr">
        <is>
          <t>Omar Haddad</t>
        </is>
      </c>
      <c r="B4" s="7" t="inlineStr">
        <is>
          <t>Review feedback</t>
        </is>
      </c>
      <c r="C4" s="22" t="n">
        <v>46186</v>
      </c>
      <c r="D4" s="7" t="inlineStr">
        <is>
          <t>Medium</t>
        </is>
      </c>
      <c r="E4" s="7" t="inlineStr">
        <is>
          <t>Yes</t>
        </is>
      </c>
    </row>
    <row r="5">
      <c r="A5" s="9" t="inlineStr">
        <is>
          <t>Emma Fischer</t>
        </is>
      </c>
      <c r="B5" s="9" t="inlineStr">
        <is>
          <t>Update website copy</t>
        </is>
      </c>
      <c r="C5" s="23" t="n">
        <v>46189</v>
      </c>
      <c r="D5" s="9" t="inlineStr">
        <is>
          <t>Low</t>
        </is>
      </c>
      <c r="E5" s="9" t="inlineStr">
        <is>
          <t>No</t>
        </is>
      </c>
    </row>
    <row r="6">
      <c r="A6" s="7" t="inlineStr">
        <is>
          <t>Liam Carter</t>
        </is>
      </c>
      <c r="B6" s="7" t="inlineStr">
        <is>
          <t>Prepare invoice</t>
        </is>
      </c>
      <c r="C6" s="22" t="n">
        <v>46195</v>
      </c>
      <c r="D6" s="7" t="inlineStr">
        <is>
          <t>Urgent</t>
        </is>
      </c>
      <c r="E6" s="7" t="inlineStr">
        <is>
          <t>Yes</t>
        </is>
      </c>
    </row>
    <row r="7">
      <c r="A7" s="9" t="inlineStr">
        <is>
          <t>Nadia Rahali</t>
        </is>
      </c>
      <c r="B7" s="9" t="inlineStr">
        <is>
          <t>Client call</t>
        </is>
      </c>
      <c r="C7" s="23" t="n">
        <v>46201</v>
      </c>
      <c r="D7" s="9" t="inlineStr">
        <is>
          <t>High</t>
        </is>
      </c>
      <c r="E7" s="9" t="inlineStr">
        <is>
          <t>No</t>
        </is>
      </c>
    </row>
    <row r="8">
      <c r="A8" s="7" t="inlineStr">
        <is>
          <t>Tom Becker</t>
        </is>
      </c>
      <c r="B8" s="7" t="inlineStr">
        <is>
          <t>Design first draft</t>
        </is>
      </c>
      <c r="C8" s="22" t="n">
        <v>46176</v>
      </c>
      <c r="D8" s="7" t="inlineStr">
        <is>
          <t>Medium</t>
        </is>
      </c>
      <c r="E8" s="7" t="inlineStr">
        <is>
          <t>Yes</t>
        </is>
      </c>
    </row>
    <row r="9">
      <c r="A9" s="9" t="inlineStr">
        <is>
          <t>Julia Romero</t>
        </is>
      </c>
      <c r="B9" s="9" t="inlineStr">
        <is>
          <t>Fix reported bug</t>
        </is>
      </c>
      <c r="C9" s="23" t="n">
        <v>46182</v>
      </c>
      <c r="D9" s="9" t="inlineStr">
        <is>
          <t>Low</t>
        </is>
      </c>
      <c r="E9" s="9" t="inlineStr">
        <is>
          <t>No</t>
        </is>
      </c>
    </row>
    <row r="10">
      <c r="A10" s="7" t="inlineStr">
        <is>
          <t>Karim Ziani</t>
        </is>
      </c>
      <c r="B10" s="7" t="inlineStr">
        <is>
          <t>Weekly report</t>
        </is>
      </c>
      <c r="C10" s="22" t="n">
        <v>46188</v>
      </c>
      <c r="D10" s="7" t="inlineStr">
        <is>
          <t>Urgent</t>
        </is>
      </c>
      <c r="E10" s="7" t="inlineStr">
        <is>
          <t>Yes</t>
        </is>
      </c>
    </row>
    <row r="11">
      <c r="A11" s="9" t="inlineStr">
        <is>
          <t>Anna Kowalska</t>
        </is>
      </c>
      <c r="B11" s="9" t="inlineStr">
        <is>
          <t>Plan next sprint</t>
        </is>
      </c>
      <c r="C11" s="23" t="n">
        <v>46191</v>
      </c>
      <c r="D11" s="9" t="inlineStr">
        <is>
          <t>High</t>
        </is>
      </c>
      <c r="E11" s="9" t="inlineStr">
        <is>
          <t>No</t>
        </is>
      </c>
    </row>
    <row r="12">
      <c r="A12" s="7" t="inlineStr">
        <is>
          <t>David Chen</t>
        </is>
      </c>
      <c r="B12" s="7" t="inlineStr">
        <is>
          <t>Publish blog post</t>
        </is>
      </c>
      <c r="C12" s="22" t="n">
        <v>46197</v>
      </c>
      <c r="D12" s="7" t="inlineStr">
        <is>
          <t>Medium</t>
        </is>
      </c>
      <c r="E12" s="7" t="inlineStr">
        <is>
          <t>Yes</t>
        </is>
      </c>
    </row>
    <row r="13">
      <c r="A13" s="9" t="inlineStr">
        <is>
          <t>Lea Moreau</t>
        </is>
      </c>
      <c r="B13" s="9" t="inlineStr">
        <is>
          <t>Team sync</t>
        </is>
      </c>
      <c r="C13" s="23" t="n">
        <v>46175</v>
      </c>
      <c r="D13" s="9" t="inlineStr">
        <is>
          <t>Low</t>
        </is>
      </c>
      <c r="E13" s="9" t="inlineStr">
        <is>
          <t>No</t>
        </is>
      </c>
    </row>
  </sheetData>
  <dataValidations count="2">
    <dataValidation sqref="D2:D500" showDropDown="0" showInputMessage="0" showErrorMessage="0" allowBlank="1" type="list">
      <formula1>"Urgent,High,Medium,Low"</formula1>
    </dataValidation>
    <dataValidation sqref="E2:E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2026-07-16T21:44:37Z</dcterms:created>
  <dcterms:modified xsi:type="dcterms:W3CDTF">2026-07-16T21:44:37Z</dcterms:modified>
</cp:coreProperties>
</file>