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Feeding Log" sheetId="2" state="visible" r:id="rId2"/>
    <sheet name="Dashboard" sheetId="3" state="visible" r:id="rId3"/>
    <sheet name="Sleep Log" sheetId="4" state="visible" r:id="rId4"/>
    <sheet name="Growth" sheetId="5" state="visible" r:id="rId5"/>
    <sheet name="Milest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500724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EC4899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500724"/>
      </patternFill>
    </fill>
    <fill>
      <patternFill patternType="solid">
        <fgColor rgb="00FFF7F0"/>
      </patternFill>
    </fill>
    <fill>
      <patternFill patternType="solid">
        <fgColor rgb="00EC4899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👶  BABY MILESTONE &amp; DEVELOPMENT TRACKER</t>
        </is>
      </c>
    </row>
    <row r="3"/>
    <row r="4">
      <c r="B4" s="2" t="inlineStr">
        <is>
          <t>Feeding, Sleep &amp; Growth Log Google Sheets</t>
        </is>
      </c>
    </row>
    <row r="6">
      <c r="B6" s="3" t="inlineStr">
        <is>
          <t>STEP 1 — Fill in “Feeding Log”</t>
        </is>
      </c>
    </row>
    <row r="7" ht="28" customHeight="1">
      <c r="B7" s="4" t="inlineStr">
        <is>
          <t>Every feeding: time, type, duration, and side.</t>
        </is>
      </c>
    </row>
    <row r="9">
      <c r="B9" s="3" t="inlineStr">
        <is>
          <t>STEP 2 — Fill in “Sleep Log”</t>
        </is>
      </c>
    </row>
    <row r="10" ht="28" customHeight="1">
      <c r="B10" s="4" t="inlineStr">
        <is>
          <t>Sleep sessions: start, end, duration, and quality.</t>
        </is>
      </c>
    </row>
    <row r="12">
      <c r="B12" s="3" t="inlineStr">
        <is>
          <t>STEP 3 — Fill in “Growth”</t>
        </is>
      </c>
    </row>
    <row r="13" ht="28" customHeight="1">
      <c r="B13" s="4" t="inlineStr">
        <is>
          <t>Weight, height, and head circumference at each checkup.</t>
        </is>
      </c>
    </row>
    <row r="15">
      <c r="B15" s="3" t="inlineStr">
        <is>
          <t>STEP 4 — Fill in “Milestones”</t>
        </is>
      </c>
    </row>
    <row r="16" ht="28" customHeight="1">
      <c r="B16" s="4" t="inlineStr">
        <is>
          <t>Developmental milestone checklist by age.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24" customWidth="1" min="7" max="7"/>
  </cols>
  <sheetData>
    <row r="1">
      <c r="A1" s="6" t="inlineStr">
        <is>
          <t>Date</t>
        </is>
      </c>
      <c r="B1" s="6" t="inlineStr">
        <is>
          <t>Time</t>
        </is>
      </c>
      <c r="C1" s="6" t="inlineStr">
        <is>
          <t>Type</t>
        </is>
      </c>
      <c r="D1" s="6" t="inlineStr">
        <is>
          <t>Duration (min)</t>
        </is>
      </c>
      <c r="E1" s="6" t="inlineStr">
        <is>
          <t>Side</t>
        </is>
      </c>
      <c r="F1" s="6" t="inlineStr">
        <is>
          <t>Amount (oz)</t>
        </is>
      </c>
      <c r="G1" s="6" t="inlineStr">
        <is>
          <t>Notes</t>
        </is>
      </c>
    </row>
    <row r="2">
      <c r="A2" s="7" t="n">
        <v>46174</v>
      </c>
      <c r="B2" s="8" t="inlineStr">
        <is>
          <t>07:30</t>
        </is>
      </c>
      <c r="C2" s="8" t="inlineStr">
        <is>
          <t>Breastfeed</t>
        </is>
      </c>
      <c r="D2" s="8" t="n">
        <v>20</v>
      </c>
      <c r="E2" s="8" t="inlineStr">
        <is>
          <t>Left</t>
        </is>
      </c>
      <c r="F2" s="9" t="n">
        <v>4</v>
      </c>
      <c r="G2" s="8" t="inlineStr"/>
    </row>
    <row r="3">
      <c r="A3" s="10" t="n">
        <v>46180</v>
      </c>
      <c r="B3" s="11" t="inlineStr">
        <is>
          <t>07:31</t>
        </is>
      </c>
      <c r="C3" s="11" t="inlineStr">
        <is>
          <t>Bottle (BM)</t>
        </is>
      </c>
      <c r="D3" s="11" t="n">
        <v>14</v>
      </c>
      <c r="E3" s="11" t="inlineStr">
        <is>
          <t>Right</t>
        </is>
      </c>
      <c r="F3" s="12" t="n">
        <v>2.8</v>
      </c>
      <c r="G3" s="11" t="inlineStr">
        <is>
          <t>Paid</t>
        </is>
      </c>
    </row>
    <row r="4">
      <c r="A4" s="7" t="n">
        <v>46186</v>
      </c>
      <c r="B4" s="8" t="inlineStr">
        <is>
          <t>07:32</t>
        </is>
      </c>
      <c r="C4" s="8" t="inlineStr">
        <is>
          <t>Formula</t>
        </is>
      </c>
      <c r="D4" s="8" t="n">
        <v>26</v>
      </c>
      <c r="E4" s="8" t="inlineStr">
        <is>
          <t>Both</t>
        </is>
      </c>
      <c r="F4" s="9" t="n">
        <v>5.2</v>
      </c>
      <c r="G4" s="8" t="inlineStr">
        <is>
          <t>Urgent</t>
        </is>
      </c>
    </row>
    <row r="5">
      <c r="A5" s="10" t="n">
        <v>46189</v>
      </c>
      <c r="B5" s="11" t="inlineStr">
        <is>
          <t>07:33</t>
        </is>
      </c>
      <c r="C5" s="11" t="inlineStr">
        <is>
          <t>Solid Food</t>
        </is>
      </c>
      <c r="D5" s="11" t="n">
        <v>17</v>
      </c>
      <c r="E5" s="11" t="inlineStr">
        <is>
          <t>N/A</t>
        </is>
      </c>
      <c r="F5" s="12" t="n">
        <v>3.4</v>
      </c>
      <c r="G5" s="11" t="inlineStr">
        <is>
          <t>Follow up Friday</t>
        </is>
      </c>
    </row>
    <row r="6">
      <c r="A6" s="7" t="n">
        <v>46195</v>
      </c>
      <c r="B6" s="8" t="inlineStr">
        <is>
          <t>07:34</t>
        </is>
      </c>
      <c r="C6" s="8" t="inlineStr">
        <is>
          <t>Puree</t>
        </is>
      </c>
      <c r="D6" s="8" t="n">
        <v>23</v>
      </c>
      <c r="E6" s="8" t="inlineStr">
        <is>
          <t>Left</t>
        </is>
      </c>
      <c r="F6" s="9" t="n">
        <v>4.6</v>
      </c>
      <c r="G6" s="8" t="inlineStr"/>
    </row>
    <row r="7">
      <c r="A7" s="10" t="n">
        <v>46201</v>
      </c>
      <c r="B7" s="11" t="inlineStr">
        <is>
          <t>07:35</t>
        </is>
      </c>
      <c r="C7" s="11" t="inlineStr">
        <is>
          <t>Breastfeed</t>
        </is>
      </c>
      <c r="D7" s="11" t="n">
        <v>12</v>
      </c>
      <c r="E7" s="11" t="inlineStr">
        <is>
          <t>Right</t>
        </is>
      </c>
      <c r="F7" s="12" t="n">
        <v>2.4</v>
      </c>
      <c r="G7" s="11" t="inlineStr">
        <is>
          <t>Monthly</t>
        </is>
      </c>
    </row>
    <row r="8">
      <c r="A8" s="7" t="n">
        <v>46176</v>
      </c>
      <c r="B8" s="8" t="inlineStr">
        <is>
          <t>07:36</t>
        </is>
      </c>
      <c r="C8" s="8" t="inlineStr">
        <is>
          <t>Bottle (BM)</t>
        </is>
      </c>
      <c r="D8" s="8" t="n">
        <v>29</v>
      </c>
      <c r="E8" s="8" t="inlineStr">
        <is>
          <t>Both</t>
        </is>
      </c>
      <c r="F8" s="9" t="n">
        <v>5.8</v>
      </c>
      <c r="G8" s="8" t="inlineStr">
        <is>
          <t>Confirmed</t>
        </is>
      </c>
    </row>
    <row r="9">
      <c r="A9" s="10" t="n">
        <v>46182</v>
      </c>
      <c r="B9" s="11" t="inlineStr">
        <is>
          <t>07:37</t>
        </is>
      </c>
      <c r="C9" s="11" t="inlineStr">
        <is>
          <t>Formula</t>
        </is>
      </c>
      <c r="D9" s="11" t="n">
        <v>19</v>
      </c>
      <c r="E9" s="11" t="inlineStr">
        <is>
          <t>N/A</t>
        </is>
      </c>
      <c r="F9" s="12" t="n">
        <v>3.8</v>
      </c>
      <c r="G9" s="11" t="inlineStr"/>
    </row>
    <row r="10">
      <c r="A10" s="7" t="n">
        <v>46188</v>
      </c>
      <c r="B10" s="8" t="inlineStr">
        <is>
          <t>07:38</t>
        </is>
      </c>
      <c r="C10" s="8" t="inlineStr">
        <is>
          <t>Solid Food</t>
        </is>
      </c>
      <c r="D10" s="8" t="n">
        <v>25</v>
      </c>
      <c r="E10" s="8" t="inlineStr">
        <is>
          <t>Left</t>
        </is>
      </c>
      <c r="F10" s="9" t="n">
        <v>5</v>
      </c>
      <c r="G10" s="8" t="inlineStr">
        <is>
          <t>Waiting reply</t>
        </is>
      </c>
    </row>
    <row r="11">
      <c r="A11" s="10" t="n">
        <v>46191</v>
      </c>
      <c r="B11" s="11" t="inlineStr">
        <is>
          <t>07:39</t>
        </is>
      </c>
      <c r="C11" s="11" t="inlineStr">
        <is>
          <t>Puree</t>
        </is>
      </c>
      <c r="D11" s="11" t="n">
        <v>16</v>
      </c>
      <c r="E11" s="11" t="inlineStr">
        <is>
          <t>Right</t>
        </is>
      </c>
      <c r="F11" s="12" t="n">
        <v>3.2</v>
      </c>
      <c r="G11" s="11" t="inlineStr">
        <is>
          <t>Done early</t>
        </is>
      </c>
    </row>
    <row r="12">
      <c r="A12" s="7" t="n">
        <v>46197</v>
      </c>
      <c r="B12" s="8" t="inlineStr">
        <is>
          <t>07:40</t>
        </is>
      </c>
      <c r="C12" s="8" t="inlineStr">
        <is>
          <t>Breastfeed</t>
        </is>
      </c>
      <c r="D12" s="8" t="n">
        <v>22</v>
      </c>
      <c r="E12" s="8" t="inlineStr">
        <is>
          <t>Both</t>
        </is>
      </c>
      <c r="F12" s="9" t="n">
        <v>4.4</v>
      </c>
      <c r="G12" s="8" t="inlineStr"/>
    </row>
    <row r="13">
      <c r="A13" s="10" t="n">
        <v>46175</v>
      </c>
      <c r="B13" s="11" t="inlineStr">
        <is>
          <t>07:41</t>
        </is>
      </c>
      <c r="C13" s="11" t="inlineStr">
        <is>
          <t>Bottle (BM)</t>
        </is>
      </c>
      <c r="D13" s="11" t="n">
        <v>15</v>
      </c>
      <c r="E13" s="11" t="inlineStr">
        <is>
          <t>N/A</t>
        </is>
      </c>
      <c r="F13" s="12" t="n">
        <v>3</v>
      </c>
      <c r="G13" s="11" t="inlineStr">
        <is>
          <t>Recheck</t>
        </is>
      </c>
    </row>
  </sheetData>
  <dataValidations count="2">
    <dataValidation sqref="C2:C500" showDropDown="0" showInputMessage="0" showErrorMessage="0" allowBlank="1" type="list">
      <formula1>"Breastfeed,Bottle (BM),Formula,Solid Food,Puree"</formula1>
    </dataValidation>
    <dataValidation sqref="E2:E500" showDropDown="0" showInputMessage="0" showErrorMessage="0" allowBlank="1" type="list">
      <formula1>"Left,Right,Both,N/A"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BABY MILESTONE &amp; DEVELOPMENT TRACKER — DASHBOARD</t>
        </is>
      </c>
    </row>
    <row r="4">
      <c r="B4" s="14" t="inlineStr">
        <is>
          <t>BABY AGE (DAYS)</t>
        </is>
      </c>
      <c r="D4" s="15" t="inlineStr">
        <is>
          <t>DAILY FEEDINGS</t>
        </is>
      </c>
      <c r="F4" s="16" t="inlineStr">
        <is>
          <t>SLEEP LAST NIGHT</t>
        </is>
      </c>
      <c r="H4" s="17" t="inlineStr">
        <is>
          <t>MILESTONES HIT</t>
        </is>
      </c>
    </row>
    <row r="5" ht="26" customHeight="1">
      <c r="B5" s="18">
        <f>DATEDIF(Basics!B2,TODAY(),"D")</f>
        <v/>
      </c>
      <c r="D5" s="19">
        <f>COUNTIF(Feeding!B:B,TODAY())</f>
        <v/>
      </c>
      <c r="F5" s="20">
        <f>SUMIF(Sleep!B:B,TODAY()-1,Sleep!D:D)</f>
        <v/>
      </c>
      <c r="H5" s="21">
        <f>COUNTIF(Milestones!C:C,"Done")</f>
        <v/>
      </c>
    </row>
    <row r="8">
      <c r="B8" s="22" t="inlineStr">
        <is>
          <t>WHAT'S INSIDE</t>
        </is>
      </c>
    </row>
    <row r="9">
      <c r="B9" s="23" t="inlineStr">
        <is>
          <t>🍼  Feeding Log — Every feeding: time, type, duration, and side.</t>
        </is>
      </c>
    </row>
    <row r="10">
      <c r="B10" s="23" t="inlineStr">
        <is>
          <t>💤  Sleep Log — Sleep sessions: start, end, duration, and quality.</t>
        </is>
      </c>
    </row>
    <row r="11">
      <c r="B11" s="23" t="inlineStr">
        <is>
          <t>📏  Growth — Weight, height, and head circumference at each checkup.</t>
        </is>
      </c>
    </row>
    <row r="12">
      <c r="B12" s="23" t="inlineStr">
        <is>
          <t>🏆  Milestones — Developmental milestone checklist by age.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</cols>
  <sheetData>
    <row r="1">
      <c r="A1" s="6" t="inlineStr">
        <is>
          <t>Date</t>
        </is>
      </c>
      <c r="B1" s="6" t="inlineStr">
        <is>
          <t>Sleep Time</t>
        </is>
      </c>
      <c r="C1" s="6" t="inlineStr">
        <is>
          <t>Wake Time</t>
        </is>
      </c>
      <c r="D1" s="6" t="inlineStr">
        <is>
          <t>Duration (hrs)</t>
        </is>
      </c>
      <c r="E1" s="6" t="inlineStr">
        <is>
          <t>Type</t>
        </is>
      </c>
      <c r="F1" s="6" t="inlineStr">
        <is>
          <t>Location</t>
        </is>
      </c>
    </row>
    <row r="2">
      <c r="A2" s="7" t="n">
        <v>46174</v>
      </c>
      <c r="B2" s="8" t="inlineStr">
        <is>
          <t>20:00</t>
        </is>
      </c>
      <c r="C2" s="8" t="inlineStr">
        <is>
          <t>23:30</t>
        </is>
      </c>
      <c r="D2" s="8" t="n">
        <v>3.5</v>
      </c>
      <c r="E2" s="8" t="inlineStr">
        <is>
          <t>Night Sleep</t>
        </is>
      </c>
      <c r="F2" s="8" t="inlineStr">
        <is>
          <t>Crib</t>
        </is>
      </c>
    </row>
    <row r="3">
      <c r="A3" s="10" t="n">
        <v>46180</v>
      </c>
      <c r="B3" s="11" t="inlineStr">
        <is>
          <t>20:01</t>
        </is>
      </c>
      <c r="C3" s="11" t="inlineStr">
        <is>
          <t>23:31</t>
        </is>
      </c>
      <c r="D3" s="11" t="n">
        <v>2.45</v>
      </c>
      <c r="E3" s="11" t="inlineStr">
        <is>
          <t>Nap</t>
        </is>
      </c>
      <c r="F3" s="11" t="inlineStr">
        <is>
          <t>Co-Sleep</t>
        </is>
      </c>
    </row>
    <row r="4">
      <c r="A4" s="7" t="n">
        <v>46186</v>
      </c>
      <c r="B4" s="8" t="inlineStr">
        <is>
          <t>20:02</t>
        </is>
      </c>
      <c r="C4" s="8" t="inlineStr">
        <is>
          <t>23:32</t>
        </is>
      </c>
      <c r="D4" s="8" t="n">
        <v>4.55</v>
      </c>
      <c r="E4" s="8" t="inlineStr">
        <is>
          <t>Night Sleep</t>
        </is>
      </c>
      <c r="F4" s="8" t="inlineStr">
        <is>
          <t>Stroller</t>
        </is>
      </c>
    </row>
    <row r="5">
      <c r="A5" s="10" t="n">
        <v>46189</v>
      </c>
      <c r="B5" s="11" t="inlineStr">
        <is>
          <t>20:03</t>
        </is>
      </c>
      <c r="C5" s="11" t="inlineStr">
        <is>
          <t>23:33</t>
        </is>
      </c>
      <c r="D5" s="11" t="n">
        <v>2.98</v>
      </c>
      <c r="E5" s="11" t="inlineStr">
        <is>
          <t>Nap</t>
        </is>
      </c>
      <c r="F5" s="11" t="inlineStr">
        <is>
          <t>Car Seat</t>
        </is>
      </c>
    </row>
    <row r="6">
      <c r="A6" s="7" t="n">
        <v>46195</v>
      </c>
      <c r="B6" s="8" t="inlineStr">
        <is>
          <t>20:04</t>
        </is>
      </c>
      <c r="C6" s="8" t="inlineStr">
        <is>
          <t>23:34</t>
        </is>
      </c>
      <c r="D6" s="8" t="n">
        <v>4.02</v>
      </c>
      <c r="E6" s="8" t="inlineStr">
        <is>
          <t>Night Sleep</t>
        </is>
      </c>
      <c r="F6" s="8" t="inlineStr">
        <is>
          <t>Arms</t>
        </is>
      </c>
    </row>
    <row r="7">
      <c r="A7" s="10" t="n">
        <v>46201</v>
      </c>
      <c r="B7" s="11" t="inlineStr">
        <is>
          <t>20:05</t>
        </is>
      </c>
      <c r="C7" s="11" t="inlineStr">
        <is>
          <t>23:35</t>
        </is>
      </c>
      <c r="D7" s="11" t="n">
        <v>2.1</v>
      </c>
      <c r="E7" s="11" t="inlineStr">
        <is>
          <t>Nap</t>
        </is>
      </c>
      <c r="F7" s="11" t="inlineStr">
        <is>
          <t>Crib</t>
        </is>
      </c>
    </row>
    <row r="8">
      <c r="A8" s="7" t="n">
        <v>46176</v>
      </c>
      <c r="B8" s="8" t="inlineStr">
        <is>
          <t>20:06</t>
        </is>
      </c>
      <c r="C8" s="8" t="inlineStr">
        <is>
          <t>23:36</t>
        </is>
      </c>
      <c r="D8" s="8" t="n">
        <v>5.08</v>
      </c>
      <c r="E8" s="8" t="inlineStr">
        <is>
          <t>Night Sleep</t>
        </is>
      </c>
      <c r="F8" s="8" t="inlineStr">
        <is>
          <t>Co-Sleep</t>
        </is>
      </c>
    </row>
    <row r="9">
      <c r="A9" s="10" t="n">
        <v>46182</v>
      </c>
      <c r="B9" s="11" t="inlineStr">
        <is>
          <t>20:07</t>
        </is>
      </c>
      <c r="C9" s="11" t="inlineStr">
        <is>
          <t>23:37</t>
        </is>
      </c>
      <c r="D9" s="11" t="n">
        <v>3.32</v>
      </c>
      <c r="E9" s="11" t="inlineStr">
        <is>
          <t>Nap</t>
        </is>
      </c>
      <c r="F9" s="11" t="inlineStr">
        <is>
          <t>Stroller</t>
        </is>
      </c>
    </row>
    <row r="10">
      <c r="A10" s="7" t="n">
        <v>46188</v>
      </c>
      <c r="B10" s="8" t="inlineStr">
        <is>
          <t>20:08</t>
        </is>
      </c>
      <c r="C10" s="8" t="inlineStr">
        <is>
          <t>23:38</t>
        </is>
      </c>
      <c r="D10" s="8" t="n">
        <v>4.38</v>
      </c>
      <c r="E10" s="8" t="inlineStr">
        <is>
          <t>Night Sleep</t>
        </is>
      </c>
      <c r="F10" s="8" t="inlineStr">
        <is>
          <t>Car Seat</t>
        </is>
      </c>
    </row>
    <row r="11">
      <c r="A11" s="10" t="n">
        <v>46191</v>
      </c>
      <c r="B11" s="11" t="inlineStr">
        <is>
          <t>20:09</t>
        </is>
      </c>
      <c r="C11" s="11" t="inlineStr">
        <is>
          <t>23:39</t>
        </is>
      </c>
      <c r="D11" s="11" t="n">
        <v>2.8</v>
      </c>
      <c r="E11" s="11" t="inlineStr">
        <is>
          <t>Nap</t>
        </is>
      </c>
      <c r="F11" s="11" t="inlineStr">
        <is>
          <t>Arms</t>
        </is>
      </c>
    </row>
    <row r="12">
      <c r="A12" s="7" t="n">
        <v>46197</v>
      </c>
      <c r="B12" s="8" t="inlineStr">
        <is>
          <t>20:10</t>
        </is>
      </c>
      <c r="C12" s="8" t="inlineStr">
        <is>
          <t>23:40</t>
        </is>
      </c>
      <c r="D12" s="8" t="n">
        <v>3.85</v>
      </c>
      <c r="E12" s="8" t="inlineStr">
        <is>
          <t>Night Sleep</t>
        </is>
      </c>
      <c r="F12" s="8" t="inlineStr">
        <is>
          <t>Crib</t>
        </is>
      </c>
    </row>
    <row r="13">
      <c r="A13" s="10" t="n">
        <v>46175</v>
      </c>
      <c r="B13" s="11" t="inlineStr">
        <is>
          <t>20:11</t>
        </is>
      </c>
      <c r="C13" s="11" t="inlineStr">
        <is>
          <t>23:41</t>
        </is>
      </c>
      <c r="D13" s="11" t="n">
        <v>2.62</v>
      </c>
      <c r="E13" s="11" t="inlineStr">
        <is>
          <t>Nap</t>
        </is>
      </c>
      <c r="F13" s="11" t="inlineStr">
        <is>
          <t>Co-Sleep</t>
        </is>
      </c>
    </row>
  </sheetData>
  <dataValidations count="2">
    <dataValidation sqref="E2:E500" showDropDown="0" showInputMessage="0" showErrorMessage="0" allowBlank="1" type="list">
      <formula1>"Night Sleep,Nap"</formula1>
    </dataValidation>
    <dataValidation sqref="F2:F500" showDropDown="0" showInputMessage="0" showErrorMessage="0" allowBlank="1" type="list">
      <formula1>"Crib,Co-Sleep,Stroller,Car Seat,Arms"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Date</t>
        </is>
      </c>
      <c r="B1" s="6" t="inlineStr">
        <is>
          <t>Age</t>
        </is>
      </c>
      <c r="C1" s="6" t="inlineStr">
        <is>
          <t>Weight (lbs)</t>
        </is>
      </c>
      <c r="D1" s="6" t="inlineStr">
        <is>
          <t>Height (in)</t>
        </is>
      </c>
      <c r="E1" s="6" t="inlineStr">
        <is>
          <t>Head (cm)</t>
        </is>
      </c>
      <c r="F1" s="6" t="inlineStr">
        <is>
          <t>Percentile</t>
        </is>
      </c>
    </row>
    <row r="2">
      <c r="A2" s="7" t="n">
        <v>46174</v>
      </c>
      <c r="B2" s="8" t="inlineStr">
        <is>
          <t>2 months</t>
        </is>
      </c>
      <c r="C2" s="8" t="n">
        <v>11.5</v>
      </c>
      <c r="D2" s="8" t="n">
        <v>22.5</v>
      </c>
      <c r="E2" s="8" t="n">
        <v>38.5</v>
      </c>
      <c r="F2" s="8" t="inlineStr">
        <is>
          <t>65th</t>
        </is>
      </c>
    </row>
    <row r="3">
      <c r="A3" s="10" t="n">
        <v>46180</v>
      </c>
      <c r="B3" s="11" t="inlineStr">
        <is>
          <t>2 months</t>
        </is>
      </c>
      <c r="C3" s="11" t="n">
        <v>8.050000000000001</v>
      </c>
      <c r="D3" s="11" t="n">
        <v>15.75</v>
      </c>
      <c r="E3" s="11" t="n">
        <v>26.95</v>
      </c>
      <c r="F3" s="11" t="inlineStr">
        <is>
          <t>65th</t>
        </is>
      </c>
    </row>
    <row r="4">
      <c r="A4" s="7" t="n">
        <v>46186</v>
      </c>
      <c r="B4" s="8" t="inlineStr"/>
      <c r="C4" s="8" t="n">
        <v>14.95</v>
      </c>
      <c r="D4" s="8" t="n">
        <v>29.25</v>
      </c>
      <c r="E4" s="8" t="n">
        <v>50.05</v>
      </c>
      <c r="F4" s="8" t="inlineStr"/>
    </row>
    <row r="5">
      <c r="A5" s="10" t="n">
        <v>46189</v>
      </c>
      <c r="B5" s="11" t="inlineStr">
        <is>
          <t>2 months</t>
        </is>
      </c>
      <c r="C5" s="11" t="n">
        <v>9.779999999999999</v>
      </c>
      <c r="D5" s="11" t="n">
        <v>19.12</v>
      </c>
      <c r="E5" s="11" t="n">
        <v>32.73</v>
      </c>
      <c r="F5" s="11" t="inlineStr">
        <is>
          <t>65th</t>
        </is>
      </c>
    </row>
    <row r="6">
      <c r="A6" s="7" t="n">
        <v>46195</v>
      </c>
      <c r="B6" s="8" t="inlineStr">
        <is>
          <t>2 months</t>
        </is>
      </c>
      <c r="C6" s="8" t="n">
        <v>13.22</v>
      </c>
      <c r="D6" s="8" t="n">
        <v>25.87</v>
      </c>
      <c r="E6" s="8" t="n">
        <v>44.27</v>
      </c>
      <c r="F6" s="8" t="inlineStr">
        <is>
          <t>65th</t>
        </is>
      </c>
    </row>
    <row r="7">
      <c r="A7" s="10" t="n">
        <v>46201</v>
      </c>
      <c r="B7" s="11" t="inlineStr"/>
      <c r="C7" s="11" t="n">
        <v>6.9</v>
      </c>
      <c r="D7" s="11" t="n">
        <v>13.5</v>
      </c>
      <c r="E7" s="11" t="n">
        <v>23.1</v>
      </c>
      <c r="F7" s="11" t="inlineStr"/>
    </row>
    <row r="8">
      <c r="A8" s="7" t="n">
        <v>46176</v>
      </c>
      <c r="B8" s="8" t="inlineStr">
        <is>
          <t>2 months</t>
        </is>
      </c>
      <c r="C8" s="8" t="n">
        <v>16.68</v>
      </c>
      <c r="D8" s="8" t="n">
        <v>32.62</v>
      </c>
      <c r="E8" s="8" t="n">
        <v>55.82</v>
      </c>
      <c r="F8" s="8" t="inlineStr">
        <is>
          <t>65th</t>
        </is>
      </c>
    </row>
    <row r="9">
      <c r="A9" s="10" t="n">
        <v>46182</v>
      </c>
      <c r="B9" s="11" t="inlineStr">
        <is>
          <t>2 months</t>
        </is>
      </c>
      <c r="C9" s="11" t="n">
        <v>10.92</v>
      </c>
      <c r="D9" s="11" t="n">
        <v>21.38</v>
      </c>
      <c r="E9" s="11" t="n">
        <v>36.57</v>
      </c>
      <c r="F9" s="11" t="inlineStr">
        <is>
          <t>65th</t>
        </is>
      </c>
    </row>
    <row r="10">
      <c r="A10" s="7" t="n">
        <v>46188</v>
      </c>
      <c r="B10" s="8" t="inlineStr"/>
      <c r="C10" s="8" t="n">
        <v>14.38</v>
      </c>
      <c r="D10" s="8" t="n">
        <v>28.12</v>
      </c>
      <c r="E10" s="8" t="n">
        <v>48.12</v>
      </c>
      <c r="F10" s="8" t="inlineStr"/>
    </row>
    <row r="11">
      <c r="A11" s="10" t="n">
        <v>46191</v>
      </c>
      <c r="B11" s="11" t="inlineStr">
        <is>
          <t>2 months</t>
        </is>
      </c>
      <c r="C11" s="11" t="n">
        <v>9.199999999999999</v>
      </c>
      <c r="D11" s="11" t="n">
        <v>18</v>
      </c>
      <c r="E11" s="11" t="n">
        <v>30.8</v>
      </c>
      <c r="F11" s="11" t="inlineStr">
        <is>
          <t>65th</t>
        </is>
      </c>
    </row>
    <row r="12">
      <c r="A12" s="7" t="n">
        <v>46197</v>
      </c>
      <c r="B12" s="8" t="inlineStr">
        <is>
          <t>2 months</t>
        </is>
      </c>
      <c r="C12" s="8" t="n">
        <v>12.65</v>
      </c>
      <c r="D12" s="8" t="n">
        <v>24.75</v>
      </c>
      <c r="E12" s="8" t="n">
        <v>42.35</v>
      </c>
      <c r="F12" s="8" t="inlineStr">
        <is>
          <t>65th</t>
        </is>
      </c>
    </row>
    <row r="13">
      <c r="A13" s="10" t="n">
        <v>46175</v>
      </c>
      <c r="B13" s="11" t="inlineStr"/>
      <c r="C13" s="11" t="n">
        <v>8.619999999999999</v>
      </c>
      <c r="D13" s="11" t="n">
        <v>16.88</v>
      </c>
      <c r="E13" s="11" t="n">
        <v>28.88</v>
      </c>
      <c r="F1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28" customWidth="1" min="5" max="5"/>
  </cols>
  <sheetData>
    <row r="1">
      <c r="A1" s="6" t="inlineStr">
        <is>
          <t>Milestone</t>
        </is>
      </c>
      <c r="B1" s="6" t="inlineStr">
        <is>
          <t>Expected Age</t>
        </is>
      </c>
      <c r="C1" s="6" t="inlineStr">
        <is>
          <t>Achieved Date</t>
        </is>
      </c>
      <c r="D1" s="6" t="inlineStr">
        <is>
          <t>Status</t>
        </is>
      </c>
      <c r="E1" s="6" t="inlineStr">
        <is>
          <t>Notes</t>
        </is>
      </c>
    </row>
    <row r="2">
      <c r="A2" s="8" t="inlineStr">
        <is>
          <t>Kickoff meeting</t>
        </is>
      </c>
      <c r="B2" s="8" t="inlineStr">
        <is>
          <t>6-8 weeks</t>
        </is>
      </c>
      <c r="C2" s="7" t="n">
        <v>46174</v>
      </c>
      <c r="D2" s="8" t="inlineStr">
        <is>
          <t>Upcoming</t>
        </is>
      </c>
      <c r="E2" s="8" t="inlineStr"/>
    </row>
    <row r="3">
      <c r="A3" s="11" t="inlineStr">
        <is>
          <t>Send proposal</t>
        </is>
      </c>
      <c r="B3" s="11" t="inlineStr">
        <is>
          <t>6-8 weeks</t>
        </is>
      </c>
      <c r="C3" s="10" t="n">
        <v>46180</v>
      </c>
      <c r="D3" s="11" t="inlineStr">
        <is>
          <t>Done</t>
        </is>
      </c>
      <c r="E3" s="11" t="inlineStr">
        <is>
          <t>Paid</t>
        </is>
      </c>
    </row>
    <row r="4">
      <c r="A4" s="8" t="inlineStr">
        <is>
          <t>Review feedback</t>
        </is>
      </c>
      <c r="B4" s="8" t="inlineStr"/>
      <c r="C4" s="7" t="n">
        <v>46186</v>
      </c>
      <c r="D4" s="8" t="inlineStr">
        <is>
          <t>Watch</t>
        </is>
      </c>
      <c r="E4" s="8" t="inlineStr">
        <is>
          <t>Urgent</t>
        </is>
      </c>
    </row>
    <row r="5">
      <c r="A5" s="11" t="inlineStr">
        <is>
          <t>Update website copy</t>
        </is>
      </c>
      <c r="B5" s="11" t="inlineStr">
        <is>
          <t>6-8 weeks</t>
        </is>
      </c>
      <c r="C5" s="10" t="n">
        <v>46189</v>
      </c>
      <c r="D5" s="11" t="inlineStr">
        <is>
          <t>Upcoming</t>
        </is>
      </c>
      <c r="E5" s="11" t="inlineStr">
        <is>
          <t>Follow up Friday</t>
        </is>
      </c>
    </row>
    <row r="6">
      <c r="A6" s="8" t="inlineStr">
        <is>
          <t>Prepare invoice</t>
        </is>
      </c>
      <c r="B6" s="8" t="inlineStr">
        <is>
          <t>6-8 weeks</t>
        </is>
      </c>
      <c r="C6" s="7" t="n">
        <v>46195</v>
      </c>
      <c r="D6" s="8" t="inlineStr">
        <is>
          <t>Done</t>
        </is>
      </c>
      <c r="E6" s="8" t="inlineStr"/>
    </row>
    <row r="7">
      <c r="A7" s="11" t="inlineStr">
        <is>
          <t>Client call</t>
        </is>
      </c>
      <c r="B7" s="11" t="inlineStr"/>
      <c r="C7" s="10" t="n">
        <v>46201</v>
      </c>
      <c r="D7" s="11" t="inlineStr">
        <is>
          <t>Watch</t>
        </is>
      </c>
      <c r="E7" s="11" t="inlineStr">
        <is>
          <t>Monthly</t>
        </is>
      </c>
    </row>
    <row r="8">
      <c r="A8" s="8" t="inlineStr">
        <is>
          <t>Design first draft</t>
        </is>
      </c>
      <c r="B8" s="8" t="inlineStr">
        <is>
          <t>6-8 weeks</t>
        </is>
      </c>
      <c r="C8" s="7" t="n">
        <v>46176</v>
      </c>
      <c r="D8" s="8" t="inlineStr">
        <is>
          <t>Upcoming</t>
        </is>
      </c>
      <c r="E8" s="8" t="inlineStr">
        <is>
          <t>Confirmed</t>
        </is>
      </c>
    </row>
    <row r="9">
      <c r="A9" s="11" t="inlineStr">
        <is>
          <t>Fix reported bug</t>
        </is>
      </c>
      <c r="B9" s="11" t="inlineStr">
        <is>
          <t>6-8 weeks</t>
        </is>
      </c>
      <c r="C9" s="10" t="n">
        <v>46182</v>
      </c>
      <c r="D9" s="11" t="inlineStr">
        <is>
          <t>Done</t>
        </is>
      </c>
      <c r="E9" s="11" t="inlineStr"/>
    </row>
    <row r="10">
      <c r="A10" s="8" t="inlineStr">
        <is>
          <t>Weekly report</t>
        </is>
      </c>
      <c r="B10" s="8" t="inlineStr"/>
      <c r="C10" s="7" t="n">
        <v>46188</v>
      </c>
      <c r="D10" s="8" t="inlineStr">
        <is>
          <t>Watch</t>
        </is>
      </c>
      <c r="E10" s="8" t="inlineStr">
        <is>
          <t>Waiting reply</t>
        </is>
      </c>
    </row>
    <row r="11">
      <c r="A11" s="11" t="inlineStr">
        <is>
          <t>Plan next sprint</t>
        </is>
      </c>
      <c r="B11" s="11" t="inlineStr">
        <is>
          <t>6-8 weeks</t>
        </is>
      </c>
      <c r="C11" s="10" t="n">
        <v>46191</v>
      </c>
      <c r="D11" s="11" t="inlineStr">
        <is>
          <t>Upcoming</t>
        </is>
      </c>
      <c r="E11" s="11" t="inlineStr">
        <is>
          <t>Done early</t>
        </is>
      </c>
    </row>
    <row r="12">
      <c r="A12" s="8" t="inlineStr">
        <is>
          <t>Publish blog post</t>
        </is>
      </c>
      <c r="B12" s="8" t="inlineStr">
        <is>
          <t>6-8 weeks</t>
        </is>
      </c>
      <c r="C12" s="7" t="n">
        <v>46197</v>
      </c>
      <c r="D12" s="8" t="inlineStr">
        <is>
          <t>Done</t>
        </is>
      </c>
      <c r="E12" s="8" t="inlineStr"/>
    </row>
    <row r="13">
      <c r="A13" s="11" t="inlineStr">
        <is>
          <t>Team sync</t>
        </is>
      </c>
      <c r="B13" s="11" t="inlineStr"/>
      <c r="C13" s="10" t="n">
        <v>46175</v>
      </c>
      <c r="D13" s="11" t="inlineStr">
        <is>
          <t>Watch</t>
        </is>
      </c>
      <c r="E13" s="11" t="inlineStr">
        <is>
          <t>Recheck</t>
        </is>
      </c>
    </row>
  </sheetData>
  <dataValidations count="1">
    <dataValidation sqref="D2:D500" showDropDown="0" showInputMessage="0" showErrorMessage="0" allowBlank="1" type="list">
      <formula1>"Upcoming,Done,Watch"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2026-07-16T21:44:39Z</dcterms:modified>
</cp:coreProperties>
</file>