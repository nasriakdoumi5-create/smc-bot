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udget" sheetId="2" state="visible" r:id="rId2"/>
    <sheet name="Dashboard" sheetId="3" state="visible" r:id="rId3"/>
    <sheet name="Tasks" sheetId="4" state="visible" r:id="rId4"/>
    <sheet name="Contractors" sheetId="5" state="visible" r:id="rId5"/>
    <sheet name="Materia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431407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D9770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431407"/>
      </patternFill>
    </fill>
    <fill>
      <patternFill patternType="solid">
        <fgColor rgb="00FFF7F0"/>
      </patternFill>
    </fill>
    <fill>
      <patternFill patternType="solid">
        <fgColor rgb="00D97706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🔨  HOME RENOVATION PROJECT TRACKER</t>
        </is>
      </c>
    </row>
    <row r="3"/>
    <row r="4">
      <c r="B4" s="2" t="inlineStr">
        <is>
          <t>Contractor, Budget &amp; Timeline Google Sheets</t>
        </is>
      </c>
    </row>
    <row r="6">
      <c r="B6" s="3" t="inlineStr">
        <is>
          <t>STEP 1 — Fill in “Budget”</t>
        </is>
      </c>
    </row>
    <row r="7" ht="28" customHeight="1">
      <c r="B7" s="4" t="inlineStr">
        <is>
          <t>Budget by room and category: labor, materials, fixtures.</t>
        </is>
      </c>
    </row>
    <row r="9">
      <c r="B9" s="3" t="inlineStr">
        <is>
          <t>STEP 2 — Fill in “Tasks”</t>
        </is>
      </c>
    </row>
    <row r="10" ht="28" customHeight="1">
      <c r="B10" s="4" t="inlineStr">
        <is>
          <t>All renovation tasks by room with contractor and timeline.</t>
        </is>
      </c>
    </row>
    <row r="12">
      <c r="B12" s="3" t="inlineStr">
        <is>
          <t>STEP 3 — Fill in “Contractors”</t>
        </is>
      </c>
    </row>
    <row r="13" ht="28" customHeight="1">
      <c r="B13" s="4" t="inlineStr">
        <is>
          <t>Contractor directory with quotes, contact, and payment status.</t>
        </is>
      </c>
    </row>
    <row r="15">
      <c r="B15" s="3" t="inlineStr">
        <is>
          <t>STEP 4 — Fill in “Materials”</t>
        </is>
      </c>
    </row>
    <row r="16" ht="28" customHeight="1">
      <c r="B16" s="4" t="inlineStr">
        <is>
          <t>Materials shopping list with store, cost, and delivery status.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>
      <c r="A1" s="6" t="inlineStr">
        <is>
          <t>Room / Area</t>
        </is>
      </c>
      <c r="B1" s="6" t="inlineStr">
        <is>
          <t>Item</t>
        </is>
      </c>
      <c r="C1" s="6" t="inlineStr">
        <is>
          <t>Budget $</t>
        </is>
      </c>
      <c r="D1" s="6" t="inlineStr">
        <is>
          <t>Actual $</t>
        </is>
      </c>
      <c r="E1" s="6" t="inlineStr">
        <is>
          <t>Difference</t>
        </is>
      </c>
      <c r="F1" s="6" t="inlineStr">
        <is>
          <t>Category</t>
        </is>
      </c>
    </row>
    <row r="2">
      <c r="A2" s="7" t="inlineStr">
        <is>
          <t>Kitchen</t>
        </is>
      </c>
      <c r="B2" s="7" t="inlineStr">
        <is>
          <t>Kickoff meeting</t>
        </is>
      </c>
      <c r="C2" s="8" t="n">
        <v>8000</v>
      </c>
      <c r="D2" s="7" t="n">
        <v>7500</v>
      </c>
      <c r="E2" s="7">
        <f>C2-D2</f>
        <v/>
      </c>
      <c r="F2" s="7" t="inlineStr">
        <is>
          <t>Labor</t>
        </is>
      </c>
    </row>
    <row r="3">
      <c r="A3" s="9" t="inlineStr">
        <is>
          <t>Bathroom</t>
        </is>
      </c>
      <c r="B3" s="9" t="inlineStr">
        <is>
          <t>Send proposal</t>
        </is>
      </c>
      <c r="C3" s="10" t="n">
        <v>5600</v>
      </c>
      <c r="D3" s="9" t="n">
        <v>5250</v>
      </c>
      <c r="E3" s="9">
        <f>C3-D3</f>
        <v/>
      </c>
      <c r="F3" s="9" t="inlineStr">
        <is>
          <t>Materials</t>
        </is>
      </c>
    </row>
    <row r="4">
      <c r="A4" s="7" t="inlineStr">
        <is>
          <t>Living Room</t>
        </is>
      </c>
      <c r="B4" s="7" t="inlineStr">
        <is>
          <t>Review feedback</t>
        </is>
      </c>
      <c r="C4" s="8" t="n">
        <v>10400</v>
      </c>
      <c r="D4" s="7" t="n">
        <v>9750</v>
      </c>
      <c r="E4" s="7">
        <f>C4-D4</f>
        <v/>
      </c>
      <c r="F4" s="7" t="inlineStr">
        <is>
          <t>Fixtures</t>
        </is>
      </c>
    </row>
    <row r="5">
      <c r="A5" s="9" t="inlineStr">
        <is>
          <t>Bedroom</t>
        </is>
      </c>
      <c r="B5" s="9" t="inlineStr">
        <is>
          <t>Update website copy</t>
        </is>
      </c>
      <c r="C5" s="10" t="n">
        <v>6800</v>
      </c>
      <c r="D5" s="9" t="n">
        <v>6375</v>
      </c>
      <c r="E5" s="9">
        <f>C5-D5</f>
        <v/>
      </c>
      <c r="F5" s="9" t="inlineStr">
        <is>
          <t>Permits</t>
        </is>
      </c>
    </row>
    <row r="6">
      <c r="A6" s="7" t="inlineStr">
        <is>
          <t>Basement</t>
        </is>
      </c>
      <c r="B6" s="7" t="inlineStr">
        <is>
          <t>Prepare invoice</t>
        </is>
      </c>
      <c r="C6" s="8" t="n">
        <v>9200</v>
      </c>
      <c r="D6" s="7" t="n">
        <v>8625</v>
      </c>
      <c r="E6" s="7">
        <f>C6-D6</f>
        <v/>
      </c>
      <c r="F6" s="7" t="inlineStr">
        <is>
          <t>Appliances</t>
        </is>
      </c>
    </row>
    <row r="7">
      <c r="A7" s="9" t="inlineStr">
        <is>
          <t>Garage</t>
        </is>
      </c>
      <c r="B7" s="9" t="inlineStr">
        <is>
          <t>Client call</t>
        </is>
      </c>
      <c r="C7" s="10" t="n">
        <v>4800</v>
      </c>
      <c r="D7" s="9" t="n">
        <v>4500</v>
      </c>
      <c r="E7" s="9">
        <f>C7-D7</f>
        <v/>
      </c>
      <c r="F7" s="9" t="inlineStr">
        <is>
          <t>Other</t>
        </is>
      </c>
    </row>
    <row r="8">
      <c r="A8" s="7" t="inlineStr">
        <is>
          <t>Exterior</t>
        </is>
      </c>
      <c r="B8" s="7" t="inlineStr">
        <is>
          <t>Design first draft</t>
        </is>
      </c>
      <c r="C8" s="8" t="n">
        <v>11600</v>
      </c>
      <c r="D8" s="7" t="n">
        <v>10875</v>
      </c>
      <c r="E8" s="7">
        <f>C8-D8</f>
        <v/>
      </c>
      <c r="F8" s="7" t="inlineStr">
        <is>
          <t>Labor</t>
        </is>
      </c>
    </row>
    <row r="9">
      <c r="A9" s="9" t="inlineStr">
        <is>
          <t>Whole House</t>
        </is>
      </c>
      <c r="B9" s="9" t="inlineStr">
        <is>
          <t>Fix reported bug</t>
        </is>
      </c>
      <c r="C9" s="10" t="n">
        <v>7600</v>
      </c>
      <c r="D9" s="9" t="n">
        <v>7125</v>
      </c>
      <c r="E9" s="9">
        <f>C9-D9</f>
        <v/>
      </c>
      <c r="F9" s="9" t="inlineStr">
        <is>
          <t>Materials</t>
        </is>
      </c>
    </row>
    <row r="10">
      <c r="A10" s="7" t="inlineStr">
        <is>
          <t>Other</t>
        </is>
      </c>
      <c r="B10" s="7" t="inlineStr">
        <is>
          <t>Weekly report</t>
        </is>
      </c>
      <c r="C10" s="8" t="n">
        <v>10000</v>
      </c>
      <c r="D10" s="7" t="n">
        <v>9375</v>
      </c>
      <c r="E10" s="7">
        <f>C10-D10</f>
        <v/>
      </c>
      <c r="F10" s="7" t="inlineStr">
        <is>
          <t>Fixtures</t>
        </is>
      </c>
    </row>
    <row r="11">
      <c r="A11" s="9" t="inlineStr">
        <is>
          <t>Kitchen</t>
        </is>
      </c>
      <c r="B11" s="9" t="inlineStr">
        <is>
          <t>Plan next sprint</t>
        </is>
      </c>
      <c r="C11" s="10" t="n">
        <v>6400</v>
      </c>
      <c r="D11" s="9" t="n">
        <v>6000</v>
      </c>
      <c r="E11" s="9">
        <f>C11-D11</f>
        <v/>
      </c>
      <c r="F11" s="9" t="inlineStr">
        <is>
          <t>Permits</t>
        </is>
      </c>
    </row>
    <row r="12">
      <c r="A12" s="7" t="inlineStr">
        <is>
          <t>Bathroom</t>
        </is>
      </c>
      <c r="B12" s="7" t="inlineStr">
        <is>
          <t>Publish blog post</t>
        </is>
      </c>
      <c r="C12" s="8" t="n">
        <v>8800</v>
      </c>
      <c r="D12" s="7" t="n">
        <v>8250</v>
      </c>
      <c r="E12" s="7">
        <f>C12-D12</f>
        <v/>
      </c>
      <c r="F12" s="7" t="inlineStr">
        <is>
          <t>Appliances</t>
        </is>
      </c>
    </row>
    <row r="13">
      <c r="A13" s="9" t="inlineStr">
        <is>
          <t>Living Room</t>
        </is>
      </c>
      <c r="B13" s="9" t="inlineStr">
        <is>
          <t>Team sync</t>
        </is>
      </c>
      <c r="C13" s="10" t="n">
        <v>6000</v>
      </c>
      <c r="D13" s="9" t="n">
        <v>5625</v>
      </c>
      <c r="E13" s="9">
        <f>C13-D13</f>
        <v/>
      </c>
      <c r="F13" s="9" t="inlineStr">
        <is>
          <t>Other</t>
        </is>
      </c>
    </row>
  </sheetData>
  <dataValidations count="2">
    <dataValidation sqref="A2:A500" showDropDown="0" showInputMessage="0" showErrorMessage="0" allowBlank="1" type="list">
      <formula1>"Kitchen,Bathroom,Living Room,Bedroom,Basement,Garage,Exterior,Whole House,Other"</formula1>
    </dataValidation>
    <dataValidation sqref="F2:F500" showDropDown="0" showInputMessage="0" showErrorMessage="0" allowBlank="1" type="list">
      <formula1>"Labor,Materials,Fixtures,Permits,Appliances,Other"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HOME RENOVATION PROJECT TRACKER — DASHBOARD</t>
        </is>
      </c>
    </row>
    <row r="4">
      <c r="B4" s="12" t="inlineStr">
        <is>
          <t>TOTAL BUDGET</t>
        </is>
      </c>
      <c r="D4" s="13" t="inlineStr">
        <is>
          <t>TOTAL SPENT</t>
        </is>
      </c>
      <c r="F4" s="14" t="inlineStr">
        <is>
          <t>REMAINING $</t>
        </is>
      </c>
      <c r="H4" s="15" t="inlineStr">
        <is>
          <t>TASKS DONE</t>
        </is>
      </c>
    </row>
    <row r="5" ht="26" customHeight="1">
      <c r="B5" s="16">
        <f>SUM(Budget!C:C)</f>
        <v/>
      </c>
      <c r="D5" s="17">
        <f>SUM(Budget!D:D)</f>
        <v/>
      </c>
      <c r="F5" s="18">
        <f>SUM(Budget!C:C)-SUM(Budget!D:D)</f>
        <v/>
      </c>
      <c r="H5" s="19">
        <f>COUNTIF(Tasks!D:D,"Done")</f>
        <v/>
      </c>
    </row>
    <row r="8">
      <c r="B8" s="20" t="inlineStr">
        <is>
          <t>WHAT'S INSIDE</t>
        </is>
      </c>
    </row>
    <row r="9">
      <c r="B9" s="21" t="inlineStr">
        <is>
          <t>💰  Budget — Budget by room and category: labor, materials, fixtures.</t>
        </is>
      </c>
    </row>
    <row r="10">
      <c r="B10" s="21" t="inlineStr">
        <is>
          <t>✅  Tasks — All renovation tasks by room with contractor and timeline.</t>
        </is>
      </c>
    </row>
    <row r="11">
      <c r="B11" s="21" t="inlineStr">
        <is>
          <t>👷  Contractors — Contractor directory with quotes, contact, and payment status.</t>
        </is>
      </c>
    </row>
    <row r="12">
      <c r="B12" s="21" t="inlineStr">
        <is>
          <t>🪵  Materials — Materials shopping list with store, cost, and delivery status.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4" customWidth="1" min="4" max="4"/>
    <col width="14" customWidth="1" min="5" max="5"/>
    <col width="16" customWidth="1" min="6" max="6"/>
  </cols>
  <sheetData>
    <row r="1">
      <c r="A1" s="6" t="inlineStr">
        <is>
          <t>Task</t>
        </is>
      </c>
      <c r="B1" s="6" t="inlineStr">
        <is>
          <t>Room</t>
        </is>
      </c>
      <c r="C1" s="6" t="inlineStr">
        <is>
          <t>Contractor</t>
        </is>
      </c>
      <c r="D1" s="6" t="inlineStr">
        <is>
          <t>Start Date</t>
        </is>
      </c>
      <c r="E1" s="6" t="inlineStr">
        <is>
          <t>End Date</t>
        </is>
      </c>
      <c r="F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Kitchen</t>
        </is>
      </c>
      <c r="C2" s="7" t="inlineStr">
        <is>
          <t>Mike's Remodeling</t>
        </is>
      </c>
      <c r="D2" s="22" t="n">
        <v>46174</v>
      </c>
      <c r="E2" s="22" t="n">
        <v>46174</v>
      </c>
      <c r="F2" s="7" t="inlineStr">
        <is>
          <t>Not Started</t>
        </is>
      </c>
    </row>
    <row r="3">
      <c r="A3" s="9" t="inlineStr">
        <is>
          <t>Send proposal</t>
        </is>
      </c>
      <c r="B3" s="9" t="inlineStr">
        <is>
          <t>Kitchen</t>
        </is>
      </c>
      <c r="C3" s="9" t="inlineStr">
        <is>
          <t>Mike's Remodeling</t>
        </is>
      </c>
      <c r="D3" s="23" t="n">
        <v>46180</v>
      </c>
      <c r="E3" s="23" t="n">
        <v>46180</v>
      </c>
      <c r="F3" s="9" t="inlineStr">
        <is>
          <t>In Progress</t>
        </is>
      </c>
    </row>
    <row r="4">
      <c r="A4" s="7" t="inlineStr">
        <is>
          <t>Review feedback</t>
        </is>
      </c>
      <c r="B4" s="7" t="inlineStr"/>
      <c r="C4" s="7" t="inlineStr"/>
      <c r="D4" s="22" t="n">
        <v>46186</v>
      </c>
      <c r="E4" s="22" t="n">
        <v>46186</v>
      </c>
      <c r="F4" s="7" t="inlineStr">
        <is>
          <t>Done</t>
        </is>
      </c>
    </row>
    <row r="5">
      <c r="A5" s="9" t="inlineStr">
        <is>
          <t>Update website copy</t>
        </is>
      </c>
      <c r="B5" s="9" t="inlineStr">
        <is>
          <t>Kitchen</t>
        </is>
      </c>
      <c r="C5" s="9" t="inlineStr">
        <is>
          <t>Mike's Remodeling</t>
        </is>
      </c>
      <c r="D5" s="23" t="n">
        <v>46189</v>
      </c>
      <c r="E5" s="23" t="n">
        <v>46189</v>
      </c>
      <c r="F5" s="9" t="inlineStr">
        <is>
          <t>Delayed</t>
        </is>
      </c>
    </row>
    <row r="6">
      <c r="A6" s="7" t="inlineStr">
        <is>
          <t>Prepare invoice</t>
        </is>
      </c>
      <c r="B6" s="7" t="inlineStr">
        <is>
          <t>Kitchen</t>
        </is>
      </c>
      <c r="C6" s="7" t="inlineStr">
        <is>
          <t>Mike's Remodeling</t>
        </is>
      </c>
      <c r="D6" s="22" t="n">
        <v>46195</v>
      </c>
      <c r="E6" s="22" t="n">
        <v>46195</v>
      </c>
      <c r="F6" s="7" t="inlineStr">
        <is>
          <t>Blocked</t>
        </is>
      </c>
    </row>
    <row r="7">
      <c r="A7" s="9" t="inlineStr">
        <is>
          <t>Client call</t>
        </is>
      </c>
      <c r="B7" s="9" t="inlineStr"/>
      <c r="C7" s="9" t="inlineStr"/>
      <c r="D7" s="23" t="n">
        <v>46201</v>
      </c>
      <c r="E7" s="23" t="n">
        <v>46201</v>
      </c>
      <c r="F7" s="9" t="inlineStr">
        <is>
          <t>Not Started</t>
        </is>
      </c>
    </row>
    <row r="8">
      <c r="A8" s="7" t="inlineStr">
        <is>
          <t>Design first draft</t>
        </is>
      </c>
      <c r="B8" s="7" t="inlineStr">
        <is>
          <t>Kitchen</t>
        </is>
      </c>
      <c r="C8" s="7" t="inlineStr">
        <is>
          <t>Mike's Remodeling</t>
        </is>
      </c>
      <c r="D8" s="22" t="n">
        <v>46176</v>
      </c>
      <c r="E8" s="22" t="n">
        <v>46176</v>
      </c>
      <c r="F8" s="7" t="inlineStr">
        <is>
          <t>In Progress</t>
        </is>
      </c>
    </row>
    <row r="9">
      <c r="A9" s="9" t="inlineStr">
        <is>
          <t>Fix reported bug</t>
        </is>
      </c>
      <c r="B9" s="9" t="inlineStr">
        <is>
          <t>Kitchen</t>
        </is>
      </c>
      <c r="C9" s="9" t="inlineStr">
        <is>
          <t>Mike's Remodeling</t>
        </is>
      </c>
      <c r="D9" s="23" t="n">
        <v>46182</v>
      </c>
      <c r="E9" s="23" t="n">
        <v>46182</v>
      </c>
      <c r="F9" s="9" t="inlineStr">
        <is>
          <t>Done</t>
        </is>
      </c>
    </row>
    <row r="10">
      <c r="A10" s="7" t="inlineStr">
        <is>
          <t>Weekly report</t>
        </is>
      </c>
      <c r="B10" s="7" t="inlineStr"/>
      <c r="C10" s="7" t="inlineStr"/>
      <c r="D10" s="22" t="n">
        <v>46188</v>
      </c>
      <c r="E10" s="22" t="n">
        <v>46188</v>
      </c>
      <c r="F10" s="7" t="inlineStr">
        <is>
          <t>Delayed</t>
        </is>
      </c>
    </row>
    <row r="11">
      <c r="A11" s="9" t="inlineStr">
        <is>
          <t>Plan next sprint</t>
        </is>
      </c>
      <c r="B11" s="9" t="inlineStr">
        <is>
          <t>Kitchen</t>
        </is>
      </c>
      <c r="C11" s="9" t="inlineStr">
        <is>
          <t>Mike's Remodeling</t>
        </is>
      </c>
      <c r="D11" s="23" t="n">
        <v>46191</v>
      </c>
      <c r="E11" s="23" t="n">
        <v>46191</v>
      </c>
      <c r="F11" s="9" t="inlineStr">
        <is>
          <t>Blocked</t>
        </is>
      </c>
    </row>
    <row r="12">
      <c r="A12" s="7" t="inlineStr">
        <is>
          <t>Publish blog post</t>
        </is>
      </c>
      <c r="B12" s="7" t="inlineStr">
        <is>
          <t>Kitchen</t>
        </is>
      </c>
      <c r="C12" s="7" t="inlineStr">
        <is>
          <t>Mike's Remodeling</t>
        </is>
      </c>
      <c r="D12" s="22" t="n">
        <v>46197</v>
      </c>
      <c r="E12" s="22" t="n">
        <v>46197</v>
      </c>
      <c r="F12" s="7" t="inlineStr">
        <is>
          <t>Not Started</t>
        </is>
      </c>
    </row>
    <row r="13">
      <c r="A13" s="9" t="inlineStr">
        <is>
          <t>Team sync</t>
        </is>
      </c>
      <c r="B13" s="9" t="inlineStr"/>
      <c r="C13" s="9" t="inlineStr"/>
      <c r="D13" s="23" t="n">
        <v>46175</v>
      </c>
      <c r="E13" s="23" t="n">
        <v>46175</v>
      </c>
      <c r="F13" s="9" t="inlineStr">
        <is>
          <t>In Progress</t>
        </is>
      </c>
    </row>
  </sheetData>
  <dataValidations count="1">
    <dataValidation sqref="F2:F500" showDropDown="0" showInputMessage="0" showErrorMessage="0" allowBlank="1" type="list">
      <formula1>"Not Started,In Progress,Done,Delayed,Blocked"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4" customWidth="1" min="4" max="4"/>
    <col width="18" customWidth="1" min="5" max="5"/>
  </cols>
  <sheetData>
    <row r="1">
      <c r="A1" s="6" t="inlineStr">
        <is>
          <t>Contractor</t>
        </is>
      </c>
      <c r="B1" s="6" t="inlineStr">
        <is>
          <t>Trade</t>
        </is>
      </c>
      <c r="C1" s="6" t="inlineStr">
        <is>
          <t>Phone</t>
        </is>
      </c>
      <c r="D1" s="6" t="inlineStr">
        <is>
          <t>Quote $</t>
        </is>
      </c>
      <c r="E1" s="6" t="inlineStr">
        <is>
          <t>Payment Status</t>
        </is>
      </c>
    </row>
    <row r="2">
      <c r="A2" s="7" t="inlineStr">
        <is>
          <t>Mike's Remodeling</t>
        </is>
      </c>
      <c r="B2" s="7" t="inlineStr">
        <is>
          <t>General</t>
        </is>
      </c>
      <c r="C2" s="7" t="inlineStr">
        <is>
          <t>+1 555 234 5678</t>
        </is>
      </c>
      <c r="D2" s="7" t="n">
        <v>12000</v>
      </c>
      <c r="E2" s="7" t="inlineStr">
        <is>
          <t>Deposit Paid</t>
        </is>
      </c>
    </row>
    <row r="3">
      <c r="A3" s="9" t="inlineStr">
        <is>
          <t>Mike's Remodeling</t>
        </is>
      </c>
      <c r="B3" s="9" t="inlineStr">
        <is>
          <t>Plumber</t>
        </is>
      </c>
      <c r="C3" s="9" t="inlineStr">
        <is>
          <t>+1 555 234 5679</t>
        </is>
      </c>
      <c r="D3" s="9" t="n">
        <v>8400</v>
      </c>
      <c r="E3" s="9" t="inlineStr">
        <is>
          <t>In Progress</t>
        </is>
      </c>
    </row>
    <row r="4">
      <c r="A4" s="7" t="inlineStr"/>
      <c r="B4" s="7" t="inlineStr">
        <is>
          <t>Electrician</t>
        </is>
      </c>
      <c r="C4" s="7" t="inlineStr">
        <is>
          <t>+1 555 234 5680</t>
        </is>
      </c>
      <c r="D4" s="7" t="n">
        <v>15600</v>
      </c>
      <c r="E4" s="7" t="inlineStr">
        <is>
          <t>Final Paid</t>
        </is>
      </c>
    </row>
    <row r="5">
      <c r="A5" s="9" t="inlineStr">
        <is>
          <t>Mike's Remodeling</t>
        </is>
      </c>
      <c r="B5" s="9" t="inlineStr">
        <is>
          <t>Painter</t>
        </is>
      </c>
      <c r="C5" s="9" t="inlineStr">
        <is>
          <t>+1 555 234 5681</t>
        </is>
      </c>
      <c r="D5" s="9" t="n">
        <v>10200</v>
      </c>
      <c r="E5" s="9" t="inlineStr">
        <is>
          <t>Dispute</t>
        </is>
      </c>
    </row>
    <row r="6">
      <c r="A6" s="7" t="inlineStr">
        <is>
          <t>Mike's Remodeling</t>
        </is>
      </c>
      <c r="B6" s="7" t="inlineStr">
        <is>
          <t>Flooring</t>
        </is>
      </c>
      <c r="C6" s="7" t="inlineStr">
        <is>
          <t>+1 555 234 5682</t>
        </is>
      </c>
      <c r="D6" s="7" t="n">
        <v>13800</v>
      </c>
      <c r="E6" s="7" t="inlineStr">
        <is>
          <t>Deposit Paid</t>
        </is>
      </c>
    </row>
    <row r="7">
      <c r="A7" s="9" t="inlineStr"/>
      <c r="B7" s="9" t="inlineStr">
        <is>
          <t>HVAC</t>
        </is>
      </c>
      <c r="C7" s="9" t="inlineStr">
        <is>
          <t>+1 555 234 5683</t>
        </is>
      </c>
      <c r="D7" s="9" t="n">
        <v>7200</v>
      </c>
      <c r="E7" s="9" t="inlineStr">
        <is>
          <t>In Progress</t>
        </is>
      </c>
    </row>
    <row r="8">
      <c r="A8" s="7" t="inlineStr">
        <is>
          <t>Mike's Remodeling</t>
        </is>
      </c>
      <c r="B8" s="7" t="inlineStr">
        <is>
          <t>Tiler</t>
        </is>
      </c>
      <c r="C8" s="7" t="inlineStr">
        <is>
          <t>+1 555 234 5684</t>
        </is>
      </c>
      <c r="D8" s="7" t="n">
        <v>17400</v>
      </c>
      <c r="E8" s="7" t="inlineStr">
        <is>
          <t>Final Paid</t>
        </is>
      </c>
    </row>
    <row r="9">
      <c r="A9" s="9" t="inlineStr">
        <is>
          <t>Mike's Remodeling</t>
        </is>
      </c>
      <c r="B9" s="9" t="inlineStr">
        <is>
          <t>Other</t>
        </is>
      </c>
      <c r="C9" s="9" t="inlineStr">
        <is>
          <t>+1 555 234 5685</t>
        </is>
      </c>
      <c r="D9" s="9" t="n">
        <v>11400</v>
      </c>
      <c r="E9" s="9" t="inlineStr">
        <is>
          <t>Dispute</t>
        </is>
      </c>
    </row>
    <row r="10">
      <c r="A10" s="7" t="inlineStr"/>
      <c r="B10" s="7" t="inlineStr">
        <is>
          <t>General</t>
        </is>
      </c>
      <c r="C10" s="7" t="inlineStr">
        <is>
          <t>+1 555 234 5686</t>
        </is>
      </c>
      <c r="D10" s="7" t="n">
        <v>15000</v>
      </c>
      <c r="E10" s="7" t="inlineStr">
        <is>
          <t>Deposit Paid</t>
        </is>
      </c>
    </row>
    <row r="11">
      <c r="A11" s="9" t="inlineStr">
        <is>
          <t>Mike's Remodeling</t>
        </is>
      </c>
      <c r="B11" s="9" t="inlineStr">
        <is>
          <t>Plumber</t>
        </is>
      </c>
      <c r="C11" s="9" t="inlineStr">
        <is>
          <t>+1 555 234 5687</t>
        </is>
      </c>
      <c r="D11" s="9" t="n">
        <v>9600</v>
      </c>
      <c r="E11" s="9" t="inlineStr">
        <is>
          <t>In Progress</t>
        </is>
      </c>
    </row>
    <row r="12">
      <c r="A12" s="7" t="inlineStr">
        <is>
          <t>Mike's Remodeling</t>
        </is>
      </c>
      <c r="B12" s="7" t="inlineStr">
        <is>
          <t>Electrician</t>
        </is>
      </c>
      <c r="C12" s="7" t="inlineStr">
        <is>
          <t>+1 555 234 5688</t>
        </is>
      </c>
      <c r="D12" s="7" t="n">
        <v>13200</v>
      </c>
      <c r="E12" s="7" t="inlineStr">
        <is>
          <t>Final Paid</t>
        </is>
      </c>
    </row>
    <row r="13">
      <c r="A13" s="9" t="inlineStr"/>
      <c r="B13" s="9" t="inlineStr">
        <is>
          <t>Painter</t>
        </is>
      </c>
      <c r="C13" s="9" t="inlineStr">
        <is>
          <t>+1 555 234 5689</t>
        </is>
      </c>
      <c r="D13" s="9" t="n">
        <v>9000</v>
      </c>
      <c r="E13" s="9" t="inlineStr">
        <is>
          <t>Dispute</t>
        </is>
      </c>
    </row>
  </sheetData>
  <dataValidations count="2">
    <dataValidation sqref="B2:B500" showDropDown="0" showInputMessage="0" showErrorMessage="0" allowBlank="1" type="list">
      <formula1>"General,Plumber,Electrician,Painter,Flooring,HVAC,Tiler,Other"</formula1>
    </dataValidation>
    <dataValidation sqref="E2:E500" showDropDown="0" showInputMessage="0" showErrorMessage="0" allowBlank="1" type="list">
      <formula1>"Deposit Paid,In Progress,Final Paid,Dispute"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6" t="inlineStr">
        <is>
          <t>Material</t>
        </is>
      </c>
      <c r="B1" s="6" t="inlineStr">
        <is>
          <t>Supplier</t>
        </is>
      </c>
      <c r="C1" s="6" t="inlineStr">
        <is>
          <t>Quantity</t>
        </is>
      </c>
      <c r="D1" s="6" t="inlineStr">
        <is>
          <t>Unit Cost $</t>
        </is>
      </c>
      <c r="E1" s="6" t="inlineStr">
        <is>
          <t>Total $</t>
        </is>
      </c>
      <c r="F1" s="6" t="inlineStr">
        <is>
          <t>Status</t>
        </is>
      </c>
    </row>
    <row r="2">
      <c r="A2" s="7" t="inlineStr">
        <is>
          <t>Quartz Countertop</t>
        </is>
      </c>
      <c r="B2" s="7" t="inlineStr">
        <is>
          <t>BrightWave Studio</t>
        </is>
      </c>
      <c r="C2" s="7" t="inlineStr">
        <is>
          <t>30 sq ft</t>
        </is>
      </c>
      <c r="D2" s="8" t="n">
        <v>85</v>
      </c>
      <c r="E2" s="8" t="n">
        <v>2550</v>
      </c>
      <c r="F2" s="7" t="inlineStr">
        <is>
          <t>To Order</t>
        </is>
      </c>
    </row>
    <row r="3">
      <c r="A3" s="9" t="inlineStr">
        <is>
          <t>Quartz Countertop</t>
        </is>
      </c>
      <c r="B3" s="9" t="inlineStr">
        <is>
          <t>GreenLeaf Co.</t>
        </is>
      </c>
      <c r="C3" s="9" t="inlineStr">
        <is>
          <t>30 sq ft</t>
        </is>
      </c>
      <c r="D3" s="10" t="n">
        <v>59.5</v>
      </c>
      <c r="E3" s="10" t="n">
        <v>1785</v>
      </c>
      <c r="F3" s="9" t="inlineStr">
        <is>
          <t>Ordered</t>
        </is>
      </c>
    </row>
    <row r="4">
      <c r="A4" s="7" t="inlineStr"/>
      <c r="B4" s="7" t="inlineStr">
        <is>
          <t>Nova Digital</t>
        </is>
      </c>
      <c r="C4" s="7" t="inlineStr"/>
      <c r="D4" s="8" t="n">
        <v>110.5</v>
      </c>
      <c r="E4" s="8" t="n">
        <v>3315</v>
      </c>
      <c r="F4" s="7" t="inlineStr">
        <is>
          <t>Delivered</t>
        </is>
      </c>
    </row>
    <row r="5">
      <c r="A5" s="9" t="inlineStr">
        <is>
          <t>Quartz Countertop</t>
        </is>
      </c>
      <c r="B5" s="9" t="inlineStr">
        <is>
          <t>Atlas Consulting</t>
        </is>
      </c>
      <c r="C5" s="9" t="inlineStr">
        <is>
          <t>30 sq ft</t>
        </is>
      </c>
      <c r="D5" s="10" t="n">
        <v>72.25</v>
      </c>
      <c r="E5" s="10" t="n">
        <v>2168</v>
      </c>
      <c r="F5" s="9" t="inlineStr">
        <is>
          <t>Installed</t>
        </is>
      </c>
    </row>
    <row r="6">
      <c r="A6" s="7" t="inlineStr">
        <is>
          <t>Quartz Countertop</t>
        </is>
      </c>
      <c r="B6" s="7" t="inlineStr">
        <is>
          <t>Pixel &amp; Co</t>
        </is>
      </c>
      <c r="C6" s="7" t="inlineStr">
        <is>
          <t>30 sq ft</t>
        </is>
      </c>
      <c r="D6" s="8" t="n">
        <v>97.75</v>
      </c>
      <c r="E6" s="8" t="n">
        <v>2932</v>
      </c>
      <c r="F6" s="7" t="inlineStr">
        <is>
          <t>To Order</t>
        </is>
      </c>
    </row>
    <row r="7">
      <c r="A7" s="9" t="inlineStr"/>
      <c r="B7" s="9" t="inlineStr">
        <is>
          <t>Blue Harbor Ltd</t>
        </is>
      </c>
      <c r="C7" s="9" t="inlineStr"/>
      <c r="D7" s="10" t="n">
        <v>51</v>
      </c>
      <c r="E7" s="10" t="n">
        <v>1530</v>
      </c>
      <c r="F7" s="9" t="inlineStr">
        <is>
          <t>Ordered</t>
        </is>
      </c>
    </row>
    <row r="8">
      <c r="A8" s="7" t="inlineStr">
        <is>
          <t>Quartz Countertop</t>
        </is>
      </c>
      <c r="B8" s="7" t="inlineStr">
        <is>
          <t>Sunrise Media</t>
        </is>
      </c>
      <c r="C8" s="7" t="inlineStr">
        <is>
          <t>30 sq ft</t>
        </is>
      </c>
      <c r="D8" s="8" t="n">
        <v>123.25</v>
      </c>
      <c r="E8" s="8" t="n">
        <v>3698</v>
      </c>
      <c r="F8" s="7" t="inlineStr">
        <is>
          <t>Delivered</t>
        </is>
      </c>
    </row>
    <row r="9">
      <c r="A9" s="9" t="inlineStr">
        <is>
          <t>Quartz Countertop</t>
        </is>
      </c>
      <c r="B9" s="9" t="inlineStr">
        <is>
          <t>UrbanCraft</t>
        </is>
      </c>
      <c r="C9" s="9" t="inlineStr">
        <is>
          <t>30 sq ft</t>
        </is>
      </c>
      <c r="D9" s="10" t="n">
        <v>80.75</v>
      </c>
      <c r="E9" s="10" t="n">
        <v>2422</v>
      </c>
      <c r="F9" s="9" t="inlineStr">
        <is>
          <t>Installed</t>
        </is>
      </c>
    </row>
    <row r="10">
      <c r="A10" s="7" t="inlineStr"/>
      <c r="B10" s="7" t="inlineStr">
        <is>
          <t>PrimeWorks</t>
        </is>
      </c>
      <c r="C10" s="7" t="inlineStr"/>
      <c r="D10" s="8" t="n">
        <v>106.25</v>
      </c>
      <c r="E10" s="8" t="n">
        <v>3188</v>
      </c>
      <c r="F10" s="7" t="inlineStr">
        <is>
          <t>To Order</t>
        </is>
      </c>
    </row>
    <row r="11">
      <c r="A11" s="9" t="inlineStr">
        <is>
          <t>Quartz Countertop</t>
        </is>
      </c>
      <c r="B11" s="9" t="inlineStr">
        <is>
          <t>EchoLab</t>
        </is>
      </c>
      <c r="C11" s="9" t="inlineStr">
        <is>
          <t>30 sq ft</t>
        </is>
      </c>
      <c r="D11" s="10" t="n">
        <v>68</v>
      </c>
      <c r="E11" s="10" t="n">
        <v>2040</v>
      </c>
      <c r="F11" s="9" t="inlineStr">
        <is>
          <t>Ordered</t>
        </is>
      </c>
    </row>
    <row r="12">
      <c r="A12" s="7" t="inlineStr">
        <is>
          <t>Quartz Countertop</t>
        </is>
      </c>
      <c r="B12" s="7" t="inlineStr">
        <is>
          <t>Vertex Group</t>
        </is>
      </c>
      <c r="C12" s="7" t="inlineStr">
        <is>
          <t>30 sq ft</t>
        </is>
      </c>
      <c r="D12" s="8" t="n">
        <v>93.5</v>
      </c>
      <c r="E12" s="8" t="n">
        <v>2805</v>
      </c>
      <c r="F12" s="7" t="inlineStr">
        <is>
          <t>Delivered</t>
        </is>
      </c>
    </row>
    <row r="13">
      <c r="A13" s="9" t="inlineStr"/>
      <c r="B13" s="9" t="inlineStr">
        <is>
          <t>ClearPath Inc</t>
        </is>
      </c>
      <c r="C13" s="9" t="inlineStr"/>
      <c r="D13" s="10" t="n">
        <v>63.75</v>
      </c>
      <c r="E13" s="10" t="n">
        <v>1912</v>
      </c>
      <c r="F13" s="9" t="inlineStr">
        <is>
          <t>Installed</t>
        </is>
      </c>
    </row>
  </sheetData>
  <dataValidations count="1">
    <dataValidation sqref="F2:F500" showDropDown="0" showInputMessage="0" showErrorMessage="0" allowBlank="1" type="list">
      <formula1>"To Order,Ordered,Delivered,Installed"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