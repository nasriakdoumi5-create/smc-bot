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ily" sheetId="2" state="visible" r:id="rId2"/>
    <sheet name="Menu" sheetId="3" state="visible" r:id="rId3"/>
    <sheet name="Sta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C0505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Restaurant Sales Tracker</t>
        </is>
      </c>
    </row>
    <row r="3">
      <c r="A3" s="2" t="inlineStr">
        <is>
          <t>MTD Revenue</t>
        </is>
      </c>
      <c r="B3" s="2" t="inlineStr">
        <is>
          <t>Avg Food Cost %</t>
        </is>
      </c>
      <c r="C3" s="2" t="inlineStr">
        <is>
          <t>Avg Labor Cost %</t>
        </is>
      </c>
      <c r="D3" s="2" t="inlineStr">
        <is>
          <t>Avg Net Margin %</t>
        </is>
      </c>
    </row>
    <row r="4" ht="36" customHeight="1">
      <c r="A4" s="3">
        <f>SUMIF(Daily!A:A,"&gt;="&amp;DATE(YEAR(TODAY()),MONTH(TODAY()),1),Daily!C:C)</f>
        <v/>
      </c>
      <c r="B4" s="3">
        <f>AVERAGE(Daily!E:E)</f>
        <v/>
      </c>
      <c r="C4" s="3">
        <f>AVERAGE(Daily!G:G)</f>
        <v/>
      </c>
      <c r="D4" s="3">
        <f>AVERAGE(Daily!I:I)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DC2626"/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>
      <c r="A1" s="4" t="inlineStr">
        <is>
          <t>Date</t>
        </is>
      </c>
      <c r="B1" s="4" t="inlineStr">
        <is>
          <t>Covers</t>
        </is>
      </c>
      <c r="C1" s="4" t="inlineStr">
        <is>
          <t>Revenue $</t>
        </is>
      </c>
      <c r="D1" s="4" t="inlineStr">
        <is>
          <t>Food Cost $</t>
        </is>
      </c>
      <c r="E1" s="4" t="inlineStr">
        <is>
          <t>Food Cost %</t>
        </is>
      </c>
      <c r="F1" s="4" t="inlineStr">
        <is>
          <t>Labor $</t>
        </is>
      </c>
      <c r="G1" s="4" t="inlineStr">
        <is>
          <t>Labor %</t>
        </is>
      </c>
      <c r="H1" s="4" t="inlineStr">
        <is>
          <t>Other Costs $</t>
        </is>
      </c>
      <c r="I1" s="4" t="inlineStr">
        <is>
          <t>Net Margin %</t>
        </is>
      </c>
    </row>
    <row r="2" ht="22" customHeight="1">
      <c r="A2" s="5" t="inlineStr">
        <is>
          <t>2024-01-15</t>
        </is>
      </c>
      <c r="B2" s="5" t="inlineStr">
        <is>
          <t>120</t>
        </is>
      </c>
      <c r="C2" s="5" t="inlineStr">
        <is>
          <t>3800</t>
        </is>
      </c>
      <c r="D2" s="5" t="inlineStr">
        <is>
          <t>1140</t>
        </is>
      </c>
      <c r="E2" s="6">
        <f>D2/C2</f>
        <v/>
      </c>
      <c r="F2" s="5" t="inlineStr">
        <is>
          <t>950</t>
        </is>
      </c>
      <c r="G2" s="6">
        <f>F2/C2</f>
        <v/>
      </c>
      <c r="H2" s="5" t="inlineStr">
        <is>
          <t>200</t>
        </is>
      </c>
      <c r="I2" s="6">
        <f>(C2-D2-F2-H2)/C2</f>
        <v/>
      </c>
    </row>
    <row r="3" ht="22" customHeight="1">
      <c r="A3" s="5" t="inlineStr">
        <is>
          <t>2024-01-15</t>
        </is>
      </c>
      <c r="B3" s="5" t="inlineStr">
        <is>
          <t>120</t>
        </is>
      </c>
      <c r="C3" s="5" t="inlineStr">
        <is>
          <t>3800</t>
        </is>
      </c>
      <c r="D3" s="5" t="inlineStr">
        <is>
          <t>1140</t>
        </is>
      </c>
      <c r="E3" s="6">
        <f>D3/C3</f>
        <v/>
      </c>
      <c r="F3" s="5" t="inlineStr">
        <is>
          <t>950</t>
        </is>
      </c>
      <c r="G3" s="6">
        <f>F3/C3</f>
        <v/>
      </c>
      <c r="H3" s="5" t="inlineStr">
        <is>
          <t>200</t>
        </is>
      </c>
      <c r="I3" s="6">
        <f>(C3-D3-F3-H3)/C3</f>
        <v/>
      </c>
    </row>
    <row r="4" ht="22" customHeight="1">
      <c r="A4" s="5" t="inlineStr">
        <is>
          <t>2024-01-15</t>
        </is>
      </c>
      <c r="B4" s="5" t="inlineStr">
        <is>
          <t>120</t>
        </is>
      </c>
      <c r="C4" s="5" t="inlineStr">
        <is>
          <t>3800</t>
        </is>
      </c>
      <c r="D4" s="5" t="inlineStr">
        <is>
          <t>1140</t>
        </is>
      </c>
      <c r="E4" s="6">
        <f>D4/C4</f>
        <v/>
      </c>
      <c r="F4" s="5" t="inlineStr">
        <is>
          <t>950</t>
        </is>
      </c>
      <c r="G4" s="6">
        <f>F4/C4</f>
        <v/>
      </c>
      <c r="H4" s="5" t="inlineStr">
        <is>
          <t>200</t>
        </is>
      </c>
      <c r="I4" s="6">
        <f>(C4-D4-F4-H4)/C4</f>
        <v/>
      </c>
    </row>
    <row r="5" ht="22" customHeight="1">
      <c r="A5" s="5" t="inlineStr">
        <is>
          <t>2024-01-15</t>
        </is>
      </c>
      <c r="B5" s="5" t="inlineStr">
        <is>
          <t>120</t>
        </is>
      </c>
      <c r="C5" s="5" t="inlineStr">
        <is>
          <t>3800</t>
        </is>
      </c>
      <c r="D5" s="5" t="inlineStr">
        <is>
          <t>1140</t>
        </is>
      </c>
      <c r="E5" s="6">
        <f>D5/C5</f>
        <v/>
      </c>
      <c r="F5" s="5" t="inlineStr">
        <is>
          <t>950</t>
        </is>
      </c>
      <c r="G5" s="6">
        <f>F5/C5</f>
        <v/>
      </c>
      <c r="H5" s="5" t="inlineStr">
        <is>
          <t>200</t>
        </is>
      </c>
      <c r="I5" s="6">
        <f>(C5-D5-F5-H5)/C5</f>
        <v/>
      </c>
    </row>
    <row r="6" ht="22" customHeight="1">
      <c r="A6" s="5" t="inlineStr">
        <is>
          <t>2024-01-15</t>
        </is>
      </c>
      <c r="B6" s="5" t="inlineStr">
        <is>
          <t>120</t>
        </is>
      </c>
      <c r="C6" s="5" t="inlineStr">
        <is>
          <t>3800</t>
        </is>
      </c>
      <c r="D6" s="5" t="inlineStr">
        <is>
          <t>1140</t>
        </is>
      </c>
      <c r="E6" s="6">
        <f>D6/C6</f>
        <v/>
      </c>
      <c r="F6" s="5" t="inlineStr">
        <is>
          <t>950</t>
        </is>
      </c>
      <c r="G6" s="6">
        <f>F6/C6</f>
        <v/>
      </c>
      <c r="H6" s="5" t="inlineStr">
        <is>
          <t>200</t>
        </is>
      </c>
      <c r="I6" s="6">
        <f>(C6-D6-F6-H6)/C6</f>
        <v/>
      </c>
    </row>
    <row r="7" ht="22" customHeight="1">
      <c r="A7" s="5" t="inlineStr">
        <is>
          <t>2024-01-15</t>
        </is>
      </c>
      <c r="B7" s="5" t="inlineStr">
        <is>
          <t>120</t>
        </is>
      </c>
      <c r="C7" s="5" t="inlineStr">
        <is>
          <t>3800</t>
        </is>
      </c>
      <c r="D7" s="5" t="inlineStr">
        <is>
          <t>1140</t>
        </is>
      </c>
      <c r="E7" s="6">
        <f>D7/C7</f>
        <v/>
      </c>
      <c r="F7" s="5" t="inlineStr">
        <is>
          <t>950</t>
        </is>
      </c>
      <c r="G7" s="6">
        <f>F7/C7</f>
        <v/>
      </c>
      <c r="H7" s="5" t="inlineStr">
        <is>
          <t>200</t>
        </is>
      </c>
      <c r="I7" s="6">
        <f>(C7-D7-F7-H7)/C7</f>
        <v/>
      </c>
    </row>
    <row r="8" ht="22" customHeight="1">
      <c r="A8" s="5" t="inlineStr">
        <is>
          <t>2024-01-15</t>
        </is>
      </c>
      <c r="B8" s="5" t="inlineStr">
        <is>
          <t>120</t>
        </is>
      </c>
      <c r="C8" s="5" t="inlineStr">
        <is>
          <t>3800</t>
        </is>
      </c>
      <c r="D8" s="5" t="inlineStr">
        <is>
          <t>1140</t>
        </is>
      </c>
      <c r="E8" s="6">
        <f>D8/C8</f>
        <v/>
      </c>
      <c r="F8" s="5" t="inlineStr">
        <is>
          <t>950</t>
        </is>
      </c>
      <c r="G8" s="6">
        <f>F8/C8</f>
        <v/>
      </c>
      <c r="H8" s="5" t="inlineStr">
        <is>
          <t>200</t>
        </is>
      </c>
      <c r="I8" s="6">
        <f>(C8-D8-F8-H8)/C8</f>
        <v/>
      </c>
    </row>
    <row r="9" ht="22" customHeight="1">
      <c r="A9" s="5" t="inlineStr">
        <is>
          <t>2024-01-15</t>
        </is>
      </c>
      <c r="B9" s="5" t="inlineStr">
        <is>
          <t>120</t>
        </is>
      </c>
      <c r="C9" s="5" t="inlineStr">
        <is>
          <t>3800</t>
        </is>
      </c>
      <c r="D9" s="5" t="inlineStr">
        <is>
          <t>1140</t>
        </is>
      </c>
      <c r="E9" s="6">
        <f>D9/C9</f>
        <v/>
      </c>
      <c r="F9" s="5" t="inlineStr">
        <is>
          <t>950</t>
        </is>
      </c>
      <c r="G9" s="6">
        <f>F9/C9</f>
        <v/>
      </c>
      <c r="H9" s="5" t="inlineStr">
        <is>
          <t>200</t>
        </is>
      </c>
      <c r="I9" s="6">
        <f>(C9-D9-F9-H9)/C9</f>
        <v/>
      </c>
    </row>
    <row r="10" ht="22" customHeight="1">
      <c r="A10" s="5" t="inlineStr">
        <is>
          <t>2024-01-15</t>
        </is>
      </c>
      <c r="B10" s="5" t="inlineStr">
        <is>
          <t>120</t>
        </is>
      </c>
      <c r="C10" s="5" t="inlineStr">
        <is>
          <t>3800</t>
        </is>
      </c>
      <c r="D10" s="5" t="inlineStr">
        <is>
          <t>1140</t>
        </is>
      </c>
      <c r="E10" s="6">
        <f>D10/C10</f>
        <v/>
      </c>
      <c r="F10" s="5" t="inlineStr">
        <is>
          <t>950</t>
        </is>
      </c>
      <c r="G10" s="6">
        <f>F10/C10</f>
        <v/>
      </c>
      <c r="H10" s="5" t="inlineStr">
        <is>
          <t>200</t>
        </is>
      </c>
      <c r="I10" s="6">
        <f>(C10-D10-F10-H10)/C10</f>
        <v/>
      </c>
    </row>
    <row r="11" ht="22" customHeight="1">
      <c r="A11" s="5" t="inlineStr">
        <is>
          <t>2024-01-15</t>
        </is>
      </c>
      <c r="B11" s="5" t="inlineStr">
        <is>
          <t>120</t>
        </is>
      </c>
      <c r="C11" s="5" t="inlineStr">
        <is>
          <t>3800</t>
        </is>
      </c>
      <c r="D11" s="5" t="inlineStr">
        <is>
          <t>1140</t>
        </is>
      </c>
      <c r="E11" s="6">
        <f>D11/C11</f>
        <v/>
      </c>
      <c r="F11" s="5" t="inlineStr">
        <is>
          <t>950</t>
        </is>
      </c>
      <c r="G11" s="6">
        <f>F11/C11</f>
        <v/>
      </c>
      <c r="H11" s="5" t="inlineStr">
        <is>
          <t>200</t>
        </is>
      </c>
      <c r="I11" s="6">
        <f>(C11-D11-F11-H11)/C11</f>
        <v/>
      </c>
    </row>
    <row r="12" ht="22" customHeight="1">
      <c r="A12" s="5" t="inlineStr">
        <is>
          <t>2024-01-15</t>
        </is>
      </c>
      <c r="B12" s="5" t="inlineStr">
        <is>
          <t>120</t>
        </is>
      </c>
      <c r="C12" s="5" t="inlineStr">
        <is>
          <t>3800</t>
        </is>
      </c>
      <c r="D12" s="5" t="inlineStr">
        <is>
          <t>1140</t>
        </is>
      </c>
      <c r="E12" s="6">
        <f>D12/C12</f>
        <v/>
      </c>
      <c r="F12" s="5" t="inlineStr">
        <is>
          <t>950</t>
        </is>
      </c>
      <c r="G12" s="6">
        <f>F12/C12</f>
        <v/>
      </c>
      <c r="H12" s="5" t="inlineStr">
        <is>
          <t>200</t>
        </is>
      </c>
      <c r="I12" s="6">
        <f>(C12-D12-F12-H12)/C12</f>
        <v/>
      </c>
    </row>
    <row r="13" ht="22" customHeight="1">
      <c r="A13" s="5" t="inlineStr">
        <is>
          <t>2024-01-15</t>
        </is>
      </c>
      <c r="B13" s="5" t="inlineStr">
        <is>
          <t>120</t>
        </is>
      </c>
      <c r="C13" s="5" t="inlineStr">
        <is>
          <t>3800</t>
        </is>
      </c>
      <c r="D13" s="5" t="inlineStr">
        <is>
          <t>1140</t>
        </is>
      </c>
      <c r="E13" s="6">
        <f>D13/C13</f>
        <v/>
      </c>
      <c r="F13" s="5" t="inlineStr">
        <is>
          <t>950</t>
        </is>
      </c>
      <c r="G13" s="6">
        <f>F13/C13</f>
        <v/>
      </c>
      <c r="H13" s="5" t="inlineStr">
        <is>
          <t>200</t>
        </is>
      </c>
      <c r="I13" s="6">
        <f>(C13-D13-F13-H13)/C13</f>
        <v/>
      </c>
    </row>
    <row r="14" ht="22" customHeight="1">
      <c r="A14" s="5" t="inlineStr">
        <is>
          <t>2024-01-15</t>
        </is>
      </c>
      <c r="B14" s="5" t="inlineStr">
        <is>
          <t>120</t>
        </is>
      </c>
      <c r="C14" s="5" t="inlineStr">
        <is>
          <t>3800</t>
        </is>
      </c>
      <c r="D14" s="5" t="inlineStr">
        <is>
          <t>1140</t>
        </is>
      </c>
      <c r="E14" s="6">
        <f>D14/C14</f>
        <v/>
      </c>
      <c r="F14" s="5" t="inlineStr">
        <is>
          <t>950</t>
        </is>
      </c>
      <c r="G14" s="6">
        <f>F14/C14</f>
        <v/>
      </c>
      <c r="H14" s="5" t="inlineStr">
        <is>
          <t>200</t>
        </is>
      </c>
      <c r="I14" s="6">
        <f>(C14-D14-F14-H14)/C14</f>
        <v/>
      </c>
    </row>
    <row r="15" ht="22" customHeight="1">
      <c r="A15" s="5" t="inlineStr">
        <is>
          <t>2024-01-15</t>
        </is>
      </c>
      <c r="B15" s="5" t="inlineStr">
        <is>
          <t>120</t>
        </is>
      </c>
      <c r="C15" s="5" t="inlineStr">
        <is>
          <t>3800</t>
        </is>
      </c>
      <c r="D15" s="5" t="inlineStr">
        <is>
          <t>1140</t>
        </is>
      </c>
      <c r="E15" s="6">
        <f>D15/C15</f>
        <v/>
      </c>
      <c r="F15" s="5" t="inlineStr">
        <is>
          <t>950</t>
        </is>
      </c>
      <c r="G15" s="6">
        <f>F15/C15</f>
        <v/>
      </c>
      <c r="H15" s="5" t="inlineStr">
        <is>
          <t>200</t>
        </is>
      </c>
      <c r="I15" s="6">
        <f>(C15-D15-F15-H15)/C15</f>
        <v/>
      </c>
    </row>
    <row r="16" ht="22" customHeight="1">
      <c r="A16" s="5" t="inlineStr">
        <is>
          <t>2024-01-15</t>
        </is>
      </c>
      <c r="B16" s="5" t="inlineStr">
        <is>
          <t>120</t>
        </is>
      </c>
      <c r="C16" s="5" t="inlineStr">
        <is>
          <t>3800</t>
        </is>
      </c>
      <c r="D16" s="5" t="inlineStr">
        <is>
          <t>1140</t>
        </is>
      </c>
      <c r="E16" s="6">
        <f>D16/C16</f>
        <v/>
      </c>
      <c r="F16" s="5" t="inlineStr">
        <is>
          <t>950</t>
        </is>
      </c>
      <c r="G16" s="6">
        <f>F16/C16</f>
        <v/>
      </c>
      <c r="H16" s="5" t="inlineStr">
        <is>
          <t>200</t>
        </is>
      </c>
      <c r="I16" s="6">
        <f>(C16-D16-F16-H16)/C16</f>
        <v/>
      </c>
    </row>
    <row r="17" ht="22" customHeight="1">
      <c r="A17" s="5" t="inlineStr">
        <is>
          <t>2024-01-15</t>
        </is>
      </c>
      <c r="B17" s="5" t="inlineStr">
        <is>
          <t>120</t>
        </is>
      </c>
      <c r="C17" s="5" t="inlineStr">
        <is>
          <t>3800</t>
        </is>
      </c>
      <c r="D17" s="5" t="inlineStr">
        <is>
          <t>1140</t>
        </is>
      </c>
      <c r="E17" s="6">
        <f>D17/C17</f>
        <v/>
      </c>
      <c r="F17" s="5" t="inlineStr">
        <is>
          <t>950</t>
        </is>
      </c>
      <c r="G17" s="6">
        <f>F17/C17</f>
        <v/>
      </c>
      <c r="H17" s="5" t="inlineStr">
        <is>
          <t>200</t>
        </is>
      </c>
      <c r="I17" s="6">
        <f>(C17-D17-F17-H17)/C17</f>
        <v/>
      </c>
    </row>
    <row r="18" ht="22" customHeight="1">
      <c r="A18" s="5" t="inlineStr">
        <is>
          <t>2024-01-15</t>
        </is>
      </c>
      <c r="B18" s="5" t="inlineStr">
        <is>
          <t>120</t>
        </is>
      </c>
      <c r="C18" s="5" t="inlineStr">
        <is>
          <t>3800</t>
        </is>
      </c>
      <c r="D18" s="5" t="inlineStr">
        <is>
          <t>1140</t>
        </is>
      </c>
      <c r="E18" s="6">
        <f>D18/C18</f>
        <v/>
      </c>
      <c r="F18" s="5" t="inlineStr">
        <is>
          <t>950</t>
        </is>
      </c>
      <c r="G18" s="6">
        <f>F18/C18</f>
        <v/>
      </c>
      <c r="H18" s="5" t="inlineStr">
        <is>
          <t>200</t>
        </is>
      </c>
      <c r="I18" s="6">
        <f>(C18-D18-F18-H18)/C18</f>
        <v/>
      </c>
    </row>
    <row r="19" ht="22" customHeight="1">
      <c r="A19" s="5" t="inlineStr">
        <is>
          <t>2024-01-15</t>
        </is>
      </c>
      <c r="B19" s="5" t="inlineStr">
        <is>
          <t>120</t>
        </is>
      </c>
      <c r="C19" s="5" t="inlineStr">
        <is>
          <t>3800</t>
        </is>
      </c>
      <c r="D19" s="5" t="inlineStr">
        <is>
          <t>1140</t>
        </is>
      </c>
      <c r="E19" s="6">
        <f>D19/C19</f>
        <v/>
      </c>
      <c r="F19" s="5" t="inlineStr">
        <is>
          <t>950</t>
        </is>
      </c>
      <c r="G19" s="6">
        <f>F19/C19</f>
        <v/>
      </c>
      <c r="H19" s="5" t="inlineStr">
        <is>
          <t>200</t>
        </is>
      </c>
      <c r="I19" s="6">
        <f>(C19-D19-F19-H19)/C19</f>
        <v/>
      </c>
    </row>
    <row r="20" ht="22" customHeight="1">
      <c r="A20" s="5" t="inlineStr">
        <is>
          <t>2024-01-15</t>
        </is>
      </c>
      <c r="B20" s="5" t="inlineStr">
        <is>
          <t>120</t>
        </is>
      </c>
      <c r="C20" s="5" t="inlineStr">
        <is>
          <t>3800</t>
        </is>
      </c>
      <c r="D20" s="5" t="inlineStr">
        <is>
          <t>1140</t>
        </is>
      </c>
      <c r="E20" s="6">
        <f>D20/C20</f>
        <v/>
      </c>
      <c r="F20" s="5" t="inlineStr">
        <is>
          <t>950</t>
        </is>
      </c>
      <c r="G20" s="6">
        <f>F20/C20</f>
        <v/>
      </c>
      <c r="H20" s="5" t="inlineStr">
        <is>
          <t>200</t>
        </is>
      </c>
      <c r="I20" s="6">
        <f>(C20-D20-F20-H20)/C20</f>
        <v/>
      </c>
    </row>
    <row r="21" ht="22" customHeight="1">
      <c r="A21" s="5" t="inlineStr">
        <is>
          <t>2024-01-15</t>
        </is>
      </c>
      <c r="B21" s="5" t="inlineStr">
        <is>
          <t>120</t>
        </is>
      </c>
      <c r="C21" s="5" t="inlineStr">
        <is>
          <t>3800</t>
        </is>
      </c>
      <c r="D21" s="5" t="inlineStr">
        <is>
          <t>1140</t>
        </is>
      </c>
      <c r="E21" s="6">
        <f>D21/C21</f>
        <v/>
      </c>
      <c r="F21" s="5" t="inlineStr">
        <is>
          <t>950</t>
        </is>
      </c>
      <c r="G21" s="6">
        <f>F21/C21</f>
        <v/>
      </c>
      <c r="H21" s="5" t="inlineStr">
        <is>
          <t>200</t>
        </is>
      </c>
      <c r="I21" s="6">
        <f>(C21-D21-F21-H21)/C21</f>
        <v/>
      </c>
    </row>
    <row r="22" ht="22" customHeight="1">
      <c r="A22" s="5" t="inlineStr">
        <is>
          <t>2024-01-15</t>
        </is>
      </c>
      <c r="B22" s="5" t="inlineStr">
        <is>
          <t>120</t>
        </is>
      </c>
      <c r="C22" s="5" t="inlineStr">
        <is>
          <t>3800</t>
        </is>
      </c>
      <c r="D22" s="5" t="inlineStr">
        <is>
          <t>1140</t>
        </is>
      </c>
      <c r="E22" s="6">
        <f>D22/C22</f>
        <v/>
      </c>
      <c r="F22" s="5" t="inlineStr">
        <is>
          <t>950</t>
        </is>
      </c>
      <c r="G22" s="6">
        <f>F22/C22</f>
        <v/>
      </c>
      <c r="H22" s="5" t="inlineStr">
        <is>
          <t>200</t>
        </is>
      </c>
      <c r="I22" s="6">
        <f>(C22-D22-F22-H22)/C22</f>
        <v/>
      </c>
    </row>
    <row r="23" ht="22" customHeight="1">
      <c r="A23" s="5" t="inlineStr">
        <is>
          <t>2024-01-15</t>
        </is>
      </c>
      <c r="B23" s="5" t="inlineStr">
        <is>
          <t>120</t>
        </is>
      </c>
      <c r="C23" s="5" t="inlineStr">
        <is>
          <t>3800</t>
        </is>
      </c>
      <c r="D23" s="5" t="inlineStr">
        <is>
          <t>1140</t>
        </is>
      </c>
      <c r="E23" s="6">
        <f>D23/C23</f>
        <v/>
      </c>
      <c r="F23" s="5" t="inlineStr">
        <is>
          <t>950</t>
        </is>
      </c>
      <c r="G23" s="6">
        <f>F23/C23</f>
        <v/>
      </c>
      <c r="H23" s="5" t="inlineStr">
        <is>
          <t>200</t>
        </is>
      </c>
      <c r="I23" s="6">
        <f>(C23-D23-F23-H23)/C23</f>
        <v/>
      </c>
    </row>
    <row r="24" ht="22" customHeight="1">
      <c r="A24" s="5" t="inlineStr">
        <is>
          <t>2024-01-15</t>
        </is>
      </c>
      <c r="B24" s="5" t="inlineStr">
        <is>
          <t>120</t>
        </is>
      </c>
      <c r="C24" s="5" t="inlineStr">
        <is>
          <t>3800</t>
        </is>
      </c>
      <c r="D24" s="5" t="inlineStr">
        <is>
          <t>1140</t>
        </is>
      </c>
      <c r="E24" s="6">
        <f>D24/C24</f>
        <v/>
      </c>
      <c r="F24" s="5" t="inlineStr">
        <is>
          <t>950</t>
        </is>
      </c>
      <c r="G24" s="6">
        <f>F24/C24</f>
        <v/>
      </c>
      <c r="H24" s="5" t="inlineStr">
        <is>
          <t>200</t>
        </is>
      </c>
      <c r="I24" s="6">
        <f>(C24-D24-F24-H24)/C24</f>
        <v/>
      </c>
    </row>
    <row r="25" ht="22" customHeight="1">
      <c r="A25" s="5" t="inlineStr">
        <is>
          <t>2024-01-15</t>
        </is>
      </c>
      <c r="B25" s="5" t="inlineStr">
        <is>
          <t>120</t>
        </is>
      </c>
      <c r="C25" s="5" t="inlineStr">
        <is>
          <t>3800</t>
        </is>
      </c>
      <c r="D25" s="5" t="inlineStr">
        <is>
          <t>1140</t>
        </is>
      </c>
      <c r="E25" s="6">
        <f>D25/C25</f>
        <v/>
      </c>
      <c r="F25" s="5" t="inlineStr">
        <is>
          <t>950</t>
        </is>
      </c>
      <c r="G25" s="6">
        <f>F25/C25</f>
        <v/>
      </c>
      <c r="H25" s="5" t="inlineStr">
        <is>
          <t>200</t>
        </is>
      </c>
      <c r="I25" s="6">
        <f>(C25-D25-F25-H25)/C25</f>
        <v/>
      </c>
    </row>
    <row r="26" ht="22" customHeight="1">
      <c r="A26" s="5" t="inlineStr">
        <is>
          <t>2024-01-15</t>
        </is>
      </c>
      <c r="B26" s="5" t="inlineStr">
        <is>
          <t>120</t>
        </is>
      </c>
      <c r="C26" s="5" t="inlineStr">
        <is>
          <t>3800</t>
        </is>
      </c>
      <c r="D26" s="5" t="inlineStr">
        <is>
          <t>1140</t>
        </is>
      </c>
      <c r="E26" s="6">
        <f>D26/C26</f>
        <v/>
      </c>
      <c r="F26" s="5" t="inlineStr">
        <is>
          <t>950</t>
        </is>
      </c>
      <c r="G26" s="6">
        <f>F26/C26</f>
        <v/>
      </c>
      <c r="H26" s="5" t="inlineStr">
        <is>
          <t>200</t>
        </is>
      </c>
      <c r="I26" s="6">
        <f>(C26-D26-F26-H26)/C26</f>
        <v/>
      </c>
    </row>
    <row r="27" ht="22" customHeight="1">
      <c r="A27" s="5" t="inlineStr">
        <is>
          <t>2024-01-15</t>
        </is>
      </c>
      <c r="B27" s="5" t="inlineStr">
        <is>
          <t>120</t>
        </is>
      </c>
      <c r="C27" s="5" t="inlineStr">
        <is>
          <t>3800</t>
        </is>
      </c>
      <c r="D27" s="5" t="inlineStr">
        <is>
          <t>1140</t>
        </is>
      </c>
      <c r="E27" s="6">
        <f>D27/C27</f>
        <v/>
      </c>
      <c r="F27" s="5" t="inlineStr">
        <is>
          <t>950</t>
        </is>
      </c>
      <c r="G27" s="6">
        <f>F27/C27</f>
        <v/>
      </c>
      <c r="H27" s="5" t="inlineStr">
        <is>
          <t>200</t>
        </is>
      </c>
      <c r="I27" s="6">
        <f>(C27-D27-F27-H27)/C27</f>
        <v/>
      </c>
    </row>
    <row r="28" ht="22" customHeight="1">
      <c r="A28" s="5" t="inlineStr">
        <is>
          <t>2024-01-15</t>
        </is>
      </c>
      <c r="B28" s="5" t="inlineStr">
        <is>
          <t>120</t>
        </is>
      </c>
      <c r="C28" s="5" t="inlineStr">
        <is>
          <t>3800</t>
        </is>
      </c>
      <c r="D28" s="5" t="inlineStr">
        <is>
          <t>1140</t>
        </is>
      </c>
      <c r="E28" s="6">
        <f>D28/C28</f>
        <v/>
      </c>
      <c r="F28" s="5" t="inlineStr">
        <is>
          <t>950</t>
        </is>
      </c>
      <c r="G28" s="6">
        <f>F28/C28</f>
        <v/>
      </c>
      <c r="H28" s="5" t="inlineStr">
        <is>
          <t>200</t>
        </is>
      </c>
      <c r="I28" s="6">
        <f>(C28-D28-F28-H28)/C28</f>
        <v/>
      </c>
    </row>
    <row r="29" ht="22" customHeight="1">
      <c r="A29" s="5" t="inlineStr">
        <is>
          <t>2024-01-15</t>
        </is>
      </c>
      <c r="B29" s="5" t="inlineStr">
        <is>
          <t>120</t>
        </is>
      </c>
      <c r="C29" s="5" t="inlineStr">
        <is>
          <t>3800</t>
        </is>
      </c>
      <c r="D29" s="5" t="inlineStr">
        <is>
          <t>1140</t>
        </is>
      </c>
      <c r="E29" s="6">
        <f>D29/C29</f>
        <v/>
      </c>
      <c r="F29" s="5" t="inlineStr">
        <is>
          <t>950</t>
        </is>
      </c>
      <c r="G29" s="6">
        <f>F29/C29</f>
        <v/>
      </c>
      <c r="H29" s="5" t="inlineStr">
        <is>
          <t>200</t>
        </is>
      </c>
      <c r="I29" s="6">
        <f>(C29-D29-F29-H29)/C29</f>
        <v/>
      </c>
    </row>
    <row r="30" ht="22" customHeight="1">
      <c r="A30" s="5" t="inlineStr">
        <is>
          <t>2024-01-15</t>
        </is>
      </c>
      <c r="B30" s="5" t="inlineStr">
        <is>
          <t>120</t>
        </is>
      </c>
      <c r="C30" s="5" t="inlineStr">
        <is>
          <t>3800</t>
        </is>
      </c>
      <c r="D30" s="5" t="inlineStr">
        <is>
          <t>1140</t>
        </is>
      </c>
      <c r="E30" s="6">
        <f>D30/C30</f>
        <v/>
      </c>
      <c r="F30" s="5" t="inlineStr">
        <is>
          <t>950</t>
        </is>
      </c>
      <c r="G30" s="6">
        <f>F30/C30</f>
        <v/>
      </c>
      <c r="H30" s="5" t="inlineStr">
        <is>
          <t>200</t>
        </is>
      </c>
      <c r="I30" s="6">
        <f>(C30-D30-F30-H30)/C30</f>
        <v/>
      </c>
    </row>
    <row r="31" ht="22" customHeight="1">
      <c r="A31" s="5" t="inlineStr">
        <is>
          <t>2024-01-15</t>
        </is>
      </c>
      <c r="B31" s="5" t="inlineStr">
        <is>
          <t>120</t>
        </is>
      </c>
      <c r="C31" s="5" t="inlineStr">
        <is>
          <t>3800</t>
        </is>
      </c>
      <c r="D31" s="5" t="inlineStr">
        <is>
          <t>1140</t>
        </is>
      </c>
      <c r="E31" s="6">
        <f>D31/C31</f>
        <v/>
      </c>
      <c r="F31" s="5" t="inlineStr">
        <is>
          <t>950</t>
        </is>
      </c>
      <c r="G31" s="6">
        <f>F31/C31</f>
        <v/>
      </c>
      <c r="H31" s="5" t="inlineStr">
        <is>
          <t>200</t>
        </is>
      </c>
      <c r="I31" s="6">
        <f>(C31-D31-F31-H31)/C31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AB308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>
      <c r="A1" s="4" t="inlineStr">
        <is>
          <t>Item</t>
        </is>
      </c>
      <c r="B1" s="4" t="inlineStr">
        <is>
          <t>Category</t>
        </is>
      </c>
      <c r="C1" s="4" t="inlineStr">
        <is>
          <t>Menu Price</t>
        </is>
      </c>
      <c r="D1" s="4" t="inlineStr">
        <is>
          <t>Food Cost $</t>
        </is>
      </c>
      <c r="E1" s="4" t="inlineStr">
        <is>
          <t>Food Cost %</t>
        </is>
      </c>
      <c r="F1" s="4" t="inlineStr">
        <is>
          <t>Contribution $</t>
        </is>
      </c>
      <c r="G1" s="4" t="inlineStr">
        <is>
          <t>Popularity</t>
        </is>
      </c>
    </row>
    <row r="2" ht="22" customHeight="1">
      <c r="A2" s="5" t="inlineStr">
        <is>
          <t>Chicken Pasta</t>
        </is>
      </c>
      <c r="B2" s="5" t="inlineStr"/>
      <c r="C2" s="5" t="inlineStr">
        <is>
          <t>18</t>
        </is>
      </c>
      <c r="D2" s="5" t="inlineStr">
        <is>
          <t>5.4</t>
        </is>
      </c>
      <c r="E2" s="6">
        <f>D2/C2</f>
        <v/>
      </c>
      <c r="F2" s="6">
        <f>C2-D2</f>
        <v/>
      </c>
      <c r="G2" s="5" t="inlineStr"/>
    </row>
    <row r="3" ht="22" customHeight="1">
      <c r="A3" s="5" t="inlineStr">
        <is>
          <t>Chicken Pasta</t>
        </is>
      </c>
      <c r="B3" s="5" t="inlineStr"/>
      <c r="C3" s="5" t="inlineStr">
        <is>
          <t>18</t>
        </is>
      </c>
      <c r="D3" s="5" t="inlineStr">
        <is>
          <t>5.4</t>
        </is>
      </c>
      <c r="E3" s="6">
        <f>D3/C3</f>
        <v/>
      </c>
      <c r="F3" s="6">
        <f>C3-D3</f>
        <v/>
      </c>
      <c r="G3" s="5" t="inlineStr"/>
    </row>
    <row r="4" ht="22" customHeight="1">
      <c r="A4" s="5" t="inlineStr">
        <is>
          <t>Chicken Pasta</t>
        </is>
      </c>
      <c r="B4" s="5" t="inlineStr"/>
      <c r="C4" s="5" t="inlineStr">
        <is>
          <t>18</t>
        </is>
      </c>
      <c r="D4" s="5" t="inlineStr">
        <is>
          <t>5.4</t>
        </is>
      </c>
      <c r="E4" s="6">
        <f>D4/C4</f>
        <v/>
      </c>
      <c r="F4" s="6">
        <f>C4-D4</f>
        <v/>
      </c>
      <c r="G4" s="5" t="inlineStr"/>
    </row>
    <row r="5" ht="22" customHeight="1">
      <c r="A5" s="5" t="inlineStr">
        <is>
          <t>Chicken Pasta</t>
        </is>
      </c>
      <c r="B5" s="5" t="inlineStr"/>
      <c r="C5" s="5" t="inlineStr">
        <is>
          <t>18</t>
        </is>
      </c>
      <c r="D5" s="5" t="inlineStr">
        <is>
          <t>5.4</t>
        </is>
      </c>
      <c r="E5" s="6">
        <f>D5/C5</f>
        <v/>
      </c>
      <c r="F5" s="6">
        <f>C5-D5</f>
        <v/>
      </c>
      <c r="G5" s="5" t="inlineStr"/>
    </row>
    <row r="6" ht="22" customHeight="1">
      <c r="A6" s="5" t="inlineStr">
        <is>
          <t>Chicken Pasta</t>
        </is>
      </c>
      <c r="B6" s="5" t="inlineStr"/>
      <c r="C6" s="5" t="inlineStr">
        <is>
          <t>18</t>
        </is>
      </c>
      <c r="D6" s="5" t="inlineStr">
        <is>
          <t>5.4</t>
        </is>
      </c>
      <c r="E6" s="6">
        <f>D6/C6</f>
        <v/>
      </c>
      <c r="F6" s="6">
        <f>C6-D6</f>
        <v/>
      </c>
      <c r="G6" s="5" t="inlineStr"/>
    </row>
    <row r="7" ht="22" customHeight="1">
      <c r="A7" s="5" t="inlineStr">
        <is>
          <t>Chicken Pasta</t>
        </is>
      </c>
      <c r="B7" s="5" t="inlineStr"/>
      <c r="C7" s="5" t="inlineStr">
        <is>
          <t>18</t>
        </is>
      </c>
      <c r="D7" s="5" t="inlineStr">
        <is>
          <t>5.4</t>
        </is>
      </c>
      <c r="E7" s="6">
        <f>D7/C7</f>
        <v/>
      </c>
      <c r="F7" s="6">
        <f>C7-D7</f>
        <v/>
      </c>
      <c r="G7" s="5" t="inlineStr"/>
    </row>
    <row r="8" ht="22" customHeight="1">
      <c r="A8" s="5" t="inlineStr">
        <is>
          <t>Chicken Pasta</t>
        </is>
      </c>
      <c r="B8" s="5" t="inlineStr"/>
      <c r="C8" s="5" t="inlineStr">
        <is>
          <t>18</t>
        </is>
      </c>
      <c r="D8" s="5" t="inlineStr">
        <is>
          <t>5.4</t>
        </is>
      </c>
      <c r="E8" s="6">
        <f>D8/C8</f>
        <v/>
      </c>
      <c r="F8" s="6">
        <f>C8-D8</f>
        <v/>
      </c>
      <c r="G8" s="5" t="inlineStr"/>
    </row>
    <row r="9" ht="22" customHeight="1">
      <c r="A9" s="5" t="inlineStr">
        <is>
          <t>Chicken Pasta</t>
        </is>
      </c>
      <c r="B9" s="5" t="inlineStr"/>
      <c r="C9" s="5" t="inlineStr">
        <is>
          <t>18</t>
        </is>
      </c>
      <c r="D9" s="5" t="inlineStr">
        <is>
          <t>5.4</t>
        </is>
      </c>
      <c r="E9" s="6">
        <f>D9/C9</f>
        <v/>
      </c>
      <c r="F9" s="6">
        <f>C9-D9</f>
        <v/>
      </c>
      <c r="G9" s="5" t="inlineStr"/>
    </row>
    <row r="10" ht="22" customHeight="1">
      <c r="A10" s="5" t="inlineStr">
        <is>
          <t>Chicken Pasta</t>
        </is>
      </c>
      <c r="B10" s="5" t="inlineStr"/>
      <c r="C10" s="5" t="inlineStr">
        <is>
          <t>18</t>
        </is>
      </c>
      <c r="D10" s="5" t="inlineStr">
        <is>
          <t>5.4</t>
        </is>
      </c>
      <c r="E10" s="6">
        <f>D10/C10</f>
        <v/>
      </c>
      <c r="F10" s="6">
        <f>C10-D10</f>
        <v/>
      </c>
      <c r="G10" s="5" t="inlineStr"/>
    </row>
    <row r="11" ht="22" customHeight="1">
      <c r="A11" s="5" t="inlineStr">
        <is>
          <t>Chicken Pasta</t>
        </is>
      </c>
      <c r="B11" s="5" t="inlineStr"/>
      <c r="C11" s="5" t="inlineStr">
        <is>
          <t>18</t>
        </is>
      </c>
      <c r="D11" s="5" t="inlineStr">
        <is>
          <t>5.4</t>
        </is>
      </c>
      <c r="E11" s="6">
        <f>D11/C11</f>
        <v/>
      </c>
      <c r="F11" s="6">
        <f>C11-D11</f>
        <v/>
      </c>
      <c r="G11" s="5" t="inlineStr"/>
    </row>
    <row r="12" ht="22" customHeight="1">
      <c r="A12" s="5" t="inlineStr">
        <is>
          <t>Chicken Pasta</t>
        </is>
      </c>
      <c r="B12" s="5" t="inlineStr"/>
      <c r="C12" s="5" t="inlineStr">
        <is>
          <t>18</t>
        </is>
      </c>
      <c r="D12" s="5" t="inlineStr">
        <is>
          <t>5.4</t>
        </is>
      </c>
      <c r="E12" s="6">
        <f>D12/C12</f>
        <v/>
      </c>
      <c r="F12" s="6">
        <f>C12-D12</f>
        <v/>
      </c>
      <c r="G12" s="5" t="inlineStr"/>
    </row>
    <row r="13" ht="22" customHeight="1">
      <c r="A13" s="5" t="inlineStr">
        <is>
          <t>Chicken Pasta</t>
        </is>
      </c>
      <c r="B13" s="5" t="inlineStr"/>
      <c r="C13" s="5" t="inlineStr">
        <is>
          <t>18</t>
        </is>
      </c>
      <c r="D13" s="5" t="inlineStr">
        <is>
          <t>5.4</t>
        </is>
      </c>
      <c r="E13" s="6">
        <f>D13/C13</f>
        <v/>
      </c>
      <c r="F13" s="6">
        <f>C13-D13</f>
        <v/>
      </c>
      <c r="G13" s="5" t="inlineStr"/>
    </row>
    <row r="14" ht="22" customHeight="1">
      <c r="A14" s="5" t="inlineStr">
        <is>
          <t>Chicken Pasta</t>
        </is>
      </c>
      <c r="B14" s="5" t="inlineStr"/>
      <c r="C14" s="5" t="inlineStr">
        <is>
          <t>18</t>
        </is>
      </c>
      <c r="D14" s="5" t="inlineStr">
        <is>
          <t>5.4</t>
        </is>
      </c>
      <c r="E14" s="6">
        <f>D14/C14</f>
        <v/>
      </c>
      <c r="F14" s="6">
        <f>C14-D14</f>
        <v/>
      </c>
      <c r="G14" s="5" t="inlineStr"/>
    </row>
    <row r="15" ht="22" customHeight="1">
      <c r="A15" s="5" t="inlineStr">
        <is>
          <t>Chicken Pasta</t>
        </is>
      </c>
      <c r="B15" s="5" t="inlineStr"/>
      <c r="C15" s="5" t="inlineStr">
        <is>
          <t>18</t>
        </is>
      </c>
      <c r="D15" s="5" t="inlineStr">
        <is>
          <t>5.4</t>
        </is>
      </c>
      <c r="E15" s="6">
        <f>D15/C15</f>
        <v/>
      </c>
      <c r="F15" s="6">
        <f>C15-D15</f>
        <v/>
      </c>
      <c r="G15" s="5" t="inlineStr"/>
    </row>
    <row r="16" ht="22" customHeight="1">
      <c r="A16" s="5" t="inlineStr">
        <is>
          <t>Chicken Pasta</t>
        </is>
      </c>
      <c r="B16" s="5" t="inlineStr"/>
      <c r="C16" s="5" t="inlineStr">
        <is>
          <t>18</t>
        </is>
      </c>
      <c r="D16" s="5" t="inlineStr">
        <is>
          <t>5.4</t>
        </is>
      </c>
      <c r="E16" s="6">
        <f>D16/C16</f>
        <v/>
      </c>
      <c r="F16" s="6">
        <f>C16-D16</f>
        <v/>
      </c>
      <c r="G16" s="5" t="inlineStr"/>
    </row>
    <row r="17" ht="22" customHeight="1">
      <c r="A17" s="5" t="inlineStr">
        <is>
          <t>Chicken Pasta</t>
        </is>
      </c>
      <c r="B17" s="5" t="inlineStr"/>
      <c r="C17" s="5" t="inlineStr">
        <is>
          <t>18</t>
        </is>
      </c>
      <c r="D17" s="5" t="inlineStr">
        <is>
          <t>5.4</t>
        </is>
      </c>
      <c r="E17" s="6">
        <f>D17/C17</f>
        <v/>
      </c>
      <c r="F17" s="6">
        <f>C17-D17</f>
        <v/>
      </c>
      <c r="G17" s="5" t="inlineStr"/>
    </row>
    <row r="18" ht="22" customHeight="1">
      <c r="A18" s="5" t="inlineStr">
        <is>
          <t>Chicken Pasta</t>
        </is>
      </c>
      <c r="B18" s="5" t="inlineStr"/>
      <c r="C18" s="5" t="inlineStr">
        <is>
          <t>18</t>
        </is>
      </c>
      <c r="D18" s="5" t="inlineStr">
        <is>
          <t>5.4</t>
        </is>
      </c>
      <c r="E18" s="6">
        <f>D18/C18</f>
        <v/>
      </c>
      <c r="F18" s="6">
        <f>C18-D18</f>
        <v/>
      </c>
      <c r="G18" s="5" t="inlineStr"/>
    </row>
    <row r="19" ht="22" customHeight="1">
      <c r="A19" s="5" t="inlineStr">
        <is>
          <t>Chicken Pasta</t>
        </is>
      </c>
      <c r="B19" s="5" t="inlineStr"/>
      <c r="C19" s="5" t="inlineStr">
        <is>
          <t>18</t>
        </is>
      </c>
      <c r="D19" s="5" t="inlineStr">
        <is>
          <t>5.4</t>
        </is>
      </c>
      <c r="E19" s="6">
        <f>D19/C19</f>
        <v/>
      </c>
      <c r="F19" s="6">
        <f>C19-D19</f>
        <v/>
      </c>
      <c r="G19" s="5" t="inlineStr"/>
    </row>
    <row r="20" ht="22" customHeight="1">
      <c r="A20" s="5" t="inlineStr">
        <is>
          <t>Chicken Pasta</t>
        </is>
      </c>
      <c r="B20" s="5" t="inlineStr"/>
      <c r="C20" s="5" t="inlineStr">
        <is>
          <t>18</t>
        </is>
      </c>
      <c r="D20" s="5" t="inlineStr">
        <is>
          <t>5.4</t>
        </is>
      </c>
      <c r="E20" s="6">
        <f>D20/C20</f>
        <v/>
      </c>
      <c r="F20" s="6">
        <f>C20-D20</f>
        <v/>
      </c>
      <c r="G20" s="5" t="inlineStr"/>
    </row>
    <row r="21" ht="22" customHeight="1">
      <c r="A21" s="5" t="inlineStr">
        <is>
          <t>Chicken Pasta</t>
        </is>
      </c>
      <c r="B21" s="5" t="inlineStr"/>
      <c r="C21" s="5" t="inlineStr">
        <is>
          <t>18</t>
        </is>
      </c>
      <c r="D21" s="5" t="inlineStr">
        <is>
          <t>5.4</t>
        </is>
      </c>
      <c r="E21" s="6">
        <f>D21/C21</f>
        <v/>
      </c>
      <c r="F21" s="6">
        <f>C21-D21</f>
        <v/>
      </c>
      <c r="G21" s="5" t="inlineStr"/>
    </row>
    <row r="22" ht="22" customHeight="1">
      <c r="A22" s="5" t="inlineStr">
        <is>
          <t>Chicken Pasta</t>
        </is>
      </c>
      <c r="B22" s="5" t="inlineStr"/>
      <c r="C22" s="5" t="inlineStr">
        <is>
          <t>18</t>
        </is>
      </c>
      <c r="D22" s="5" t="inlineStr">
        <is>
          <t>5.4</t>
        </is>
      </c>
      <c r="E22" s="6">
        <f>D22/C22</f>
        <v/>
      </c>
      <c r="F22" s="6">
        <f>C22-D22</f>
        <v/>
      </c>
      <c r="G22" s="5" t="inlineStr"/>
    </row>
    <row r="23" ht="22" customHeight="1">
      <c r="A23" s="5" t="inlineStr">
        <is>
          <t>Chicken Pasta</t>
        </is>
      </c>
      <c r="B23" s="5" t="inlineStr"/>
      <c r="C23" s="5" t="inlineStr">
        <is>
          <t>18</t>
        </is>
      </c>
      <c r="D23" s="5" t="inlineStr">
        <is>
          <t>5.4</t>
        </is>
      </c>
      <c r="E23" s="6">
        <f>D23/C23</f>
        <v/>
      </c>
      <c r="F23" s="6">
        <f>C23-D23</f>
        <v/>
      </c>
      <c r="G23" s="5" t="inlineStr"/>
    </row>
    <row r="24" ht="22" customHeight="1">
      <c r="A24" s="5" t="inlineStr">
        <is>
          <t>Chicken Pasta</t>
        </is>
      </c>
      <c r="B24" s="5" t="inlineStr"/>
      <c r="C24" s="5" t="inlineStr">
        <is>
          <t>18</t>
        </is>
      </c>
      <c r="D24" s="5" t="inlineStr">
        <is>
          <t>5.4</t>
        </is>
      </c>
      <c r="E24" s="6">
        <f>D24/C24</f>
        <v/>
      </c>
      <c r="F24" s="6">
        <f>C24-D24</f>
        <v/>
      </c>
      <c r="G24" s="5" t="inlineStr"/>
    </row>
    <row r="25" ht="22" customHeight="1">
      <c r="A25" s="5" t="inlineStr">
        <is>
          <t>Chicken Pasta</t>
        </is>
      </c>
      <c r="B25" s="5" t="inlineStr"/>
      <c r="C25" s="5" t="inlineStr">
        <is>
          <t>18</t>
        </is>
      </c>
      <c r="D25" s="5" t="inlineStr">
        <is>
          <t>5.4</t>
        </is>
      </c>
      <c r="E25" s="6">
        <f>D25/C25</f>
        <v/>
      </c>
      <c r="F25" s="6">
        <f>C25-D25</f>
        <v/>
      </c>
      <c r="G25" s="5" t="inlineStr"/>
    </row>
    <row r="26" ht="22" customHeight="1">
      <c r="A26" s="5" t="inlineStr">
        <is>
          <t>Chicken Pasta</t>
        </is>
      </c>
      <c r="B26" s="5" t="inlineStr"/>
      <c r="C26" s="5" t="inlineStr">
        <is>
          <t>18</t>
        </is>
      </c>
      <c r="D26" s="5" t="inlineStr">
        <is>
          <t>5.4</t>
        </is>
      </c>
      <c r="E26" s="6">
        <f>D26/C26</f>
        <v/>
      </c>
      <c r="F26" s="6">
        <f>C26-D26</f>
        <v/>
      </c>
      <c r="G26" s="5" t="inlineStr"/>
    </row>
    <row r="27" ht="22" customHeight="1">
      <c r="A27" s="5" t="inlineStr">
        <is>
          <t>Chicken Pasta</t>
        </is>
      </c>
      <c r="B27" s="5" t="inlineStr"/>
      <c r="C27" s="5" t="inlineStr">
        <is>
          <t>18</t>
        </is>
      </c>
      <c r="D27" s="5" t="inlineStr">
        <is>
          <t>5.4</t>
        </is>
      </c>
      <c r="E27" s="6">
        <f>D27/C27</f>
        <v/>
      </c>
      <c r="F27" s="6">
        <f>C27-D27</f>
        <v/>
      </c>
      <c r="G27" s="5" t="inlineStr"/>
    </row>
    <row r="28" ht="22" customHeight="1">
      <c r="A28" s="5" t="inlineStr">
        <is>
          <t>Chicken Pasta</t>
        </is>
      </c>
      <c r="B28" s="5" t="inlineStr"/>
      <c r="C28" s="5" t="inlineStr">
        <is>
          <t>18</t>
        </is>
      </c>
      <c r="D28" s="5" t="inlineStr">
        <is>
          <t>5.4</t>
        </is>
      </c>
      <c r="E28" s="6">
        <f>D28/C28</f>
        <v/>
      </c>
      <c r="F28" s="6">
        <f>C28-D28</f>
        <v/>
      </c>
      <c r="G28" s="5" t="inlineStr"/>
    </row>
    <row r="29" ht="22" customHeight="1">
      <c r="A29" s="5" t="inlineStr">
        <is>
          <t>Chicken Pasta</t>
        </is>
      </c>
      <c r="B29" s="5" t="inlineStr"/>
      <c r="C29" s="5" t="inlineStr">
        <is>
          <t>18</t>
        </is>
      </c>
      <c r="D29" s="5" t="inlineStr">
        <is>
          <t>5.4</t>
        </is>
      </c>
      <c r="E29" s="6">
        <f>D29/C29</f>
        <v/>
      </c>
      <c r="F29" s="6">
        <f>C29-D29</f>
        <v/>
      </c>
      <c r="G29" s="5" t="inlineStr"/>
    </row>
    <row r="30" ht="22" customHeight="1">
      <c r="A30" s="5" t="inlineStr">
        <is>
          <t>Chicken Pasta</t>
        </is>
      </c>
      <c r="B30" s="5" t="inlineStr"/>
      <c r="C30" s="5" t="inlineStr">
        <is>
          <t>18</t>
        </is>
      </c>
      <c r="D30" s="5" t="inlineStr">
        <is>
          <t>5.4</t>
        </is>
      </c>
      <c r="E30" s="6">
        <f>D30/C30</f>
        <v/>
      </c>
      <c r="F30" s="6">
        <f>C30-D30</f>
        <v/>
      </c>
      <c r="G30" s="5" t="inlineStr"/>
    </row>
    <row r="31" ht="22" customHeight="1">
      <c r="A31" s="5" t="inlineStr">
        <is>
          <t>Chicken Pasta</t>
        </is>
      </c>
      <c r="B31" s="5" t="inlineStr"/>
      <c r="C31" s="5" t="inlineStr">
        <is>
          <t>18</t>
        </is>
      </c>
      <c r="D31" s="5" t="inlineStr">
        <is>
          <t>5.4</t>
        </is>
      </c>
      <c r="E31" s="6">
        <f>D31/C31</f>
        <v/>
      </c>
      <c r="F31" s="6">
        <f>C31-D31</f>
        <v/>
      </c>
      <c r="G31" s="5" t="inlineStr"/>
    </row>
  </sheetData>
  <dataValidations count="2">
    <dataValidation sqref="B2 B3 B4 B5 B6 B7 B8 B9 B10 B11 B12 B13 B14 B15 B16 B17 B18 B19 B20 B21 B22 B23 B24 B25 B26 B27 B28 B29 B30 B31" showDropDown="0" showInputMessage="0" showErrorMessage="0" allowBlank="1" type="list">
      <formula1>"Appetizer","Main","Dessert","Drinks","Specials"</formula1>
    </dataValidation>
    <dataValidation sqref="G2 G3 G4 G5 G6 G7 G8 G9 G10 G11 G12 G13 G14 G15 G16 G17 G18 G19 G20 G21 G22 G23 G24 G25 G26 G27 G28 G29 G30 G31" showDropDown="0" showInputMessage="0" showErrorMessage="0" allowBlank="1" type="list">
      <formula1>"High","Medium","Low"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2C55E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Staff Name</t>
        </is>
      </c>
      <c r="B1" s="4" t="inlineStr">
        <is>
          <t>Role</t>
        </is>
      </c>
      <c r="C1" s="4" t="inlineStr">
        <is>
          <t>Hourly Rate</t>
        </is>
      </c>
      <c r="D1" s="4" t="inlineStr">
        <is>
          <t>Hours/Week</t>
        </is>
      </c>
      <c r="E1" s="4" t="inlineStr">
        <is>
          <t>Weekly Cost</t>
        </is>
      </c>
      <c r="F1" s="4" t="inlineStr">
        <is>
          <t>Status</t>
        </is>
      </c>
    </row>
    <row r="2" ht="22" customHeight="1">
      <c r="A2" s="5" t="inlineStr">
        <is>
          <t>Maria Lopez</t>
        </is>
      </c>
      <c r="B2" s="5" t="inlineStr"/>
      <c r="C2" s="5" t="inlineStr">
        <is>
          <t>15</t>
        </is>
      </c>
      <c r="D2" s="5" t="inlineStr">
        <is>
          <t>32</t>
        </is>
      </c>
      <c r="E2" s="6">
        <f>C2*D2</f>
        <v/>
      </c>
      <c r="F2" s="5" t="inlineStr"/>
    </row>
    <row r="3" ht="22" customHeight="1">
      <c r="A3" s="5" t="inlineStr">
        <is>
          <t>Maria Lopez</t>
        </is>
      </c>
      <c r="B3" s="5" t="inlineStr"/>
      <c r="C3" s="5" t="inlineStr">
        <is>
          <t>15</t>
        </is>
      </c>
      <c r="D3" s="5" t="inlineStr">
        <is>
          <t>32</t>
        </is>
      </c>
      <c r="E3" s="6">
        <f>C3*D3</f>
        <v/>
      </c>
      <c r="F3" s="5" t="inlineStr"/>
    </row>
    <row r="4" ht="22" customHeight="1">
      <c r="A4" s="5" t="inlineStr">
        <is>
          <t>Maria Lopez</t>
        </is>
      </c>
      <c r="B4" s="5" t="inlineStr"/>
      <c r="C4" s="5" t="inlineStr">
        <is>
          <t>15</t>
        </is>
      </c>
      <c r="D4" s="5" t="inlineStr">
        <is>
          <t>32</t>
        </is>
      </c>
      <c r="E4" s="6">
        <f>C4*D4</f>
        <v/>
      </c>
      <c r="F4" s="5" t="inlineStr"/>
    </row>
    <row r="5" ht="22" customHeight="1">
      <c r="A5" s="5" t="inlineStr">
        <is>
          <t>Maria Lopez</t>
        </is>
      </c>
      <c r="B5" s="5" t="inlineStr"/>
      <c r="C5" s="5" t="inlineStr">
        <is>
          <t>15</t>
        </is>
      </c>
      <c r="D5" s="5" t="inlineStr">
        <is>
          <t>32</t>
        </is>
      </c>
      <c r="E5" s="6">
        <f>C5*D5</f>
        <v/>
      </c>
      <c r="F5" s="5" t="inlineStr"/>
    </row>
    <row r="6" ht="22" customHeight="1">
      <c r="A6" s="5" t="inlineStr">
        <is>
          <t>Maria Lopez</t>
        </is>
      </c>
      <c r="B6" s="5" t="inlineStr"/>
      <c r="C6" s="5" t="inlineStr">
        <is>
          <t>15</t>
        </is>
      </c>
      <c r="D6" s="5" t="inlineStr">
        <is>
          <t>32</t>
        </is>
      </c>
      <c r="E6" s="6">
        <f>C6*D6</f>
        <v/>
      </c>
      <c r="F6" s="5" t="inlineStr"/>
    </row>
    <row r="7" ht="22" customHeight="1">
      <c r="A7" s="5" t="inlineStr">
        <is>
          <t>Maria Lopez</t>
        </is>
      </c>
      <c r="B7" s="5" t="inlineStr"/>
      <c r="C7" s="5" t="inlineStr">
        <is>
          <t>15</t>
        </is>
      </c>
      <c r="D7" s="5" t="inlineStr">
        <is>
          <t>32</t>
        </is>
      </c>
      <c r="E7" s="6">
        <f>C7*D7</f>
        <v/>
      </c>
      <c r="F7" s="5" t="inlineStr"/>
    </row>
    <row r="8" ht="22" customHeight="1">
      <c r="A8" s="5" t="inlineStr">
        <is>
          <t>Maria Lopez</t>
        </is>
      </c>
      <c r="B8" s="5" t="inlineStr"/>
      <c r="C8" s="5" t="inlineStr">
        <is>
          <t>15</t>
        </is>
      </c>
      <c r="D8" s="5" t="inlineStr">
        <is>
          <t>32</t>
        </is>
      </c>
      <c r="E8" s="6">
        <f>C8*D8</f>
        <v/>
      </c>
      <c r="F8" s="5" t="inlineStr"/>
    </row>
    <row r="9" ht="22" customHeight="1">
      <c r="A9" s="5" t="inlineStr">
        <is>
          <t>Maria Lopez</t>
        </is>
      </c>
      <c r="B9" s="5" t="inlineStr"/>
      <c r="C9" s="5" t="inlineStr">
        <is>
          <t>15</t>
        </is>
      </c>
      <c r="D9" s="5" t="inlineStr">
        <is>
          <t>32</t>
        </is>
      </c>
      <c r="E9" s="6">
        <f>C9*D9</f>
        <v/>
      </c>
      <c r="F9" s="5" t="inlineStr"/>
    </row>
    <row r="10" ht="22" customHeight="1">
      <c r="A10" s="5" t="inlineStr">
        <is>
          <t>Maria Lopez</t>
        </is>
      </c>
      <c r="B10" s="5" t="inlineStr"/>
      <c r="C10" s="5" t="inlineStr">
        <is>
          <t>15</t>
        </is>
      </c>
      <c r="D10" s="5" t="inlineStr">
        <is>
          <t>32</t>
        </is>
      </c>
      <c r="E10" s="6">
        <f>C10*D10</f>
        <v/>
      </c>
      <c r="F10" s="5" t="inlineStr"/>
    </row>
    <row r="11" ht="22" customHeight="1">
      <c r="A11" s="5" t="inlineStr">
        <is>
          <t>Maria Lopez</t>
        </is>
      </c>
      <c r="B11" s="5" t="inlineStr"/>
      <c r="C11" s="5" t="inlineStr">
        <is>
          <t>15</t>
        </is>
      </c>
      <c r="D11" s="5" t="inlineStr">
        <is>
          <t>32</t>
        </is>
      </c>
      <c r="E11" s="6">
        <f>C11*D11</f>
        <v/>
      </c>
      <c r="F11" s="5" t="inlineStr"/>
    </row>
    <row r="12" ht="22" customHeight="1">
      <c r="A12" s="5" t="inlineStr">
        <is>
          <t>Maria Lopez</t>
        </is>
      </c>
      <c r="B12" s="5" t="inlineStr"/>
      <c r="C12" s="5" t="inlineStr">
        <is>
          <t>15</t>
        </is>
      </c>
      <c r="D12" s="5" t="inlineStr">
        <is>
          <t>32</t>
        </is>
      </c>
      <c r="E12" s="6">
        <f>C12*D12</f>
        <v/>
      </c>
      <c r="F12" s="5" t="inlineStr"/>
    </row>
    <row r="13" ht="22" customHeight="1">
      <c r="A13" s="5" t="inlineStr">
        <is>
          <t>Maria Lopez</t>
        </is>
      </c>
      <c r="B13" s="5" t="inlineStr"/>
      <c r="C13" s="5" t="inlineStr">
        <is>
          <t>15</t>
        </is>
      </c>
      <c r="D13" s="5" t="inlineStr">
        <is>
          <t>32</t>
        </is>
      </c>
      <c r="E13" s="6">
        <f>C13*D13</f>
        <v/>
      </c>
      <c r="F13" s="5" t="inlineStr"/>
    </row>
    <row r="14" ht="22" customHeight="1">
      <c r="A14" s="5" t="inlineStr">
        <is>
          <t>Maria Lopez</t>
        </is>
      </c>
      <c r="B14" s="5" t="inlineStr"/>
      <c r="C14" s="5" t="inlineStr">
        <is>
          <t>15</t>
        </is>
      </c>
      <c r="D14" s="5" t="inlineStr">
        <is>
          <t>32</t>
        </is>
      </c>
      <c r="E14" s="6">
        <f>C14*D14</f>
        <v/>
      </c>
      <c r="F14" s="5" t="inlineStr"/>
    </row>
    <row r="15" ht="22" customHeight="1">
      <c r="A15" s="5" t="inlineStr">
        <is>
          <t>Maria Lopez</t>
        </is>
      </c>
      <c r="B15" s="5" t="inlineStr"/>
      <c r="C15" s="5" t="inlineStr">
        <is>
          <t>15</t>
        </is>
      </c>
      <c r="D15" s="5" t="inlineStr">
        <is>
          <t>32</t>
        </is>
      </c>
      <c r="E15" s="6">
        <f>C15*D15</f>
        <v/>
      </c>
      <c r="F15" s="5" t="inlineStr"/>
    </row>
    <row r="16" ht="22" customHeight="1">
      <c r="A16" s="5" t="inlineStr">
        <is>
          <t>Maria Lopez</t>
        </is>
      </c>
      <c r="B16" s="5" t="inlineStr"/>
      <c r="C16" s="5" t="inlineStr">
        <is>
          <t>15</t>
        </is>
      </c>
      <c r="D16" s="5" t="inlineStr">
        <is>
          <t>32</t>
        </is>
      </c>
      <c r="E16" s="6">
        <f>C16*D16</f>
        <v/>
      </c>
      <c r="F16" s="5" t="inlineStr"/>
    </row>
    <row r="17" ht="22" customHeight="1">
      <c r="A17" s="5" t="inlineStr">
        <is>
          <t>Maria Lopez</t>
        </is>
      </c>
      <c r="B17" s="5" t="inlineStr"/>
      <c r="C17" s="5" t="inlineStr">
        <is>
          <t>15</t>
        </is>
      </c>
      <c r="D17" s="5" t="inlineStr">
        <is>
          <t>32</t>
        </is>
      </c>
      <c r="E17" s="6">
        <f>C17*D17</f>
        <v/>
      </c>
      <c r="F17" s="5" t="inlineStr"/>
    </row>
    <row r="18" ht="22" customHeight="1">
      <c r="A18" s="5" t="inlineStr">
        <is>
          <t>Maria Lopez</t>
        </is>
      </c>
      <c r="B18" s="5" t="inlineStr"/>
      <c r="C18" s="5" t="inlineStr">
        <is>
          <t>15</t>
        </is>
      </c>
      <c r="D18" s="5" t="inlineStr">
        <is>
          <t>32</t>
        </is>
      </c>
      <c r="E18" s="6">
        <f>C18*D18</f>
        <v/>
      </c>
      <c r="F18" s="5" t="inlineStr"/>
    </row>
    <row r="19" ht="22" customHeight="1">
      <c r="A19" s="5" t="inlineStr">
        <is>
          <t>Maria Lopez</t>
        </is>
      </c>
      <c r="B19" s="5" t="inlineStr"/>
      <c r="C19" s="5" t="inlineStr">
        <is>
          <t>15</t>
        </is>
      </c>
      <c r="D19" s="5" t="inlineStr">
        <is>
          <t>32</t>
        </is>
      </c>
      <c r="E19" s="6">
        <f>C19*D19</f>
        <v/>
      </c>
      <c r="F19" s="5" t="inlineStr"/>
    </row>
    <row r="20" ht="22" customHeight="1">
      <c r="A20" s="5" t="inlineStr">
        <is>
          <t>Maria Lopez</t>
        </is>
      </c>
      <c r="B20" s="5" t="inlineStr"/>
      <c r="C20" s="5" t="inlineStr">
        <is>
          <t>15</t>
        </is>
      </c>
      <c r="D20" s="5" t="inlineStr">
        <is>
          <t>32</t>
        </is>
      </c>
      <c r="E20" s="6">
        <f>C20*D20</f>
        <v/>
      </c>
      <c r="F20" s="5" t="inlineStr"/>
    </row>
    <row r="21" ht="22" customHeight="1">
      <c r="A21" s="5" t="inlineStr">
        <is>
          <t>Maria Lopez</t>
        </is>
      </c>
      <c r="B21" s="5" t="inlineStr"/>
      <c r="C21" s="5" t="inlineStr">
        <is>
          <t>15</t>
        </is>
      </c>
      <c r="D21" s="5" t="inlineStr">
        <is>
          <t>32</t>
        </is>
      </c>
      <c r="E21" s="6">
        <f>C21*D21</f>
        <v/>
      </c>
      <c r="F21" s="5" t="inlineStr"/>
    </row>
  </sheetData>
  <dataValidations count="2">
    <dataValidation sqref="B2 B3 B4 B5 B6 B7 B8 B9 B10 B11 B12 B13 B14 B15 B16 B17 B18 B19 B20 B21" showDropDown="0" showInputMessage="0" showErrorMessage="0" allowBlank="1" type="list">
      <formula1>"Server","Chef","Bartender","Host","Dishwasher","Manager"</formula1>
    </dataValidation>
    <dataValidation sqref="F2 F3 F4 F5 F6 F7 F8 F9 F10 F11 F12 F13 F14 F15 F16 F17 F18 F19 F20 F21" showDropDown="0" showInputMessage="0" showErrorMessage="0" allowBlank="1" type="list">
      <formula1>"Full-Time","Part-Time","Seasonal"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2026-06-16T07:19:43Z</dcterms:created>
  <dcterms:modified xsi:type="dcterms:W3CDTF">2026-06-16T07:19:43Z</dcterms:modified>
</cp:coreProperties>
</file>