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ily" sheetId="2" state="visible" r:id="rId2"/>
    <sheet name="Dashboard" sheetId="3" state="visible" r:id="rId3"/>
    <sheet name="Menu" sheetId="4" state="visible" r:id="rId4"/>
    <sheet name="Staff" sheetId="5" state="visible" r:id="rId5"/>
    <sheet name="Repo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C0505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DC2626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C0505"/>
      </patternFill>
    </fill>
    <fill>
      <patternFill patternType="solid">
        <fgColor rgb="00FFF7F0"/>
      </patternFill>
    </fill>
    <fill>
      <patternFill patternType="solid">
        <fgColor rgb="00DC2626"/>
      </patternFill>
    </fill>
    <fill>
      <patternFill patternType="solid">
        <fgColor rgb="0022C55E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5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🍽️  RESTAURANT SALES TRACKER</t>
        </is>
      </c>
    </row>
    <row r="3"/>
    <row r="4">
      <c r="B4" s="2" t="inlineStr">
        <is>
          <t>Daily Revenue &amp; Labor Cost Google Sheets</t>
        </is>
      </c>
    </row>
    <row r="6">
      <c r="B6" s="3" t="inlineStr">
        <is>
          <t>STEP 1 — Fill in “Daily”</t>
        </is>
      </c>
    </row>
    <row r="7" ht="28" customHeight="1">
      <c r="B7" s="4" t="inlineStr">
        <is>
          <t>Daily revenue, covers, food cost, and labor cost.</t>
        </is>
      </c>
    </row>
    <row r="9">
      <c r="B9" s="3" t="inlineStr">
        <is>
          <t>STEP 2 — Fill in “Menu”</t>
        </is>
      </c>
    </row>
    <row r="10" ht="28" customHeight="1">
      <c r="B10" s="4" t="inlineStr">
        <is>
          <t>Menu items with food cost and margin analysis.</t>
        </is>
      </c>
    </row>
    <row r="12">
      <c r="B12" s="3" t="inlineStr">
        <is>
          <t>STEP 3 — Fill in “Staff”</t>
        </is>
      </c>
    </row>
    <row r="13" ht="28" customHeight="1">
      <c r="B13" s="4" t="inlineStr">
        <is>
          <t>Staff schedule with hours and weekly labor cost.</t>
        </is>
      </c>
    </row>
    <row r="15">
      <c r="B15" s="3" t="inlineStr">
        <is>
          <t>STEP 4 — Fill in “Reports”</t>
        </is>
      </c>
    </row>
    <row r="16" ht="28" customHeight="1">
      <c r="B16" s="4" t="inlineStr">
        <is>
          <t>Weekly summary report for management review.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4" customWidth="1" min="8" max="8"/>
    <col width="14" customWidth="1" min="9" max="9"/>
  </cols>
  <sheetData>
    <row r="1">
      <c r="A1" s="6" t="inlineStr">
        <is>
          <t>Date</t>
        </is>
      </c>
      <c r="B1" s="6" t="inlineStr">
        <is>
          <t>Covers</t>
        </is>
      </c>
      <c r="C1" s="6" t="inlineStr">
        <is>
          <t>Revenue $</t>
        </is>
      </c>
      <c r="D1" s="6" t="inlineStr">
        <is>
          <t>Food Cost $</t>
        </is>
      </c>
      <c r="E1" s="6" t="inlineStr">
        <is>
          <t>Food Cost %</t>
        </is>
      </c>
      <c r="F1" s="6" t="inlineStr">
        <is>
          <t>Labor $</t>
        </is>
      </c>
      <c r="G1" s="6" t="inlineStr">
        <is>
          <t>Labor %</t>
        </is>
      </c>
      <c r="H1" s="6" t="inlineStr">
        <is>
          <t>Other Costs $</t>
        </is>
      </c>
      <c r="I1" s="6" t="inlineStr">
        <is>
          <t>Net Margin %</t>
        </is>
      </c>
    </row>
    <row r="2">
      <c r="A2" s="7" t="n">
        <v>46174</v>
      </c>
      <c r="B2" s="8" t="n">
        <v>120</v>
      </c>
      <c r="C2" s="9" t="n">
        <v>3800</v>
      </c>
      <c r="D2" s="9" t="n">
        <v>1140</v>
      </c>
      <c r="E2" s="8">
        <f>D2/C2</f>
        <v/>
      </c>
      <c r="F2" s="8" t="n">
        <v>950</v>
      </c>
      <c r="G2" s="8">
        <f>F2/C2</f>
        <v/>
      </c>
      <c r="H2" s="9" t="n">
        <v>200</v>
      </c>
      <c r="I2" s="8">
        <f>(C2-D2-F2-H2)/C2</f>
        <v/>
      </c>
    </row>
    <row r="3">
      <c r="A3" s="10" t="n">
        <v>46180</v>
      </c>
      <c r="B3" s="11" t="n">
        <v>84</v>
      </c>
      <c r="C3" s="12" t="n">
        <v>2660</v>
      </c>
      <c r="D3" s="12" t="n">
        <v>798</v>
      </c>
      <c r="E3" s="11">
        <f>D3/C3</f>
        <v/>
      </c>
      <c r="F3" s="11" t="n">
        <v>665</v>
      </c>
      <c r="G3" s="11">
        <f>F3/C3</f>
        <v/>
      </c>
      <c r="H3" s="12" t="n">
        <v>140</v>
      </c>
      <c r="I3" s="11">
        <f>(C3-D3-F3-H3)/C3</f>
        <v/>
      </c>
    </row>
    <row r="4">
      <c r="A4" s="7" t="n">
        <v>46186</v>
      </c>
      <c r="B4" s="8" t="n">
        <v>156</v>
      </c>
      <c r="C4" s="9" t="n">
        <v>4940</v>
      </c>
      <c r="D4" s="9" t="n">
        <v>1482</v>
      </c>
      <c r="E4" s="8">
        <f>D4/C4</f>
        <v/>
      </c>
      <c r="F4" s="8" t="n">
        <v>1235</v>
      </c>
      <c r="G4" s="8">
        <f>F4/C4</f>
        <v/>
      </c>
      <c r="H4" s="9" t="n">
        <v>260</v>
      </c>
      <c r="I4" s="8">
        <f>(C4-D4-F4-H4)/C4</f>
        <v/>
      </c>
    </row>
    <row r="5">
      <c r="A5" s="10" t="n">
        <v>46189</v>
      </c>
      <c r="B5" s="11" t="n">
        <v>102</v>
      </c>
      <c r="C5" s="12" t="n">
        <v>3230</v>
      </c>
      <c r="D5" s="12" t="n">
        <v>969</v>
      </c>
      <c r="E5" s="11">
        <f>D5/C5</f>
        <v/>
      </c>
      <c r="F5" s="11" t="n">
        <v>808</v>
      </c>
      <c r="G5" s="11">
        <f>F5/C5</f>
        <v/>
      </c>
      <c r="H5" s="12" t="n">
        <v>170</v>
      </c>
      <c r="I5" s="11">
        <f>(C5-D5-F5-H5)/C5</f>
        <v/>
      </c>
    </row>
    <row r="6">
      <c r="A6" s="7" t="n">
        <v>46195</v>
      </c>
      <c r="B6" s="8" t="n">
        <v>138</v>
      </c>
      <c r="C6" s="9" t="n">
        <v>4370</v>
      </c>
      <c r="D6" s="9" t="n">
        <v>1311</v>
      </c>
      <c r="E6" s="8">
        <f>D6/C6</f>
        <v/>
      </c>
      <c r="F6" s="8" t="n">
        <v>1092</v>
      </c>
      <c r="G6" s="8">
        <f>F6/C6</f>
        <v/>
      </c>
      <c r="H6" s="9" t="n">
        <v>230</v>
      </c>
      <c r="I6" s="8">
        <f>(C6-D6-F6-H6)/C6</f>
        <v/>
      </c>
    </row>
    <row r="7">
      <c r="A7" s="10" t="n">
        <v>46201</v>
      </c>
      <c r="B7" s="11" t="n">
        <v>72</v>
      </c>
      <c r="C7" s="12" t="n">
        <v>2280</v>
      </c>
      <c r="D7" s="12" t="n">
        <v>684</v>
      </c>
      <c r="E7" s="11">
        <f>D7/C7</f>
        <v/>
      </c>
      <c r="F7" s="11" t="n">
        <v>570</v>
      </c>
      <c r="G7" s="11">
        <f>F7/C7</f>
        <v/>
      </c>
      <c r="H7" s="12" t="n">
        <v>120</v>
      </c>
      <c r="I7" s="11">
        <f>(C7-D7-F7-H7)/C7</f>
        <v/>
      </c>
    </row>
    <row r="8">
      <c r="A8" s="7" t="n">
        <v>46176</v>
      </c>
      <c r="B8" s="8" t="n">
        <v>174</v>
      </c>
      <c r="C8" s="9" t="n">
        <v>5510</v>
      </c>
      <c r="D8" s="9" t="n">
        <v>1653</v>
      </c>
      <c r="E8" s="8">
        <f>D8/C8</f>
        <v/>
      </c>
      <c r="F8" s="8" t="n">
        <v>1378</v>
      </c>
      <c r="G8" s="8">
        <f>F8/C8</f>
        <v/>
      </c>
      <c r="H8" s="9" t="n">
        <v>290</v>
      </c>
      <c r="I8" s="8">
        <f>(C8-D8-F8-H8)/C8</f>
        <v/>
      </c>
    </row>
    <row r="9">
      <c r="A9" s="10" t="n">
        <v>46182</v>
      </c>
      <c r="B9" s="11" t="n">
        <v>114</v>
      </c>
      <c r="C9" s="12" t="n">
        <v>3610</v>
      </c>
      <c r="D9" s="12" t="n">
        <v>1083</v>
      </c>
      <c r="E9" s="11">
        <f>D9/C9</f>
        <v/>
      </c>
      <c r="F9" s="11" t="n">
        <v>902</v>
      </c>
      <c r="G9" s="11">
        <f>F9/C9</f>
        <v/>
      </c>
      <c r="H9" s="12" t="n">
        <v>190</v>
      </c>
      <c r="I9" s="11">
        <f>(C9-D9-F9-H9)/C9</f>
        <v/>
      </c>
    </row>
    <row r="10">
      <c r="A10" s="7" t="n">
        <v>46188</v>
      </c>
      <c r="B10" s="8" t="n">
        <v>150</v>
      </c>
      <c r="C10" s="9" t="n">
        <v>4750</v>
      </c>
      <c r="D10" s="9" t="n">
        <v>1425</v>
      </c>
      <c r="E10" s="8">
        <f>D10/C10</f>
        <v/>
      </c>
      <c r="F10" s="8" t="n">
        <v>1188</v>
      </c>
      <c r="G10" s="8">
        <f>F10/C10</f>
        <v/>
      </c>
      <c r="H10" s="9" t="n">
        <v>250</v>
      </c>
      <c r="I10" s="8">
        <f>(C10-D10-F10-H10)/C10</f>
        <v/>
      </c>
    </row>
    <row r="11">
      <c r="A11" s="10" t="n">
        <v>46191</v>
      </c>
      <c r="B11" s="11" t="n">
        <v>96</v>
      </c>
      <c r="C11" s="12" t="n">
        <v>3040</v>
      </c>
      <c r="D11" s="12" t="n">
        <v>912</v>
      </c>
      <c r="E11" s="11">
        <f>D11/C11</f>
        <v/>
      </c>
      <c r="F11" s="11" t="n">
        <v>760</v>
      </c>
      <c r="G11" s="11">
        <f>F11/C11</f>
        <v/>
      </c>
      <c r="H11" s="12" t="n">
        <v>160</v>
      </c>
      <c r="I11" s="11">
        <f>(C11-D11-F11-H11)/C11</f>
        <v/>
      </c>
    </row>
    <row r="12">
      <c r="A12" s="7" t="n">
        <v>46197</v>
      </c>
      <c r="B12" s="8" t="n">
        <v>132</v>
      </c>
      <c r="C12" s="9" t="n">
        <v>4180</v>
      </c>
      <c r="D12" s="9" t="n">
        <v>1254</v>
      </c>
      <c r="E12" s="8">
        <f>D12/C12</f>
        <v/>
      </c>
      <c r="F12" s="8" t="n">
        <v>1045</v>
      </c>
      <c r="G12" s="8">
        <f>F12/C12</f>
        <v/>
      </c>
      <c r="H12" s="9" t="n">
        <v>220</v>
      </c>
      <c r="I12" s="8">
        <f>(C12-D12-F12-H12)/C12</f>
        <v/>
      </c>
    </row>
    <row r="13">
      <c r="A13" s="10" t="n">
        <v>46175</v>
      </c>
      <c r="B13" s="11" t="n">
        <v>90</v>
      </c>
      <c r="C13" s="12" t="n">
        <v>2850</v>
      </c>
      <c r="D13" s="12" t="n">
        <v>855</v>
      </c>
      <c r="E13" s="11">
        <f>D13/C13</f>
        <v/>
      </c>
      <c r="F13" s="11" t="n">
        <v>712</v>
      </c>
      <c r="G13" s="11">
        <f>F13/C13</f>
        <v/>
      </c>
      <c r="H13" s="12" t="n">
        <v>150</v>
      </c>
      <c r="I13" s="11">
        <f>(C13-D13-F13-H13)/C13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RESTAURANT SALES TRACKER — DASHBOARD</t>
        </is>
      </c>
    </row>
    <row r="4">
      <c r="B4" s="14" t="inlineStr">
        <is>
          <t>MTD REVENUE</t>
        </is>
      </c>
      <c r="D4" s="15" t="inlineStr">
        <is>
          <t>AVG FOOD COST %</t>
        </is>
      </c>
      <c r="F4" s="16" t="inlineStr">
        <is>
          <t>AVG LABOR COST %</t>
        </is>
      </c>
      <c r="H4" s="17" t="inlineStr">
        <is>
          <t>AVG NET MARGIN %</t>
        </is>
      </c>
    </row>
    <row r="5" ht="26" customHeight="1">
      <c r="B5" s="18">
        <f>SUMIF(Daily!A:A,"&gt;="&amp;DATE(YEAR(TODAY()),MONTH(TODAY()),1),Daily!C:C)</f>
        <v/>
      </c>
      <c r="D5" s="19">
        <f>AVERAGE(Daily!E:E)</f>
        <v/>
      </c>
      <c r="F5" s="20">
        <f>AVERAGE(Daily!G:G)</f>
        <v/>
      </c>
      <c r="H5" s="21">
        <f>AVERAGE(Daily!I:I)</f>
        <v/>
      </c>
    </row>
    <row r="8">
      <c r="B8" s="22" t="inlineStr">
        <is>
          <t>WHAT'S INSIDE</t>
        </is>
      </c>
    </row>
    <row r="9">
      <c r="B9" s="23" t="inlineStr">
        <is>
          <t>📅  Daily — Daily revenue, covers, food cost, and labor cost.</t>
        </is>
      </c>
    </row>
    <row r="10">
      <c r="B10" s="23" t="inlineStr">
        <is>
          <t>📋  Menu — Menu items with food cost and margin analysis.</t>
        </is>
      </c>
    </row>
    <row r="11">
      <c r="B11" s="23" t="inlineStr">
        <is>
          <t>👥  Staff — Staff schedule with hours and weekly labor cost.</t>
        </is>
      </c>
    </row>
    <row r="12">
      <c r="B12" s="23" t="inlineStr">
        <is>
          <t>📋  Reports — Weekly summary report for management review.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</cols>
  <sheetData>
    <row r="1">
      <c r="A1" s="6" t="inlineStr">
        <is>
          <t>Item</t>
        </is>
      </c>
      <c r="B1" s="6" t="inlineStr">
        <is>
          <t>Category</t>
        </is>
      </c>
      <c r="C1" s="6" t="inlineStr">
        <is>
          <t>Menu Price</t>
        </is>
      </c>
      <c r="D1" s="6" t="inlineStr">
        <is>
          <t>Food Cost $</t>
        </is>
      </c>
      <c r="E1" s="6" t="inlineStr">
        <is>
          <t>Food Cost %</t>
        </is>
      </c>
      <c r="F1" s="6" t="inlineStr">
        <is>
          <t>Contribution $</t>
        </is>
      </c>
      <c r="G1" s="6" t="inlineStr">
        <is>
          <t>Popularity</t>
        </is>
      </c>
    </row>
    <row r="2">
      <c r="A2" s="8" t="inlineStr">
        <is>
          <t>Kickoff meeting</t>
        </is>
      </c>
      <c r="B2" s="8" t="inlineStr">
        <is>
          <t>Appetizer</t>
        </is>
      </c>
      <c r="C2" s="9" t="n">
        <v>18</v>
      </c>
      <c r="D2" s="9" t="n">
        <v>5.4</v>
      </c>
      <c r="E2" s="8">
        <f>D2/C2</f>
        <v/>
      </c>
      <c r="F2" s="8">
        <f>C2-D2</f>
        <v/>
      </c>
      <c r="G2" s="8" t="inlineStr">
        <is>
          <t>High</t>
        </is>
      </c>
    </row>
    <row r="3">
      <c r="A3" s="11" t="inlineStr">
        <is>
          <t>Send proposal</t>
        </is>
      </c>
      <c r="B3" s="11" t="inlineStr">
        <is>
          <t>Main</t>
        </is>
      </c>
      <c r="C3" s="12" t="n">
        <v>12.6</v>
      </c>
      <c r="D3" s="12" t="n">
        <v>3.78</v>
      </c>
      <c r="E3" s="11">
        <f>D3/C3</f>
        <v/>
      </c>
      <c r="F3" s="11">
        <f>C3-D3</f>
        <v/>
      </c>
      <c r="G3" s="11" t="inlineStr">
        <is>
          <t>Medium</t>
        </is>
      </c>
    </row>
    <row r="4">
      <c r="A4" s="8" t="inlineStr">
        <is>
          <t>Review feedback</t>
        </is>
      </c>
      <c r="B4" s="8" t="inlineStr">
        <is>
          <t>Dessert</t>
        </is>
      </c>
      <c r="C4" s="9" t="n">
        <v>23.4</v>
      </c>
      <c r="D4" s="9" t="n">
        <v>7.02</v>
      </c>
      <c r="E4" s="8">
        <f>D4/C4</f>
        <v/>
      </c>
      <c r="F4" s="8">
        <f>C4-D4</f>
        <v/>
      </c>
      <c r="G4" s="8" t="inlineStr">
        <is>
          <t>Low</t>
        </is>
      </c>
    </row>
    <row r="5">
      <c r="A5" s="11" t="inlineStr">
        <is>
          <t>Update website copy</t>
        </is>
      </c>
      <c r="B5" s="11" t="inlineStr">
        <is>
          <t>Drinks</t>
        </is>
      </c>
      <c r="C5" s="12" t="n">
        <v>15.3</v>
      </c>
      <c r="D5" s="12" t="n">
        <v>4.59</v>
      </c>
      <c r="E5" s="11">
        <f>D5/C5</f>
        <v/>
      </c>
      <c r="F5" s="11">
        <f>C5-D5</f>
        <v/>
      </c>
      <c r="G5" s="11" t="inlineStr">
        <is>
          <t>High</t>
        </is>
      </c>
    </row>
    <row r="6">
      <c r="A6" s="8" t="inlineStr">
        <is>
          <t>Prepare invoice</t>
        </is>
      </c>
      <c r="B6" s="8" t="inlineStr">
        <is>
          <t>Specials</t>
        </is>
      </c>
      <c r="C6" s="9" t="n">
        <v>20.7</v>
      </c>
      <c r="D6" s="9" t="n">
        <v>6.21</v>
      </c>
      <c r="E6" s="8">
        <f>D6/C6</f>
        <v/>
      </c>
      <c r="F6" s="8">
        <f>C6-D6</f>
        <v/>
      </c>
      <c r="G6" s="8" t="inlineStr">
        <is>
          <t>Medium</t>
        </is>
      </c>
    </row>
    <row r="7">
      <c r="A7" s="11" t="inlineStr">
        <is>
          <t>Client call</t>
        </is>
      </c>
      <c r="B7" s="11" t="inlineStr">
        <is>
          <t>Appetizer</t>
        </is>
      </c>
      <c r="C7" s="12" t="n">
        <v>10.8</v>
      </c>
      <c r="D7" s="12" t="n">
        <v>3.24</v>
      </c>
      <c r="E7" s="11">
        <f>D7/C7</f>
        <v/>
      </c>
      <c r="F7" s="11">
        <f>C7-D7</f>
        <v/>
      </c>
      <c r="G7" s="11" t="inlineStr">
        <is>
          <t>Low</t>
        </is>
      </c>
    </row>
    <row r="8">
      <c r="A8" s="8" t="inlineStr">
        <is>
          <t>Design first draft</t>
        </is>
      </c>
      <c r="B8" s="8" t="inlineStr">
        <is>
          <t>Main</t>
        </is>
      </c>
      <c r="C8" s="9" t="n">
        <v>26.1</v>
      </c>
      <c r="D8" s="9" t="n">
        <v>7.83</v>
      </c>
      <c r="E8" s="8">
        <f>D8/C8</f>
        <v/>
      </c>
      <c r="F8" s="8">
        <f>C8-D8</f>
        <v/>
      </c>
      <c r="G8" s="8" t="inlineStr">
        <is>
          <t>High</t>
        </is>
      </c>
    </row>
    <row r="9">
      <c r="A9" s="11" t="inlineStr">
        <is>
          <t>Fix reported bug</t>
        </is>
      </c>
      <c r="B9" s="11" t="inlineStr">
        <is>
          <t>Dessert</t>
        </is>
      </c>
      <c r="C9" s="12" t="n">
        <v>17.1</v>
      </c>
      <c r="D9" s="12" t="n">
        <v>5.13</v>
      </c>
      <c r="E9" s="11">
        <f>D9/C9</f>
        <v/>
      </c>
      <c r="F9" s="11">
        <f>C9-D9</f>
        <v/>
      </c>
      <c r="G9" s="11" t="inlineStr">
        <is>
          <t>Medium</t>
        </is>
      </c>
    </row>
    <row r="10">
      <c r="A10" s="8" t="inlineStr">
        <is>
          <t>Weekly report</t>
        </is>
      </c>
      <c r="B10" s="8" t="inlineStr">
        <is>
          <t>Drinks</t>
        </is>
      </c>
      <c r="C10" s="9" t="n">
        <v>22.5</v>
      </c>
      <c r="D10" s="9" t="n">
        <v>6.75</v>
      </c>
      <c r="E10" s="8">
        <f>D10/C10</f>
        <v/>
      </c>
      <c r="F10" s="8">
        <f>C10-D10</f>
        <v/>
      </c>
      <c r="G10" s="8" t="inlineStr">
        <is>
          <t>Low</t>
        </is>
      </c>
    </row>
    <row r="11">
      <c r="A11" s="11" t="inlineStr">
        <is>
          <t>Plan next sprint</t>
        </is>
      </c>
      <c r="B11" s="11" t="inlineStr">
        <is>
          <t>Specials</t>
        </is>
      </c>
      <c r="C11" s="12" t="n">
        <v>14.4</v>
      </c>
      <c r="D11" s="12" t="n">
        <v>4.32</v>
      </c>
      <c r="E11" s="11">
        <f>D11/C11</f>
        <v/>
      </c>
      <c r="F11" s="11">
        <f>C11-D11</f>
        <v/>
      </c>
      <c r="G11" s="11" t="inlineStr">
        <is>
          <t>High</t>
        </is>
      </c>
    </row>
    <row r="12">
      <c r="A12" s="8" t="inlineStr">
        <is>
          <t>Publish blog post</t>
        </is>
      </c>
      <c r="B12" s="8" t="inlineStr">
        <is>
          <t>Appetizer</t>
        </is>
      </c>
      <c r="C12" s="9" t="n">
        <v>19.8</v>
      </c>
      <c r="D12" s="9" t="n">
        <v>5.94</v>
      </c>
      <c r="E12" s="8">
        <f>D12/C12</f>
        <v/>
      </c>
      <c r="F12" s="8">
        <f>C12-D12</f>
        <v/>
      </c>
      <c r="G12" s="8" t="inlineStr">
        <is>
          <t>Medium</t>
        </is>
      </c>
    </row>
    <row r="13">
      <c r="A13" s="11" t="inlineStr">
        <is>
          <t>Team sync</t>
        </is>
      </c>
      <c r="B13" s="11" t="inlineStr">
        <is>
          <t>Main</t>
        </is>
      </c>
      <c r="C13" s="12" t="n">
        <v>13.5</v>
      </c>
      <c r="D13" s="12" t="n">
        <v>4.05</v>
      </c>
      <c r="E13" s="11">
        <f>D13/C13</f>
        <v/>
      </c>
      <c r="F13" s="11">
        <f>C13-D13</f>
        <v/>
      </c>
      <c r="G13" s="11" t="inlineStr">
        <is>
          <t>Low</t>
        </is>
      </c>
    </row>
  </sheetData>
  <dataValidations count="2">
    <dataValidation sqref="B2:B500" showDropDown="0" showInputMessage="0" showErrorMessage="0" allowBlank="1" type="list">
      <formula1>"Appetizer,Main,Dessert,Drinks,Specials"</formula1>
    </dataValidation>
    <dataValidation sqref="G2:G5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Staff Name</t>
        </is>
      </c>
      <c r="B1" s="6" t="inlineStr">
        <is>
          <t>Role</t>
        </is>
      </c>
      <c r="C1" s="6" t="inlineStr">
        <is>
          <t>Hourly Rate</t>
        </is>
      </c>
      <c r="D1" s="6" t="inlineStr">
        <is>
          <t>Hours/Week</t>
        </is>
      </c>
      <c r="E1" s="6" t="inlineStr">
        <is>
          <t>Weekly Cost</t>
        </is>
      </c>
      <c r="F1" s="6" t="inlineStr">
        <is>
          <t>Status</t>
        </is>
      </c>
    </row>
    <row r="2">
      <c r="A2" s="8" t="inlineStr">
        <is>
          <t>Alex Martin</t>
        </is>
      </c>
      <c r="B2" s="8" t="inlineStr">
        <is>
          <t>Server</t>
        </is>
      </c>
      <c r="C2" s="8" t="n">
        <v>15</v>
      </c>
      <c r="D2" s="8" t="n">
        <v>32</v>
      </c>
      <c r="E2" s="8">
        <f>C2*D2</f>
        <v/>
      </c>
      <c r="F2" s="8" t="inlineStr">
        <is>
          <t>Full-Time</t>
        </is>
      </c>
    </row>
    <row r="3">
      <c r="A3" s="11" t="inlineStr">
        <is>
          <t>Sara Lopez</t>
        </is>
      </c>
      <c r="B3" s="11" t="inlineStr">
        <is>
          <t>Chef</t>
        </is>
      </c>
      <c r="C3" s="11" t="n">
        <v>10.5</v>
      </c>
      <c r="D3" s="11" t="n">
        <v>22.4</v>
      </c>
      <c r="E3" s="11">
        <f>C3*D3</f>
        <v/>
      </c>
      <c r="F3" s="11" t="inlineStr">
        <is>
          <t>Part-Time</t>
        </is>
      </c>
    </row>
    <row r="4">
      <c r="A4" s="8" t="inlineStr">
        <is>
          <t>Omar Haddad</t>
        </is>
      </c>
      <c r="B4" s="8" t="inlineStr">
        <is>
          <t>Bartender</t>
        </is>
      </c>
      <c r="C4" s="8" t="n">
        <v>19.5</v>
      </c>
      <c r="D4" s="8" t="n">
        <v>41.6</v>
      </c>
      <c r="E4" s="8">
        <f>C4*D4</f>
        <v/>
      </c>
      <c r="F4" s="8" t="inlineStr">
        <is>
          <t>Seasonal</t>
        </is>
      </c>
    </row>
    <row r="5">
      <c r="A5" s="11" t="inlineStr">
        <is>
          <t>Emma Fischer</t>
        </is>
      </c>
      <c r="B5" s="11" t="inlineStr">
        <is>
          <t>Host</t>
        </is>
      </c>
      <c r="C5" s="11" t="n">
        <v>12.75</v>
      </c>
      <c r="D5" s="11" t="n">
        <v>27.2</v>
      </c>
      <c r="E5" s="11">
        <f>C5*D5</f>
        <v/>
      </c>
      <c r="F5" s="11" t="inlineStr">
        <is>
          <t>Full-Time</t>
        </is>
      </c>
    </row>
    <row r="6">
      <c r="A6" s="8" t="inlineStr">
        <is>
          <t>Liam Carter</t>
        </is>
      </c>
      <c r="B6" s="8" t="inlineStr">
        <is>
          <t>Dishwasher</t>
        </is>
      </c>
      <c r="C6" s="8" t="n">
        <v>17.25</v>
      </c>
      <c r="D6" s="8" t="n">
        <v>36.8</v>
      </c>
      <c r="E6" s="8">
        <f>C6*D6</f>
        <v/>
      </c>
      <c r="F6" s="8" t="inlineStr">
        <is>
          <t>Part-Time</t>
        </is>
      </c>
    </row>
    <row r="7">
      <c r="A7" s="11" t="inlineStr">
        <is>
          <t>Nadia Rahali</t>
        </is>
      </c>
      <c r="B7" s="11" t="inlineStr">
        <is>
          <t>Manager</t>
        </is>
      </c>
      <c r="C7" s="11" t="n">
        <v>9</v>
      </c>
      <c r="D7" s="11" t="n">
        <v>19.2</v>
      </c>
      <c r="E7" s="11">
        <f>C7*D7</f>
        <v/>
      </c>
      <c r="F7" s="11" t="inlineStr">
        <is>
          <t>Seasonal</t>
        </is>
      </c>
    </row>
    <row r="8">
      <c r="A8" s="8" t="inlineStr">
        <is>
          <t>Tom Becker</t>
        </is>
      </c>
      <c r="B8" s="8" t="inlineStr">
        <is>
          <t>Server</t>
        </is>
      </c>
      <c r="C8" s="8" t="n">
        <v>21.75</v>
      </c>
      <c r="D8" s="8" t="n">
        <v>46.4</v>
      </c>
      <c r="E8" s="8">
        <f>C8*D8</f>
        <v/>
      </c>
      <c r="F8" s="8" t="inlineStr">
        <is>
          <t>Full-Time</t>
        </is>
      </c>
    </row>
    <row r="9">
      <c r="A9" s="11" t="inlineStr">
        <is>
          <t>Julia Romero</t>
        </is>
      </c>
      <c r="B9" s="11" t="inlineStr">
        <is>
          <t>Chef</t>
        </is>
      </c>
      <c r="C9" s="11" t="n">
        <v>14.25</v>
      </c>
      <c r="D9" s="11" t="n">
        <v>30.4</v>
      </c>
      <c r="E9" s="11">
        <f>C9*D9</f>
        <v/>
      </c>
      <c r="F9" s="11" t="inlineStr">
        <is>
          <t>Part-Time</t>
        </is>
      </c>
    </row>
    <row r="10">
      <c r="A10" s="8" t="inlineStr">
        <is>
          <t>Karim Ziani</t>
        </is>
      </c>
      <c r="B10" s="8" t="inlineStr">
        <is>
          <t>Bartender</t>
        </is>
      </c>
      <c r="C10" s="8" t="n">
        <v>18.75</v>
      </c>
      <c r="D10" s="8" t="n">
        <v>40</v>
      </c>
      <c r="E10" s="8">
        <f>C10*D10</f>
        <v/>
      </c>
      <c r="F10" s="8" t="inlineStr">
        <is>
          <t>Seasonal</t>
        </is>
      </c>
    </row>
    <row r="11">
      <c r="A11" s="11" t="inlineStr">
        <is>
          <t>Anna Kowalska</t>
        </is>
      </c>
      <c r="B11" s="11" t="inlineStr">
        <is>
          <t>Host</t>
        </is>
      </c>
      <c r="C11" s="11" t="n">
        <v>12</v>
      </c>
      <c r="D11" s="11" t="n">
        <v>25.6</v>
      </c>
      <c r="E11" s="11">
        <f>C11*D11</f>
        <v/>
      </c>
      <c r="F11" s="11" t="inlineStr">
        <is>
          <t>Full-Time</t>
        </is>
      </c>
    </row>
    <row r="12">
      <c r="A12" s="8" t="inlineStr">
        <is>
          <t>David Chen</t>
        </is>
      </c>
      <c r="B12" s="8" t="inlineStr">
        <is>
          <t>Dishwasher</t>
        </is>
      </c>
      <c r="C12" s="8" t="n">
        <v>16.5</v>
      </c>
      <c r="D12" s="8" t="n">
        <v>35.2</v>
      </c>
      <c r="E12" s="8">
        <f>C12*D12</f>
        <v/>
      </c>
      <c r="F12" s="8" t="inlineStr">
        <is>
          <t>Part-Time</t>
        </is>
      </c>
    </row>
    <row r="13">
      <c r="A13" s="11" t="inlineStr">
        <is>
          <t>Lea Moreau</t>
        </is>
      </c>
      <c r="B13" s="11" t="inlineStr">
        <is>
          <t>Manager</t>
        </is>
      </c>
      <c r="C13" s="11" t="n">
        <v>11.25</v>
      </c>
      <c r="D13" s="11" t="n">
        <v>24</v>
      </c>
      <c r="E13" s="11">
        <f>C13*D13</f>
        <v/>
      </c>
      <c r="F13" s="11" t="inlineStr">
        <is>
          <t>Seasonal</t>
        </is>
      </c>
    </row>
  </sheetData>
  <dataValidations count="2">
    <dataValidation sqref="B2:B500" showDropDown="0" showInputMessage="0" showErrorMessage="0" allowBlank="1" type="list">
      <formula1>"Server,Chef,Bartender,Host,Dishwasher,Manager"</formula1>
    </dataValidation>
    <dataValidation sqref="F2:F500" showDropDown="0" showInputMessage="0" showErrorMessage="0" allowBlank="1" type="list">
      <formula1>"Full-Time,Part-Time,Seasonal"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4" customWidth="1" min="4" max="4"/>
    <col width="14" customWidth="1" min="5" max="5"/>
    <col width="12" customWidth="1" min="6" max="6"/>
    <col width="14" customWidth="1" min="7" max="7"/>
    <col width="28" customWidth="1" min="8" max="8"/>
  </cols>
  <sheetData>
    <row r="1">
      <c r="A1" s="6" t="inlineStr">
        <is>
          <t>Week</t>
        </is>
      </c>
      <c r="B1" s="6" t="inlineStr">
        <is>
          <t>Revenue $</t>
        </is>
      </c>
      <c r="C1" s="6" t="inlineStr">
        <is>
          <t>Covers</t>
        </is>
      </c>
      <c r="D1" s="6" t="inlineStr">
        <is>
          <t>Avg Ticket $</t>
        </is>
      </c>
      <c r="E1" s="6" t="inlineStr">
        <is>
          <t>Food Cost %</t>
        </is>
      </c>
      <c r="F1" s="6" t="inlineStr">
        <is>
          <t>Labor %</t>
        </is>
      </c>
      <c r="G1" s="6" t="inlineStr">
        <is>
          <t>Net Margin %</t>
        </is>
      </c>
      <c r="H1" s="6" t="inlineStr">
        <is>
          <t>Notes</t>
        </is>
      </c>
    </row>
    <row r="2">
      <c r="A2" s="8" t="inlineStr">
        <is>
          <t>Wk 1</t>
        </is>
      </c>
      <c r="B2" s="9" t="n">
        <v>22500</v>
      </c>
      <c r="C2" s="8" t="n">
        <v>680</v>
      </c>
      <c r="D2" s="8">
        <f>B2/C2</f>
        <v/>
      </c>
      <c r="E2" s="8" t="inlineStr">
        <is>
          <t>28%</t>
        </is>
      </c>
      <c r="F2" s="8" t="inlineStr">
        <is>
          <t>29%</t>
        </is>
      </c>
      <c r="G2" s="8" t="inlineStr">
        <is>
          <t>18%</t>
        </is>
      </c>
      <c r="H2" s="8" t="inlineStr"/>
    </row>
    <row r="3">
      <c r="A3" s="11" t="inlineStr">
        <is>
          <t>Wk 2</t>
        </is>
      </c>
      <c r="B3" s="12" t="n">
        <v>15750</v>
      </c>
      <c r="C3" s="11" t="n">
        <v>476</v>
      </c>
      <c r="D3" s="11">
        <f>B3/C3</f>
        <v/>
      </c>
      <c r="E3" s="11" t="inlineStr">
        <is>
          <t>28%</t>
        </is>
      </c>
      <c r="F3" s="11" t="inlineStr">
        <is>
          <t>29%</t>
        </is>
      </c>
      <c r="G3" s="11" t="inlineStr">
        <is>
          <t>18%</t>
        </is>
      </c>
      <c r="H3" s="11" t="inlineStr">
        <is>
          <t>Paid</t>
        </is>
      </c>
    </row>
    <row r="4">
      <c r="A4" s="8" t="inlineStr">
        <is>
          <t>Wk 3</t>
        </is>
      </c>
      <c r="B4" s="9" t="n">
        <v>29250</v>
      </c>
      <c r="C4" s="8" t="n">
        <v>884</v>
      </c>
      <c r="D4" s="8">
        <f>B4/C4</f>
        <v/>
      </c>
      <c r="E4" s="8" t="inlineStr"/>
      <c r="F4" s="8" t="inlineStr"/>
      <c r="G4" s="8" t="inlineStr"/>
      <c r="H4" s="8" t="inlineStr">
        <is>
          <t>Urgent</t>
        </is>
      </c>
    </row>
    <row r="5">
      <c r="A5" s="11" t="inlineStr">
        <is>
          <t>Wk 4</t>
        </is>
      </c>
      <c r="B5" s="12" t="n">
        <v>19125</v>
      </c>
      <c r="C5" s="11" t="n">
        <v>578</v>
      </c>
      <c r="D5" s="11">
        <f>B5/C5</f>
        <v/>
      </c>
      <c r="E5" s="11" t="inlineStr">
        <is>
          <t>28%</t>
        </is>
      </c>
      <c r="F5" s="11" t="inlineStr">
        <is>
          <t>29%</t>
        </is>
      </c>
      <c r="G5" s="11" t="inlineStr">
        <is>
          <t>18%</t>
        </is>
      </c>
      <c r="H5" s="11" t="inlineStr">
        <is>
          <t>Follow up Friday</t>
        </is>
      </c>
    </row>
    <row r="6">
      <c r="A6" s="8" t="inlineStr">
        <is>
          <t>Wk 5</t>
        </is>
      </c>
      <c r="B6" s="9" t="n">
        <v>25875</v>
      </c>
      <c r="C6" s="8" t="n">
        <v>782</v>
      </c>
      <c r="D6" s="8">
        <f>B6/C6</f>
        <v/>
      </c>
      <c r="E6" s="8" t="inlineStr">
        <is>
          <t>28%</t>
        </is>
      </c>
      <c r="F6" s="8" t="inlineStr">
        <is>
          <t>29%</t>
        </is>
      </c>
      <c r="G6" s="8" t="inlineStr">
        <is>
          <t>18%</t>
        </is>
      </c>
      <c r="H6" s="8" t="inlineStr"/>
    </row>
    <row r="7">
      <c r="A7" s="11" t="inlineStr">
        <is>
          <t>Wk 6</t>
        </is>
      </c>
      <c r="B7" s="12" t="n">
        <v>13500</v>
      </c>
      <c r="C7" s="11" t="n">
        <v>408</v>
      </c>
      <c r="D7" s="11">
        <f>B7/C7</f>
        <v/>
      </c>
      <c r="E7" s="11" t="inlineStr"/>
      <c r="F7" s="11" t="inlineStr"/>
      <c r="G7" s="11" t="inlineStr"/>
      <c r="H7" s="11" t="inlineStr">
        <is>
          <t>Monthly</t>
        </is>
      </c>
    </row>
    <row r="8">
      <c r="A8" s="8" t="inlineStr">
        <is>
          <t>Wk 7</t>
        </is>
      </c>
      <c r="B8" s="9" t="n">
        <v>32625</v>
      </c>
      <c r="C8" s="8" t="n">
        <v>986</v>
      </c>
      <c r="D8" s="8">
        <f>B8/C8</f>
        <v/>
      </c>
      <c r="E8" s="8" t="inlineStr">
        <is>
          <t>28%</t>
        </is>
      </c>
      <c r="F8" s="8" t="inlineStr">
        <is>
          <t>29%</t>
        </is>
      </c>
      <c r="G8" s="8" t="inlineStr">
        <is>
          <t>18%</t>
        </is>
      </c>
      <c r="H8" s="8" t="inlineStr">
        <is>
          <t>Confirmed</t>
        </is>
      </c>
    </row>
    <row r="9">
      <c r="A9" s="11" t="inlineStr">
        <is>
          <t>Wk 8</t>
        </is>
      </c>
      <c r="B9" s="12" t="n">
        <v>21375</v>
      </c>
      <c r="C9" s="11" t="n">
        <v>646</v>
      </c>
      <c r="D9" s="11">
        <f>B9/C9</f>
        <v/>
      </c>
      <c r="E9" s="11" t="inlineStr">
        <is>
          <t>28%</t>
        </is>
      </c>
      <c r="F9" s="11" t="inlineStr">
        <is>
          <t>29%</t>
        </is>
      </c>
      <c r="G9" s="11" t="inlineStr">
        <is>
          <t>18%</t>
        </is>
      </c>
      <c r="H9" s="11" t="inlineStr"/>
    </row>
    <row r="10">
      <c r="A10" s="8" t="inlineStr">
        <is>
          <t>Wk 9</t>
        </is>
      </c>
      <c r="B10" s="9" t="n">
        <v>28125</v>
      </c>
      <c r="C10" s="8" t="n">
        <v>850</v>
      </c>
      <c r="D10" s="8">
        <f>B10/C10</f>
        <v/>
      </c>
      <c r="E10" s="8" t="inlineStr"/>
      <c r="F10" s="8" t="inlineStr"/>
      <c r="G10" s="8" t="inlineStr"/>
      <c r="H10" s="8" t="inlineStr">
        <is>
          <t>Waiting reply</t>
        </is>
      </c>
    </row>
    <row r="11">
      <c r="A11" s="11" t="inlineStr">
        <is>
          <t>Wk 10</t>
        </is>
      </c>
      <c r="B11" s="12" t="n">
        <v>18000</v>
      </c>
      <c r="C11" s="11" t="n">
        <v>544</v>
      </c>
      <c r="D11" s="11">
        <f>B11/C11</f>
        <v/>
      </c>
      <c r="E11" s="11" t="inlineStr">
        <is>
          <t>28%</t>
        </is>
      </c>
      <c r="F11" s="11" t="inlineStr">
        <is>
          <t>29%</t>
        </is>
      </c>
      <c r="G11" s="11" t="inlineStr">
        <is>
          <t>18%</t>
        </is>
      </c>
      <c r="H11" s="11" t="inlineStr">
        <is>
          <t>Done early</t>
        </is>
      </c>
    </row>
    <row r="12">
      <c r="A12" s="8" t="inlineStr">
        <is>
          <t>Wk 11</t>
        </is>
      </c>
      <c r="B12" s="9" t="n">
        <v>24750</v>
      </c>
      <c r="C12" s="8" t="n">
        <v>748</v>
      </c>
      <c r="D12" s="8">
        <f>B12/C12</f>
        <v/>
      </c>
      <c r="E12" s="8" t="inlineStr">
        <is>
          <t>28%</t>
        </is>
      </c>
      <c r="F12" s="8" t="inlineStr">
        <is>
          <t>29%</t>
        </is>
      </c>
      <c r="G12" s="8" t="inlineStr">
        <is>
          <t>18%</t>
        </is>
      </c>
      <c r="H12" s="8" t="inlineStr"/>
    </row>
    <row r="13">
      <c r="A13" s="11" t="inlineStr">
        <is>
          <t>Wk 12</t>
        </is>
      </c>
      <c r="B13" s="12" t="n">
        <v>16875</v>
      </c>
      <c r="C13" s="11" t="n">
        <v>510</v>
      </c>
      <c r="D13" s="11">
        <f>B13/C13</f>
        <v/>
      </c>
      <c r="E13" s="11" t="inlineStr"/>
      <c r="F13" s="11" t="inlineStr"/>
      <c r="G13" s="11" t="inlineStr"/>
      <c r="H13" s="11" t="inlineStr">
        <is>
          <t>Recheck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