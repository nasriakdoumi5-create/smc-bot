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venue" sheetId="2" state="visible" r:id="rId2"/>
    <sheet name="Dashboard" sheetId="3" state="visible" r:id="rId3"/>
    <sheet name="Expenses" sheetId="4" state="visible" r:id="rId4"/>
    <sheet name="Donors" sheetId="5" state="visible" r:id="rId5"/>
    <sheet name="Annual Re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DC2626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450A0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450A0A"/>
      </patternFill>
    </fill>
    <fill>
      <patternFill patternType="solid">
        <fgColor rgb="00FFF7F0"/>
      </patternFill>
    </fill>
    <fill>
      <patternFill patternType="solid">
        <fgColor rgb="00DC2626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❤️  NONPROFIT BUDGET &amp; DONATION TRACKER</t>
        </is>
      </c>
    </row>
    <row r="3"/>
    <row r="4">
      <c r="B4" s="2" t="inlineStr">
        <is>
          <t>Grants, Donations &amp; Program Expenses Google Sheets</t>
        </is>
      </c>
    </row>
    <row r="6">
      <c r="B6" s="3" t="inlineStr">
        <is>
          <t>STEP 1 — Fill in “Revenue”</t>
        </is>
      </c>
    </row>
    <row r="7" ht="28" customHeight="1">
      <c r="B7" s="4" t="inlineStr">
        <is>
          <t>All revenue: grants, donations, events, and membership.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All program and operational expenses.</t>
        </is>
      </c>
    </row>
    <row r="12">
      <c r="B12" s="3" t="inlineStr">
        <is>
          <t>STEP 3 — Fill in “Donors”</t>
        </is>
      </c>
    </row>
    <row r="13" ht="28" customHeight="1">
      <c r="B13" s="4" t="inlineStr">
        <is>
          <t>Donor database with giving history and acknowledgments.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6" customWidth="1" min="4" max="4"/>
    <col width="14" customWidth="1" min="5" max="5"/>
    <col width="22" customWidth="1" min="6" max="6"/>
  </cols>
  <sheetData>
    <row r="1">
      <c r="A1" s="6" t="inlineStr">
        <is>
          <t>Date</t>
        </is>
      </c>
      <c r="B1" s="6" t="inlineStr">
        <is>
          <t>Source Type</t>
        </is>
      </c>
      <c r="C1" s="6" t="inlineStr">
        <is>
          <t>Amount $</t>
        </is>
      </c>
      <c r="D1" s="6" t="inlineStr">
        <is>
          <t>Donor / Funder</t>
        </is>
      </c>
      <c r="E1" s="6" t="inlineStr">
        <is>
          <t>Restricted</t>
        </is>
      </c>
      <c r="F1" s="6" t="inlineStr">
        <is>
          <t>Program</t>
        </is>
      </c>
    </row>
    <row r="2">
      <c r="A2" s="7" t="n">
        <v>46174</v>
      </c>
      <c r="B2" s="8" t="inlineStr">
        <is>
          <t>Grant</t>
        </is>
      </c>
      <c r="C2" s="9" t="n">
        <v>5000</v>
      </c>
      <c r="D2" s="8" t="inlineStr">
        <is>
          <t>Community Foundation</t>
        </is>
      </c>
      <c r="E2" s="8" t="inlineStr">
        <is>
          <t>Yes</t>
        </is>
      </c>
      <c r="F2" s="8" t="inlineStr">
        <is>
          <t>Youth Education Program</t>
        </is>
      </c>
    </row>
    <row r="3">
      <c r="A3" s="10" t="n">
        <v>46180</v>
      </c>
      <c r="B3" s="11" t="inlineStr">
        <is>
          <t>Individual Donation</t>
        </is>
      </c>
      <c r="C3" s="12" t="n">
        <v>3500</v>
      </c>
      <c r="D3" s="11" t="inlineStr">
        <is>
          <t>Community Foundation</t>
        </is>
      </c>
      <c r="E3" s="11" t="inlineStr">
        <is>
          <t>No</t>
        </is>
      </c>
      <c r="F3" s="11" t="inlineStr">
        <is>
          <t>Youth Education Program</t>
        </is>
      </c>
    </row>
    <row r="4">
      <c r="A4" s="7" t="n">
        <v>46186</v>
      </c>
      <c r="B4" s="8" t="inlineStr">
        <is>
          <t>Corporate Donation</t>
        </is>
      </c>
      <c r="C4" s="9" t="n">
        <v>6500</v>
      </c>
      <c r="D4" s="8" t="inlineStr"/>
      <c r="E4" s="8" t="inlineStr">
        <is>
          <t>Yes</t>
        </is>
      </c>
      <c r="F4" s="8" t="inlineStr"/>
    </row>
    <row r="5">
      <c r="A5" s="10" t="n">
        <v>46189</v>
      </c>
      <c r="B5" s="11" t="inlineStr">
        <is>
          <t>Event Revenue</t>
        </is>
      </c>
      <c r="C5" s="12" t="n">
        <v>4250</v>
      </c>
      <c r="D5" s="11" t="inlineStr">
        <is>
          <t>Community Foundation</t>
        </is>
      </c>
      <c r="E5" s="11" t="inlineStr">
        <is>
          <t>No</t>
        </is>
      </c>
      <c r="F5" s="11" t="inlineStr">
        <is>
          <t>Youth Education Program</t>
        </is>
      </c>
    </row>
    <row r="6">
      <c r="A6" s="7" t="n">
        <v>46195</v>
      </c>
      <c r="B6" s="8" t="inlineStr">
        <is>
          <t>Membership</t>
        </is>
      </c>
      <c r="C6" s="9" t="n">
        <v>5750</v>
      </c>
      <c r="D6" s="8" t="inlineStr">
        <is>
          <t>Community Foundation</t>
        </is>
      </c>
      <c r="E6" s="8" t="inlineStr">
        <is>
          <t>Yes</t>
        </is>
      </c>
      <c r="F6" s="8" t="inlineStr">
        <is>
          <t>Youth Education Program</t>
        </is>
      </c>
    </row>
    <row r="7">
      <c r="A7" s="10" t="n">
        <v>46201</v>
      </c>
      <c r="B7" s="11" t="inlineStr">
        <is>
          <t>Government</t>
        </is>
      </c>
      <c r="C7" s="12" t="n">
        <v>3000</v>
      </c>
      <c r="D7" s="11" t="inlineStr"/>
      <c r="E7" s="11" t="inlineStr">
        <is>
          <t>No</t>
        </is>
      </c>
      <c r="F7" s="11" t="inlineStr"/>
    </row>
    <row r="8">
      <c r="A8" s="7" t="n">
        <v>46176</v>
      </c>
      <c r="B8" s="8" t="inlineStr">
        <is>
          <t>In-Kind</t>
        </is>
      </c>
      <c r="C8" s="9" t="n">
        <v>7250</v>
      </c>
      <c r="D8" s="8" t="inlineStr">
        <is>
          <t>Community Foundation</t>
        </is>
      </c>
      <c r="E8" s="8" t="inlineStr">
        <is>
          <t>Yes</t>
        </is>
      </c>
      <c r="F8" s="8" t="inlineStr">
        <is>
          <t>Youth Education Program</t>
        </is>
      </c>
    </row>
    <row r="9">
      <c r="A9" s="10" t="n">
        <v>46182</v>
      </c>
      <c r="B9" s="11" t="inlineStr">
        <is>
          <t>Other</t>
        </is>
      </c>
      <c r="C9" s="12" t="n">
        <v>4750</v>
      </c>
      <c r="D9" s="11" t="inlineStr">
        <is>
          <t>Community Foundation</t>
        </is>
      </c>
      <c r="E9" s="11" t="inlineStr">
        <is>
          <t>No</t>
        </is>
      </c>
      <c r="F9" s="11" t="inlineStr">
        <is>
          <t>Youth Education Program</t>
        </is>
      </c>
    </row>
    <row r="10">
      <c r="A10" s="7" t="n">
        <v>46188</v>
      </c>
      <c r="B10" s="8" t="inlineStr">
        <is>
          <t>Grant</t>
        </is>
      </c>
      <c r="C10" s="9" t="n">
        <v>6250</v>
      </c>
      <c r="D10" s="8" t="inlineStr"/>
      <c r="E10" s="8" t="inlineStr">
        <is>
          <t>Yes</t>
        </is>
      </c>
      <c r="F10" s="8" t="inlineStr"/>
    </row>
    <row r="11">
      <c r="A11" s="10" t="n">
        <v>46191</v>
      </c>
      <c r="B11" s="11" t="inlineStr">
        <is>
          <t>Individual Donation</t>
        </is>
      </c>
      <c r="C11" s="12" t="n">
        <v>4000</v>
      </c>
      <c r="D11" s="11" t="inlineStr">
        <is>
          <t>Community Foundation</t>
        </is>
      </c>
      <c r="E11" s="11" t="inlineStr">
        <is>
          <t>No</t>
        </is>
      </c>
      <c r="F11" s="11" t="inlineStr">
        <is>
          <t>Youth Education Program</t>
        </is>
      </c>
    </row>
    <row r="12">
      <c r="A12" s="7" t="n">
        <v>46197</v>
      </c>
      <c r="B12" s="8" t="inlineStr">
        <is>
          <t>Corporate Donation</t>
        </is>
      </c>
      <c r="C12" s="9" t="n">
        <v>5500</v>
      </c>
      <c r="D12" s="8" t="inlineStr">
        <is>
          <t>Community Foundation</t>
        </is>
      </c>
      <c r="E12" s="8" t="inlineStr">
        <is>
          <t>Yes</t>
        </is>
      </c>
      <c r="F12" s="8" t="inlineStr">
        <is>
          <t>Youth Education Program</t>
        </is>
      </c>
    </row>
    <row r="13">
      <c r="A13" s="10" t="n">
        <v>46175</v>
      </c>
      <c r="B13" s="11" t="inlineStr">
        <is>
          <t>Event Revenue</t>
        </is>
      </c>
      <c r="C13" s="12" t="n">
        <v>3750</v>
      </c>
      <c r="D13" s="11" t="inlineStr"/>
      <c r="E13" s="11" t="inlineStr">
        <is>
          <t>No</t>
        </is>
      </c>
      <c r="F13" s="11" t="inlineStr"/>
    </row>
  </sheetData>
  <dataValidations count="2">
    <dataValidation sqref="B2:B500" showDropDown="0" showInputMessage="0" showErrorMessage="0" allowBlank="1" type="list">
      <formula1>"Grant,Individual Donation,Corporate Donation,Event Revenue,Membership,Government,In-Kind,Other"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NONPROFIT BUDGET &amp; DONATION TRACKER — DASHBOARD</t>
        </is>
      </c>
    </row>
    <row r="4">
      <c r="B4" s="14" t="inlineStr">
        <is>
          <t>TOTAL REVENUE $</t>
        </is>
      </c>
      <c r="D4" s="15" t="inlineStr">
        <is>
          <t>TOTAL EXPENSES $</t>
        </is>
      </c>
      <c r="F4" s="16" t="inlineStr">
        <is>
          <t>NET SURPLUS $</t>
        </is>
      </c>
      <c r="H4" s="17" t="inlineStr">
        <is>
          <t>TOTAL DONATIONS $</t>
        </is>
      </c>
    </row>
    <row r="5" ht="26" customHeight="1">
      <c r="B5" s="18">
        <f>SUM(Revenue!C:C)</f>
        <v/>
      </c>
      <c r="D5" s="19">
        <f>SUM(Expenses!D:D)</f>
        <v/>
      </c>
      <c r="F5" s="20">
        <f>SUM(Revenue!C:C)-SUM(Expenses!D:D)</f>
        <v/>
      </c>
      <c r="H5" s="21">
        <f>SUMIF(Revenue!B:B,"Donation",Revenue!C:C)</f>
        <v/>
      </c>
    </row>
    <row r="8">
      <c r="B8" s="22" t="inlineStr">
        <is>
          <t>WHAT'S INSIDE</t>
        </is>
      </c>
    </row>
    <row r="9">
      <c r="B9" s="23" t="inlineStr">
        <is>
          <t>💰  Revenue — All revenue: grants, donations, events, and membership.</t>
        </is>
      </c>
    </row>
    <row r="10">
      <c r="B10" s="23" t="inlineStr">
        <is>
          <t>💸  Expenses — All program and operational expenses.</t>
        </is>
      </c>
    </row>
    <row r="11">
      <c r="B11" s="23" t="inlineStr">
        <is>
          <t>👥  Donors — Donor database with giving history and acknowledgments.</t>
        </is>
      </c>
    </row>
    <row r="12">
      <c r="B12" s="23" t="inlineStr">
        <is>
          <t>📊  Annual Report — Annual financial summary for board and tax filing.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14" customWidth="1" min="4" max="4"/>
    <col width="22" customWidth="1" min="5" max="5"/>
    <col width="16" customWidth="1" min="6" max="6"/>
  </cols>
  <sheetData>
    <row r="1">
      <c r="A1" s="6" t="inlineStr">
        <is>
          <t>Date</t>
        </is>
      </c>
      <c r="B1" s="6" t="inlineStr">
        <is>
          <t>Description</t>
        </is>
      </c>
      <c r="C1" s="6" t="inlineStr">
        <is>
          <t>Program</t>
        </is>
      </c>
      <c r="D1" s="6" t="inlineStr">
        <is>
          <t>Amount $</t>
        </is>
      </c>
      <c r="E1" s="6" t="inlineStr">
        <is>
          <t>Category</t>
        </is>
      </c>
      <c r="F1" s="6" t="inlineStr">
        <is>
          <t>Grant Funded</t>
        </is>
      </c>
    </row>
    <row r="2">
      <c r="A2" s="7" t="n">
        <v>46174</v>
      </c>
      <c r="B2" s="8" t="inlineStr">
        <is>
          <t>After-school supplies</t>
        </is>
      </c>
      <c r="C2" s="8" t="inlineStr">
        <is>
          <t>Youth Education</t>
        </is>
      </c>
      <c r="D2" s="9" t="n">
        <v>450</v>
      </c>
      <c r="E2" s="8" t="inlineStr">
        <is>
          <t>Personnel</t>
        </is>
      </c>
      <c r="F2" s="8" t="inlineStr">
        <is>
          <t>Yes</t>
        </is>
      </c>
    </row>
    <row r="3">
      <c r="A3" s="10" t="n">
        <v>46180</v>
      </c>
      <c r="B3" s="11" t="inlineStr">
        <is>
          <t>After-school supplies</t>
        </is>
      </c>
      <c r="C3" s="11" t="inlineStr">
        <is>
          <t>Youth Education</t>
        </is>
      </c>
      <c r="D3" s="12" t="n">
        <v>315</v>
      </c>
      <c r="E3" s="11" t="inlineStr">
        <is>
          <t>Supplies</t>
        </is>
      </c>
      <c r="F3" s="11" t="inlineStr">
        <is>
          <t>No</t>
        </is>
      </c>
    </row>
    <row r="4">
      <c r="A4" s="7" t="n">
        <v>46186</v>
      </c>
      <c r="B4" s="8" t="inlineStr"/>
      <c r="C4" s="8" t="inlineStr"/>
      <c r="D4" s="9" t="n">
        <v>585</v>
      </c>
      <c r="E4" s="8" t="inlineStr">
        <is>
          <t>Marketing</t>
        </is>
      </c>
      <c r="F4" s="8" t="inlineStr">
        <is>
          <t>Partial</t>
        </is>
      </c>
    </row>
    <row r="5">
      <c r="A5" s="10" t="n">
        <v>46189</v>
      </c>
      <c r="B5" s="11" t="inlineStr">
        <is>
          <t>After-school supplies</t>
        </is>
      </c>
      <c r="C5" s="11" t="inlineStr">
        <is>
          <t>Youth Education</t>
        </is>
      </c>
      <c r="D5" s="12" t="n">
        <v>382</v>
      </c>
      <c r="E5" s="11" t="inlineStr">
        <is>
          <t>Facilities</t>
        </is>
      </c>
      <c r="F5" s="11" t="inlineStr">
        <is>
          <t>Yes</t>
        </is>
      </c>
    </row>
    <row r="6">
      <c r="A6" s="7" t="n">
        <v>46195</v>
      </c>
      <c r="B6" s="8" t="inlineStr">
        <is>
          <t>After-school supplies</t>
        </is>
      </c>
      <c r="C6" s="8" t="inlineStr">
        <is>
          <t>Youth Education</t>
        </is>
      </c>
      <c r="D6" s="9" t="n">
        <v>518</v>
      </c>
      <c r="E6" s="8" t="inlineStr">
        <is>
          <t>Technology</t>
        </is>
      </c>
      <c r="F6" s="8" t="inlineStr">
        <is>
          <t>No</t>
        </is>
      </c>
    </row>
    <row r="7">
      <c r="A7" s="10" t="n">
        <v>46201</v>
      </c>
      <c r="B7" s="11" t="inlineStr"/>
      <c r="C7" s="11" t="inlineStr"/>
      <c r="D7" s="12" t="n">
        <v>270</v>
      </c>
      <c r="E7" s="11" t="inlineStr">
        <is>
          <t>Travel</t>
        </is>
      </c>
      <c r="F7" s="11" t="inlineStr">
        <is>
          <t>Partial</t>
        </is>
      </c>
    </row>
    <row r="8">
      <c r="A8" s="7" t="n">
        <v>46176</v>
      </c>
      <c r="B8" s="8" t="inlineStr">
        <is>
          <t>After-school supplies</t>
        </is>
      </c>
      <c r="C8" s="8" t="inlineStr">
        <is>
          <t>Youth Education</t>
        </is>
      </c>
      <c r="D8" s="9" t="n">
        <v>652</v>
      </c>
      <c r="E8" s="8" t="inlineStr">
        <is>
          <t>Training</t>
        </is>
      </c>
      <c r="F8" s="8" t="inlineStr">
        <is>
          <t>Yes</t>
        </is>
      </c>
    </row>
    <row r="9">
      <c r="A9" s="10" t="n">
        <v>46182</v>
      </c>
      <c r="B9" s="11" t="inlineStr">
        <is>
          <t>After-school supplies</t>
        </is>
      </c>
      <c r="C9" s="11" t="inlineStr">
        <is>
          <t>Youth Education</t>
        </is>
      </c>
      <c r="D9" s="12" t="n">
        <v>428</v>
      </c>
      <c r="E9" s="11" t="inlineStr">
        <is>
          <t>Admin</t>
        </is>
      </c>
      <c r="F9" s="11" t="inlineStr">
        <is>
          <t>No</t>
        </is>
      </c>
    </row>
    <row r="10">
      <c r="A10" s="7" t="n">
        <v>46188</v>
      </c>
      <c r="B10" s="8" t="inlineStr"/>
      <c r="C10" s="8" t="inlineStr"/>
      <c r="D10" s="9" t="n">
        <v>562</v>
      </c>
      <c r="E10" s="8" t="inlineStr">
        <is>
          <t>Other</t>
        </is>
      </c>
      <c r="F10" s="8" t="inlineStr">
        <is>
          <t>Partial</t>
        </is>
      </c>
    </row>
    <row r="11">
      <c r="A11" s="10" t="n">
        <v>46191</v>
      </c>
      <c r="B11" s="11" t="inlineStr">
        <is>
          <t>After-school supplies</t>
        </is>
      </c>
      <c r="C11" s="11" t="inlineStr">
        <is>
          <t>Youth Education</t>
        </is>
      </c>
      <c r="D11" s="12" t="n">
        <v>360</v>
      </c>
      <c r="E11" s="11" t="inlineStr">
        <is>
          <t>Personnel</t>
        </is>
      </c>
      <c r="F11" s="11" t="inlineStr">
        <is>
          <t>Yes</t>
        </is>
      </c>
    </row>
    <row r="12">
      <c r="A12" s="7" t="n">
        <v>46197</v>
      </c>
      <c r="B12" s="8" t="inlineStr">
        <is>
          <t>After-school supplies</t>
        </is>
      </c>
      <c r="C12" s="8" t="inlineStr">
        <is>
          <t>Youth Education</t>
        </is>
      </c>
      <c r="D12" s="9" t="n">
        <v>495</v>
      </c>
      <c r="E12" s="8" t="inlineStr">
        <is>
          <t>Supplies</t>
        </is>
      </c>
      <c r="F12" s="8" t="inlineStr">
        <is>
          <t>No</t>
        </is>
      </c>
    </row>
    <row r="13">
      <c r="A13" s="10" t="n">
        <v>46175</v>
      </c>
      <c r="B13" s="11" t="inlineStr"/>
      <c r="C13" s="11" t="inlineStr"/>
      <c r="D13" s="12" t="n">
        <v>338</v>
      </c>
      <c r="E13" s="11" t="inlineStr">
        <is>
          <t>Marketing</t>
        </is>
      </c>
      <c r="F13" s="11" t="inlineStr">
        <is>
          <t>Partial</t>
        </is>
      </c>
    </row>
  </sheetData>
  <dataValidations count="2">
    <dataValidation sqref="E2:E500" showDropDown="0" showInputMessage="0" showErrorMessage="0" allowBlank="1" type="list">
      <formula1>"Personnel,Supplies,Marketing,Facilities,Technology,Travel,Training,Admin,Other"</formula1>
    </dataValidation>
    <dataValidation sqref="F2:F50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6" customWidth="1" min="4" max="4"/>
    <col width="18" customWidth="1" min="5" max="5"/>
    <col width="16" customWidth="1" min="6" max="6"/>
  </cols>
  <sheetData>
    <row r="1">
      <c r="A1" s="6" t="inlineStr">
        <is>
          <t>Donor Name</t>
        </is>
      </c>
      <c r="B1" s="6" t="inlineStr">
        <is>
          <t>Email</t>
        </is>
      </c>
      <c r="C1" s="6" t="inlineStr">
        <is>
          <t>Total Donated $</t>
        </is>
      </c>
      <c r="D1" s="6" t="inlineStr">
        <is>
          <t>Last Gift Date</t>
        </is>
      </c>
      <c r="E1" s="6" t="inlineStr">
        <is>
          <t>Type</t>
        </is>
      </c>
      <c r="F1" s="6" t="inlineStr">
        <is>
          <t>Acknowledged</t>
        </is>
      </c>
    </row>
    <row r="2">
      <c r="A2" s="8" t="inlineStr">
        <is>
          <t>Alex Martin</t>
        </is>
      </c>
      <c r="B2" s="8" t="inlineStr">
        <is>
          <t>alex@mail.com</t>
        </is>
      </c>
      <c r="C2" s="9" t="n">
        <v>2500</v>
      </c>
      <c r="D2" s="7" t="n">
        <v>46174</v>
      </c>
      <c r="E2" s="8" t="inlineStr">
        <is>
          <t>Individual</t>
        </is>
      </c>
      <c r="F2" s="8" t="inlineStr">
        <is>
          <t>Yes</t>
        </is>
      </c>
    </row>
    <row r="3">
      <c r="A3" s="11" t="inlineStr">
        <is>
          <t>Sara Lopez</t>
        </is>
      </c>
      <c r="B3" s="11" t="inlineStr">
        <is>
          <t>sara@mail.com</t>
        </is>
      </c>
      <c r="C3" s="12" t="n">
        <v>1750</v>
      </c>
      <c r="D3" s="10" t="n">
        <v>46180</v>
      </c>
      <c r="E3" s="11" t="inlineStr">
        <is>
          <t>Corporate</t>
        </is>
      </c>
      <c r="F3" s="11" t="inlineStr">
        <is>
          <t>No</t>
        </is>
      </c>
    </row>
    <row r="4">
      <c r="A4" s="8" t="inlineStr">
        <is>
          <t>Omar Haddad</t>
        </is>
      </c>
      <c r="B4" s="8" t="inlineStr">
        <is>
          <t>omar@mail.com</t>
        </is>
      </c>
      <c r="C4" s="9" t="n">
        <v>3250</v>
      </c>
      <c r="D4" s="7" t="n">
        <v>46186</v>
      </c>
      <c r="E4" s="8" t="inlineStr">
        <is>
          <t>Foundation</t>
        </is>
      </c>
      <c r="F4" s="8" t="inlineStr">
        <is>
          <t>Pending</t>
        </is>
      </c>
    </row>
    <row r="5">
      <c r="A5" s="11" t="inlineStr">
        <is>
          <t>Emma Fischer</t>
        </is>
      </c>
      <c r="B5" s="11" t="inlineStr">
        <is>
          <t>emma@mail.com</t>
        </is>
      </c>
      <c r="C5" s="12" t="n">
        <v>2125</v>
      </c>
      <c r="D5" s="10" t="n">
        <v>46189</v>
      </c>
      <c r="E5" s="11" t="inlineStr">
        <is>
          <t>Government</t>
        </is>
      </c>
      <c r="F5" s="11" t="inlineStr">
        <is>
          <t>Yes</t>
        </is>
      </c>
    </row>
    <row r="6">
      <c r="A6" s="8" t="inlineStr">
        <is>
          <t>Liam Carter</t>
        </is>
      </c>
      <c r="B6" s="8" t="inlineStr">
        <is>
          <t>liam@mail.com</t>
        </is>
      </c>
      <c r="C6" s="9" t="n">
        <v>2875</v>
      </c>
      <c r="D6" s="7" t="n">
        <v>46195</v>
      </c>
      <c r="E6" s="8" t="inlineStr">
        <is>
          <t>Individual</t>
        </is>
      </c>
      <c r="F6" s="8" t="inlineStr">
        <is>
          <t>No</t>
        </is>
      </c>
    </row>
    <row r="7">
      <c r="A7" s="11" t="inlineStr">
        <is>
          <t>Nadia Rahali</t>
        </is>
      </c>
      <c r="B7" s="11" t="inlineStr">
        <is>
          <t>nadia@mail.com</t>
        </is>
      </c>
      <c r="C7" s="12" t="n">
        <v>1500</v>
      </c>
      <c r="D7" s="10" t="n">
        <v>46201</v>
      </c>
      <c r="E7" s="11" t="inlineStr">
        <is>
          <t>Corporate</t>
        </is>
      </c>
      <c r="F7" s="11" t="inlineStr">
        <is>
          <t>Pending</t>
        </is>
      </c>
    </row>
    <row r="8">
      <c r="A8" s="8" t="inlineStr">
        <is>
          <t>Tom Becker</t>
        </is>
      </c>
      <c r="B8" s="8" t="inlineStr">
        <is>
          <t>tom@mail.com</t>
        </is>
      </c>
      <c r="C8" s="9" t="n">
        <v>3625</v>
      </c>
      <c r="D8" s="7" t="n">
        <v>46176</v>
      </c>
      <c r="E8" s="8" t="inlineStr">
        <is>
          <t>Foundation</t>
        </is>
      </c>
      <c r="F8" s="8" t="inlineStr">
        <is>
          <t>Yes</t>
        </is>
      </c>
    </row>
    <row r="9">
      <c r="A9" s="11" t="inlineStr">
        <is>
          <t>Julia Romero</t>
        </is>
      </c>
      <c r="B9" s="11" t="inlineStr">
        <is>
          <t>julia@mail.com</t>
        </is>
      </c>
      <c r="C9" s="12" t="n">
        <v>2375</v>
      </c>
      <c r="D9" s="10" t="n">
        <v>46182</v>
      </c>
      <c r="E9" s="11" t="inlineStr">
        <is>
          <t>Government</t>
        </is>
      </c>
      <c r="F9" s="11" t="inlineStr">
        <is>
          <t>No</t>
        </is>
      </c>
    </row>
    <row r="10">
      <c r="A10" s="8" t="inlineStr">
        <is>
          <t>Karim Ziani</t>
        </is>
      </c>
      <c r="B10" s="8" t="inlineStr">
        <is>
          <t>karim@mail.com</t>
        </is>
      </c>
      <c r="C10" s="9" t="n">
        <v>3125</v>
      </c>
      <c r="D10" s="7" t="n">
        <v>46188</v>
      </c>
      <c r="E10" s="8" t="inlineStr">
        <is>
          <t>Individual</t>
        </is>
      </c>
      <c r="F10" s="8" t="inlineStr">
        <is>
          <t>Pending</t>
        </is>
      </c>
    </row>
    <row r="11">
      <c r="A11" s="11" t="inlineStr">
        <is>
          <t>Anna Kowalska</t>
        </is>
      </c>
      <c r="B11" s="11" t="inlineStr">
        <is>
          <t>anna@mail.com</t>
        </is>
      </c>
      <c r="C11" s="12" t="n">
        <v>2000</v>
      </c>
      <c r="D11" s="10" t="n">
        <v>46191</v>
      </c>
      <c r="E11" s="11" t="inlineStr">
        <is>
          <t>Corporate</t>
        </is>
      </c>
      <c r="F11" s="11" t="inlineStr">
        <is>
          <t>Yes</t>
        </is>
      </c>
    </row>
    <row r="12">
      <c r="A12" s="8" t="inlineStr">
        <is>
          <t>David Chen</t>
        </is>
      </c>
      <c r="B12" s="8" t="inlineStr">
        <is>
          <t>david@mail.com</t>
        </is>
      </c>
      <c r="C12" s="9" t="n">
        <v>2750</v>
      </c>
      <c r="D12" s="7" t="n">
        <v>46197</v>
      </c>
      <c r="E12" s="8" t="inlineStr">
        <is>
          <t>Foundation</t>
        </is>
      </c>
      <c r="F12" s="8" t="inlineStr">
        <is>
          <t>No</t>
        </is>
      </c>
    </row>
    <row r="13">
      <c r="A13" s="11" t="inlineStr">
        <is>
          <t>Lea Moreau</t>
        </is>
      </c>
      <c r="B13" s="11" t="inlineStr">
        <is>
          <t>lea@mail.com</t>
        </is>
      </c>
      <c r="C13" s="12" t="n">
        <v>1875</v>
      </c>
      <c r="D13" s="10" t="n">
        <v>46175</v>
      </c>
      <c r="E13" s="11" t="inlineStr">
        <is>
          <t>Government</t>
        </is>
      </c>
      <c r="F13" s="11" t="inlineStr">
        <is>
          <t>Pending</t>
        </is>
      </c>
    </row>
  </sheetData>
  <dataValidations count="2">
    <dataValidation sqref="E2:E500" showDropDown="0" showInputMessage="0" showErrorMessage="0" allowBlank="1" type="list">
      <formula1>"Individual,Corporate,Foundation,Government"</formula1>
    </dataValidation>
    <dataValidation sqref="F2:F5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ANNUAL REPORT</t>
        </is>
      </c>
    </row>
    <row r="4">
      <c r="B4" s="3" t="inlineStr">
        <is>
          <t>Financial Summary</t>
        </is>
      </c>
    </row>
    <row r="5">
      <c r="B5" s="11" t="inlineStr">
        <is>
          <t>Total Revenue</t>
        </is>
      </c>
      <c r="C5" s="25">
        <f>SUM(Revenue!C:C)</f>
        <v/>
      </c>
    </row>
    <row r="6">
      <c r="B6" s="8" t="inlineStr">
        <is>
          <t>Total Expenses</t>
        </is>
      </c>
      <c r="C6" s="26">
        <f>SUM(Expenses!D:D)</f>
        <v/>
      </c>
    </row>
    <row r="7">
      <c r="B7" s="11" t="inlineStr">
        <is>
          <t>Net Surplus / Deficit</t>
        </is>
      </c>
      <c r="C7" s="27">
        <f>SUM(Revenue!C:C)-SUM(Expenses!D:D)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