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ooks" sheetId="2" state="visible" r:id="rId2"/>
    <sheet name="Dashboard" sheetId="3" state="visible" r:id="rId3"/>
    <sheet name="DailyLog" sheetId="4" state="visible" r:id="rId4"/>
    <sheet name="Submissions" sheetId="5" state="visible" r:id="rId5"/>
    <sheet name="Royal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C0A00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92400E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C0A00"/>
      </patternFill>
    </fill>
    <fill>
      <patternFill patternType="solid">
        <fgColor rgb="00FFF7F0"/>
      </patternFill>
    </fill>
    <fill>
      <patternFill patternType="solid">
        <fgColor rgb="0092400E"/>
      </patternFill>
    </fill>
    <fill>
      <patternFill patternType="solid">
        <fgColor rgb="004ADE80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📚  AUTHOR BOOK TRACKER</t>
        </is>
      </c>
    </row>
    <row r="3"/>
    <row r="4">
      <c r="B4" s="2" t="inlineStr">
        <is>
          <t>Writing Progress &amp; Publishing Pipeline Google Sheets</t>
        </is>
      </c>
    </row>
    <row r="6">
      <c r="B6" s="3" t="inlineStr">
        <is>
          <t>STEP 1 — Fill in “Books”</t>
        </is>
      </c>
    </row>
    <row r="7" ht="28" customHeight="1">
      <c r="B7" s="4" t="inlineStr">
        <is>
          <t>All book projects with genre, word count target, and status.</t>
        </is>
      </c>
    </row>
    <row r="9">
      <c r="B9" s="3" t="inlineStr">
        <is>
          <t>STEP 2 — Fill in “DailyLog”</t>
        </is>
      </c>
    </row>
    <row r="10" ht="28" customHeight="1">
      <c r="B10" s="4" t="inlineStr">
        <is>
          <t>Daily writing log with word count and notes.</t>
        </is>
      </c>
    </row>
    <row r="12">
      <c r="B12" s="3" t="inlineStr">
        <is>
          <t>STEP 3 — Fill in “Submissions”</t>
        </is>
      </c>
    </row>
    <row r="13" ht="28" customHeight="1">
      <c r="B13" s="4" t="inlineStr">
        <is>
          <t>Query letters and publisher submissions tracker.</t>
        </is>
      </c>
    </row>
    <row r="15">
      <c r="B15" s="3" t="inlineStr">
        <is>
          <t>STEP 4 — Fill in “Royalties”</t>
        </is>
      </c>
    </row>
    <row r="16" ht="28" customHeight="1">
      <c r="B16" s="4" t="inlineStr">
        <is>
          <t>Royalty income by book and period.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6" t="inlineStr">
        <is>
          <t>Title</t>
        </is>
      </c>
      <c r="B1" s="6" t="inlineStr">
        <is>
          <t>Genre</t>
        </is>
      </c>
      <c r="C1" s="6" t="inlineStr">
        <is>
          <t>Target Words</t>
        </is>
      </c>
      <c r="D1" s="6" t="inlineStr">
        <is>
          <t>Words Done</t>
        </is>
      </c>
      <c r="E1" s="6" t="inlineStr">
        <is>
          <t>Progress %</t>
        </is>
      </c>
      <c r="F1" s="6" t="inlineStr">
        <is>
          <t>Deadline</t>
        </is>
      </c>
      <c r="G1" s="6" t="inlineStr">
        <is>
          <t>Status</t>
        </is>
      </c>
    </row>
    <row r="2">
      <c r="A2" s="7" t="inlineStr">
        <is>
          <t>Kickoff meeting</t>
        </is>
      </c>
      <c r="B2" s="7" t="inlineStr">
        <is>
          <t>Fiction</t>
        </is>
      </c>
      <c r="C2" s="8" t="n">
        <v>90000</v>
      </c>
      <c r="D2" s="7" t="n">
        <v>42000</v>
      </c>
      <c r="E2" s="7">
        <f>D2/C2</f>
        <v/>
      </c>
      <c r="F2" s="9" t="n">
        <v>46174</v>
      </c>
      <c r="G2" s="7" t="inlineStr">
        <is>
          <t>Outlining</t>
        </is>
      </c>
    </row>
    <row r="3">
      <c r="A3" s="10" t="inlineStr">
        <is>
          <t>Send proposal</t>
        </is>
      </c>
      <c r="B3" s="10" t="inlineStr">
        <is>
          <t>Non-Fiction</t>
        </is>
      </c>
      <c r="C3" s="11" t="n">
        <v>63000</v>
      </c>
      <c r="D3" s="10" t="n">
        <v>29400</v>
      </c>
      <c r="E3" s="10">
        <f>D3/C3</f>
        <v/>
      </c>
      <c r="F3" s="12" t="n">
        <v>46180</v>
      </c>
      <c r="G3" s="10" t="inlineStr">
        <is>
          <t>Drafting</t>
        </is>
      </c>
    </row>
    <row r="4">
      <c r="A4" s="7" t="inlineStr">
        <is>
          <t>Review feedback</t>
        </is>
      </c>
      <c r="B4" s="7" t="inlineStr">
        <is>
          <t>Thriller</t>
        </is>
      </c>
      <c r="C4" s="8" t="n">
        <v>117000</v>
      </c>
      <c r="D4" s="7" t="n">
        <v>54600</v>
      </c>
      <c r="E4" s="7">
        <f>D4/C4</f>
        <v/>
      </c>
      <c r="F4" s="9" t="n">
        <v>46186</v>
      </c>
      <c r="G4" s="7" t="inlineStr">
        <is>
          <t>Revising</t>
        </is>
      </c>
    </row>
    <row r="5">
      <c r="A5" s="10" t="inlineStr">
        <is>
          <t>Update website copy</t>
        </is>
      </c>
      <c r="B5" s="10" t="inlineStr">
        <is>
          <t>Romance</t>
        </is>
      </c>
      <c r="C5" s="11" t="n">
        <v>76500</v>
      </c>
      <c r="D5" s="10" t="n">
        <v>35700</v>
      </c>
      <c r="E5" s="10">
        <f>D5/C5</f>
        <v/>
      </c>
      <c r="F5" s="12" t="n">
        <v>46189</v>
      </c>
      <c r="G5" s="10" t="inlineStr">
        <is>
          <t>Beta</t>
        </is>
      </c>
    </row>
    <row r="6">
      <c r="A6" s="7" t="inlineStr">
        <is>
          <t>Prepare invoice</t>
        </is>
      </c>
      <c r="B6" s="7" t="inlineStr">
        <is>
          <t>Fantasy</t>
        </is>
      </c>
      <c r="C6" s="8" t="n">
        <v>103500</v>
      </c>
      <c r="D6" s="7" t="n">
        <v>48300</v>
      </c>
      <c r="E6" s="7">
        <f>D6/C6</f>
        <v/>
      </c>
      <c r="F6" s="9" t="n">
        <v>46195</v>
      </c>
      <c r="G6" s="7" t="inlineStr">
        <is>
          <t>Querying</t>
        </is>
      </c>
    </row>
    <row r="7">
      <c r="A7" s="10" t="inlineStr">
        <is>
          <t>Client call</t>
        </is>
      </c>
      <c r="B7" s="10" t="inlineStr">
        <is>
          <t>Sci-Fi</t>
        </is>
      </c>
      <c r="C7" s="11" t="n">
        <v>54000</v>
      </c>
      <c r="D7" s="10" t="n">
        <v>25200</v>
      </c>
      <c r="E7" s="10">
        <f>D7/C7</f>
        <v/>
      </c>
      <c r="F7" s="12" t="n">
        <v>46201</v>
      </c>
      <c r="G7" s="10" t="inlineStr">
        <is>
          <t>Published</t>
        </is>
      </c>
    </row>
    <row r="8">
      <c r="A8" s="7" t="inlineStr">
        <is>
          <t>Design first draft</t>
        </is>
      </c>
      <c r="B8" s="7" t="inlineStr">
        <is>
          <t>Self-Help</t>
        </is>
      </c>
      <c r="C8" s="8" t="n">
        <v>130500</v>
      </c>
      <c r="D8" s="7" t="n">
        <v>60900</v>
      </c>
      <c r="E8" s="7">
        <f>D8/C8</f>
        <v/>
      </c>
      <c r="F8" s="9" t="n">
        <v>46176</v>
      </c>
      <c r="G8" s="7" t="inlineStr">
        <is>
          <t>Shelved</t>
        </is>
      </c>
    </row>
    <row r="9">
      <c r="A9" s="10" t="inlineStr">
        <is>
          <t>Fix reported bug</t>
        </is>
      </c>
      <c r="B9" s="10" t="inlineStr">
        <is>
          <t>Other</t>
        </is>
      </c>
      <c r="C9" s="11" t="n">
        <v>85500</v>
      </c>
      <c r="D9" s="10" t="n">
        <v>39900</v>
      </c>
      <c r="E9" s="10">
        <f>D9/C9</f>
        <v/>
      </c>
      <c r="F9" s="12" t="n">
        <v>46182</v>
      </c>
      <c r="G9" s="10" t="inlineStr">
        <is>
          <t>Outlining</t>
        </is>
      </c>
    </row>
    <row r="10">
      <c r="A10" s="7" t="inlineStr">
        <is>
          <t>Weekly report</t>
        </is>
      </c>
      <c r="B10" s="7" t="inlineStr">
        <is>
          <t>Fiction</t>
        </is>
      </c>
      <c r="C10" s="8" t="n">
        <v>112500</v>
      </c>
      <c r="D10" s="7" t="n">
        <v>52500</v>
      </c>
      <c r="E10" s="7">
        <f>D10/C10</f>
        <v/>
      </c>
      <c r="F10" s="9" t="n">
        <v>46188</v>
      </c>
      <c r="G10" s="7" t="inlineStr">
        <is>
          <t>Drafting</t>
        </is>
      </c>
    </row>
    <row r="11">
      <c r="A11" s="10" t="inlineStr">
        <is>
          <t>Plan next sprint</t>
        </is>
      </c>
      <c r="B11" s="10" t="inlineStr">
        <is>
          <t>Non-Fiction</t>
        </is>
      </c>
      <c r="C11" s="11" t="n">
        <v>72000</v>
      </c>
      <c r="D11" s="10" t="n">
        <v>33600</v>
      </c>
      <c r="E11" s="10">
        <f>D11/C11</f>
        <v/>
      </c>
      <c r="F11" s="12" t="n">
        <v>46191</v>
      </c>
      <c r="G11" s="10" t="inlineStr">
        <is>
          <t>Revising</t>
        </is>
      </c>
    </row>
    <row r="12">
      <c r="A12" s="7" t="inlineStr">
        <is>
          <t>Publish blog post</t>
        </is>
      </c>
      <c r="B12" s="7" t="inlineStr">
        <is>
          <t>Thriller</t>
        </is>
      </c>
      <c r="C12" s="8" t="n">
        <v>99000</v>
      </c>
      <c r="D12" s="7" t="n">
        <v>46200</v>
      </c>
      <c r="E12" s="7">
        <f>D12/C12</f>
        <v/>
      </c>
      <c r="F12" s="9" t="n">
        <v>46197</v>
      </c>
      <c r="G12" s="7" t="inlineStr">
        <is>
          <t>Beta</t>
        </is>
      </c>
    </row>
    <row r="13">
      <c r="A13" s="10" t="inlineStr">
        <is>
          <t>Team sync</t>
        </is>
      </c>
      <c r="B13" s="10" t="inlineStr">
        <is>
          <t>Romance</t>
        </is>
      </c>
      <c r="C13" s="11" t="n">
        <v>67500</v>
      </c>
      <c r="D13" s="10" t="n">
        <v>31500</v>
      </c>
      <c r="E13" s="10">
        <f>D13/C13</f>
        <v/>
      </c>
      <c r="F13" s="12" t="n">
        <v>46175</v>
      </c>
      <c r="G13" s="10" t="inlineStr">
        <is>
          <t>Querying</t>
        </is>
      </c>
    </row>
  </sheetData>
  <dataValidations count="2">
    <dataValidation sqref="B2:B500" showDropDown="0" showInputMessage="0" showErrorMessage="0" allowBlank="1" type="list">
      <formula1>"Fiction,Non-Fiction,Thriller,Romance,Fantasy,Sci-Fi,Self-Help,Other"</formula1>
    </dataValidation>
    <dataValidation sqref="G2:G500" showDropDown="0" showInputMessage="0" showErrorMessage="0" allowBlank="1" type="list">
      <formula1>"Outlining,Drafting,Revising,Beta,Querying,Published,Shelved"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AUTHOR BOOK TRACKER — DASHBOARD</t>
        </is>
      </c>
    </row>
    <row r="4">
      <c r="B4" s="14" t="inlineStr">
        <is>
          <t>TOTAL WORDS WRITTEN</t>
        </is>
      </c>
      <c r="D4" s="15" t="inlineStr">
        <is>
          <t>BOOKS PUBLISHED</t>
        </is>
      </c>
      <c r="F4" s="16" t="inlineStr">
        <is>
          <t>TOTAL ROYALTIES</t>
        </is>
      </c>
      <c r="H4" s="17" t="inlineStr">
        <is>
          <t>AVG DAILY WORDS</t>
        </is>
      </c>
    </row>
    <row r="5" ht="26" customHeight="1">
      <c r="B5" s="18">
        <f>SUM(DailyLog!C:C)</f>
        <v/>
      </c>
      <c r="D5" s="19">
        <f>COUNTIF(Books!G:G,"Published")</f>
        <v/>
      </c>
      <c r="F5" s="20">
        <f>SUM(Royalties!D:D)</f>
        <v/>
      </c>
      <c r="H5" s="21">
        <f>AVERAGE(DailyLog!C:C)</f>
        <v/>
      </c>
    </row>
    <row r="8">
      <c r="B8" s="22" t="inlineStr">
        <is>
          <t>WHAT'S INSIDE</t>
        </is>
      </c>
    </row>
    <row r="9">
      <c r="B9" s="23" t="inlineStr">
        <is>
          <t>📖  Books — All book projects with genre, word count target, and status.</t>
        </is>
      </c>
    </row>
    <row r="10">
      <c r="B10" s="23" t="inlineStr">
        <is>
          <t>✍️  DailyLog — Daily writing log with word count and notes.</t>
        </is>
      </c>
    </row>
    <row r="11">
      <c r="B11" s="23" t="inlineStr">
        <is>
          <t>📬  Submissions — Query letters and publisher submissions tracker.</t>
        </is>
      </c>
    </row>
    <row r="12">
      <c r="B12" s="23" t="inlineStr">
        <is>
          <t>💰  Royalties — Royalty income by book and period.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30" customWidth="1" min="6" max="6"/>
  </cols>
  <sheetData>
    <row r="1">
      <c r="A1" s="6" t="inlineStr">
        <is>
          <t>Date</t>
        </is>
      </c>
      <c r="B1" s="6" t="inlineStr">
        <is>
          <t>Book</t>
        </is>
      </c>
      <c r="C1" s="6" t="inlineStr">
        <is>
          <t>Words Written</t>
        </is>
      </c>
      <c r="D1" s="6" t="inlineStr">
        <is>
          <t>Session (min)</t>
        </is>
      </c>
      <c r="E1" s="6" t="inlineStr">
        <is>
          <t>Chapter</t>
        </is>
      </c>
      <c r="F1" s="6" t="inlineStr">
        <is>
          <t>Notes</t>
        </is>
      </c>
    </row>
    <row r="2">
      <c r="A2" s="9" t="n">
        <v>46174</v>
      </c>
      <c r="B2" s="7" t="inlineStr">
        <is>
          <t>The Forgotten Coast</t>
        </is>
      </c>
      <c r="C2" s="7" t="n">
        <v>1250</v>
      </c>
      <c r="D2" s="7" t="n">
        <v>60</v>
      </c>
      <c r="E2" s="7" t="n">
        <v>12</v>
      </c>
      <c r="F2" s="7" t="inlineStr"/>
    </row>
    <row r="3">
      <c r="A3" s="12" t="n">
        <v>46180</v>
      </c>
      <c r="B3" s="10" t="inlineStr">
        <is>
          <t>The Forgotten Coast</t>
        </is>
      </c>
      <c r="C3" s="10" t="n">
        <v>875</v>
      </c>
      <c r="D3" s="10" t="n">
        <v>42</v>
      </c>
      <c r="E3" s="10" t="n">
        <v>8.4</v>
      </c>
      <c r="F3" s="10" t="inlineStr">
        <is>
          <t>Paid</t>
        </is>
      </c>
    </row>
    <row r="4">
      <c r="A4" s="9" t="n">
        <v>46186</v>
      </c>
      <c r="B4" s="7" t="inlineStr"/>
      <c r="C4" s="7" t="n">
        <v>1625</v>
      </c>
      <c r="D4" s="7" t="n">
        <v>78</v>
      </c>
      <c r="E4" s="7" t="n">
        <v>15.6</v>
      </c>
      <c r="F4" s="7" t="inlineStr">
        <is>
          <t>Urgent</t>
        </is>
      </c>
    </row>
    <row r="5">
      <c r="A5" s="12" t="n">
        <v>46189</v>
      </c>
      <c r="B5" s="10" t="inlineStr">
        <is>
          <t>The Forgotten Coast</t>
        </is>
      </c>
      <c r="C5" s="10" t="n">
        <v>1062</v>
      </c>
      <c r="D5" s="10" t="n">
        <v>51</v>
      </c>
      <c r="E5" s="10" t="n">
        <v>10.2</v>
      </c>
      <c r="F5" s="10" t="inlineStr">
        <is>
          <t>Follow up Friday</t>
        </is>
      </c>
    </row>
    <row r="6">
      <c r="A6" s="9" t="n">
        <v>46195</v>
      </c>
      <c r="B6" s="7" t="inlineStr">
        <is>
          <t>The Forgotten Coast</t>
        </is>
      </c>
      <c r="C6" s="7" t="n">
        <v>1438</v>
      </c>
      <c r="D6" s="7" t="n">
        <v>69</v>
      </c>
      <c r="E6" s="7" t="n">
        <v>13.8</v>
      </c>
      <c r="F6" s="7" t="inlineStr"/>
    </row>
    <row r="7">
      <c r="A7" s="12" t="n">
        <v>46201</v>
      </c>
      <c r="B7" s="10" t="inlineStr"/>
      <c r="C7" s="10" t="n">
        <v>750</v>
      </c>
      <c r="D7" s="10" t="n">
        <v>36</v>
      </c>
      <c r="E7" s="10" t="n">
        <v>7.2</v>
      </c>
      <c r="F7" s="10" t="inlineStr">
        <is>
          <t>Monthly</t>
        </is>
      </c>
    </row>
    <row r="8">
      <c r="A8" s="9" t="n">
        <v>46176</v>
      </c>
      <c r="B8" s="7" t="inlineStr">
        <is>
          <t>The Forgotten Coast</t>
        </is>
      </c>
      <c r="C8" s="7" t="n">
        <v>1812</v>
      </c>
      <c r="D8" s="7" t="n">
        <v>87</v>
      </c>
      <c r="E8" s="7" t="n">
        <v>17.4</v>
      </c>
      <c r="F8" s="7" t="inlineStr">
        <is>
          <t>Confirmed</t>
        </is>
      </c>
    </row>
    <row r="9">
      <c r="A9" s="12" t="n">
        <v>46182</v>
      </c>
      <c r="B9" s="10" t="inlineStr">
        <is>
          <t>The Forgotten Coast</t>
        </is>
      </c>
      <c r="C9" s="10" t="n">
        <v>1188</v>
      </c>
      <c r="D9" s="10" t="n">
        <v>57</v>
      </c>
      <c r="E9" s="10" t="n">
        <v>11.4</v>
      </c>
      <c r="F9" s="10" t="inlineStr"/>
    </row>
    <row r="10">
      <c r="A10" s="9" t="n">
        <v>46188</v>
      </c>
      <c r="B10" s="7" t="inlineStr"/>
      <c r="C10" s="7" t="n">
        <v>1562</v>
      </c>
      <c r="D10" s="7" t="n">
        <v>75</v>
      </c>
      <c r="E10" s="7" t="n">
        <v>15</v>
      </c>
      <c r="F10" s="7" t="inlineStr">
        <is>
          <t>Waiting reply</t>
        </is>
      </c>
    </row>
    <row r="11">
      <c r="A11" s="12" t="n">
        <v>46191</v>
      </c>
      <c r="B11" s="10" t="inlineStr">
        <is>
          <t>The Forgotten Coast</t>
        </is>
      </c>
      <c r="C11" s="10" t="n">
        <v>1000</v>
      </c>
      <c r="D11" s="10" t="n">
        <v>48</v>
      </c>
      <c r="E11" s="10" t="n">
        <v>9.6</v>
      </c>
      <c r="F11" s="10" t="inlineStr">
        <is>
          <t>Done early</t>
        </is>
      </c>
    </row>
    <row r="12">
      <c r="A12" s="9" t="n">
        <v>46197</v>
      </c>
      <c r="B12" s="7" t="inlineStr">
        <is>
          <t>The Forgotten Coast</t>
        </is>
      </c>
      <c r="C12" s="7" t="n">
        <v>1375</v>
      </c>
      <c r="D12" s="7" t="n">
        <v>66</v>
      </c>
      <c r="E12" s="7" t="n">
        <v>13.2</v>
      </c>
      <c r="F12" s="7" t="inlineStr"/>
    </row>
    <row r="13">
      <c r="A13" s="12" t="n">
        <v>46175</v>
      </c>
      <c r="B13" s="10" t="inlineStr"/>
      <c r="C13" s="10" t="n">
        <v>938</v>
      </c>
      <c r="D13" s="10" t="n">
        <v>45</v>
      </c>
      <c r="E13" s="10" t="n">
        <v>9</v>
      </c>
      <c r="F13" s="10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>
      <c r="A1" s="6" t="inlineStr">
        <is>
          <t>Book</t>
        </is>
      </c>
      <c r="B1" s="6" t="inlineStr">
        <is>
          <t>Agent/Publisher</t>
        </is>
      </c>
      <c r="C1" s="6" t="inlineStr">
        <is>
          <t>Submitted</t>
        </is>
      </c>
      <c r="D1" s="6" t="inlineStr">
        <is>
          <t>Response</t>
        </is>
      </c>
      <c r="E1" s="6" t="inlineStr">
        <is>
          <t>Status</t>
        </is>
      </c>
      <c r="F1" s="6" t="inlineStr">
        <is>
          <t>Notes</t>
        </is>
      </c>
    </row>
    <row r="2">
      <c r="A2" s="7" t="inlineStr">
        <is>
          <t>The Forgotten Coast</t>
        </is>
      </c>
      <c r="B2" s="7" t="inlineStr">
        <is>
          <t>Curtis Brown Agency</t>
        </is>
      </c>
      <c r="C2" s="9" t="n">
        <v>46174</v>
      </c>
      <c r="D2" s="9" t="n">
        <v>46174</v>
      </c>
      <c r="E2" s="7" t="inlineStr">
        <is>
          <t>Sent</t>
        </is>
      </c>
      <c r="F2" s="7" t="inlineStr"/>
    </row>
    <row r="3">
      <c r="A3" s="10" t="inlineStr">
        <is>
          <t>The Forgotten Coast</t>
        </is>
      </c>
      <c r="B3" s="10" t="inlineStr">
        <is>
          <t>Curtis Brown Agency</t>
        </is>
      </c>
      <c r="C3" s="12" t="n">
        <v>46180</v>
      </c>
      <c r="D3" s="12" t="n">
        <v>46180</v>
      </c>
      <c r="E3" s="10" t="inlineStr">
        <is>
          <t>Full Requested</t>
        </is>
      </c>
      <c r="F3" s="10" t="inlineStr">
        <is>
          <t>Paid</t>
        </is>
      </c>
    </row>
    <row r="4">
      <c r="A4" s="7" t="inlineStr"/>
      <c r="B4" s="7" t="inlineStr"/>
      <c r="C4" s="9" t="n">
        <v>46186</v>
      </c>
      <c r="D4" s="9" t="n">
        <v>46186</v>
      </c>
      <c r="E4" s="7" t="inlineStr">
        <is>
          <t>Offer</t>
        </is>
      </c>
      <c r="F4" s="7" t="inlineStr">
        <is>
          <t>Urgent</t>
        </is>
      </c>
    </row>
    <row r="5">
      <c r="A5" s="10" t="inlineStr">
        <is>
          <t>The Forgotten Coast</t>
        </is>
      </c>
      <c r="B5" s="10" t="inlineStr">
        <is>
          <t>Curtis Brown Agency</t>
        </is>
      </c>
      <c r="C5" s="12" t="n">
        <v>46189</v>
      </c>
      <c r="D5" s="12" t="n">
        <v>46189</v>
      </c>
      <c r="E5" s="10" t="inlineStr">
        <is>
          <t>Rejected</t>
        </is>
      </c>
      <c r="F5" s="10" t="inlineStr">
        <is>
          <t>Follow up Friday</t>
        </is>
      </c>
    </row>
    <row r="6">
      <c r="A6" s="7" t="inlineStr">
        <is>
          <t>The Forgotten Coast</t>
        </is>
      </c>
      <c r="B6" s="7" t="inlineStr">
        <is>
          <t>Curtis Brown Agency</t>
        </is>
      </c>
      <c r="C6" s="9" t="n">
        <v>46195</v>
      </c>
      <c r="D6" s="9" t="n">
        <v>46195</v>
      </c>
      <c r="E6" s="7" t="inlineStr">
        <is>
          <t>No Response</t>
        </is>
      </c>
      <c r="F6" s="7" t="inlineStr"/>
    </row>
    <row r="7">
      <c r="A7" s="10" t="inlineStr"/>
      <c r="B7" s="10" t="inlineStr"/>
      <c r="C7" s="12" t="n">
        <v>46201</v>
      </c>
      <c r="D7" s="12" t="n">
        <v>46201</v>
      </c>
      <c r="E7" s="10" t="inlineStr">
        <is>
          <t>Sent</t>
        </is>
      </c>
      <c r="F7" s="10" t="inlineStr">
        <is>
          <t>Monthly</t>
        </is>
      </c>
    </row>
    <row r="8">
      <c r="A8" s="7" t="inlineStr">
        <is>
          <t>The Forgotten Coast</t>
        </is>
      </c>
      <c r="B8" s="7" t="inlineStr">
        <is>
          <t>Curtis Brown Agency</t>
        </is>
      </c>
      <c r="C8" s="9" t="n">
        <v>46176</v>
      </c>
      <c r="D8" s="9" t="n">
        <v>46176</v>
      </c>
      <c r="E8" s="7" t="inlineStr">
        <is>
          <t>Full Requested</t>
        </is>
      </c>
      <c r="F8" s="7" t="inlineStr">
        <is>
          <t>Confirmed</t>
        </is>
      </c>
    </row>
    <row r="9">
      <c r="A9" s="10" t="inlineStr">
        <is>
          <t>The Forgotten Coast</t>
        </is>
      </c>
      <c r="B9" s="10" t="inlineStr">
        <is>
          <t>Curtis Brown Agency</t>
        </is>
      </c>
      <c r="C9" s="12" t="n">
        <v>46182</v>
      </c>
      <c r="D9" s="12" t="n">
        <v>46182</v>
      </c>
      <c r="E9" s="10" t="inlineStr">
        <is>
          <t>Offer</t>
        </is>
      </c>
      <c r="F9" s="10" t="inlineStr"/>
    </row>
    <row r="10">
      <c r="A10" s="7" t="inlineStr"/>
      <c r="B10" s="7" t="inlineStr"/>
      <c r="C10" s="9" t="n">
        <v>46188</v>
      </c>
      <c r="D10" s="9" t="n">
        <v>46188</v>
      </c>
      <c r="E10" s="7" t="inlineStr">
        <is>
          <t>Rejected</t>
        </is>
      </c>
      <c r="F10" s="7" t="inlineStr">
        <is>
          <t>Waiting reply</t>
        </is>
      </c>
    </row>
    <row r="11">
      <c r="A11" s="10" t="inlineStr">
        <is>
          <t>The Forgotten Coast</t>
        </is>
      </c>
      <c r="B11" s="10" t="inlineStr">
        <is>
          <t>Curtis Brown Agency</t>
        </is>
      </c>
      <c r="C11" s="12" t="n">
        <v>46191</v>
      </c>
      <c r="D11" s="12" t="n">
        <v>46191</v>
      </c>
      <c r="E11" s="10" t="inlineStr">
        <is>
          <t>No Response</t>
        </is>
      </c>
      <c r="F11" s="10" t="inlineStr">
        <is>
          <t>Done early</t>
        </is>
      </c>
    </row>
    <row r="12">
      <c r="A12" s="7" t="inlineStr">
        <is>
          <t>The Forgotten Coast</t>
        </is>
      </c>
      <c r="B12" s="7" t="inlineStr">
        <is>
          <t>Curtis Brown Agency</t>
        </is>
      </c>
      <c r="C12" s="9" t="n">
        <v>46197</v>
      </c>
      <c r="D12" s="9" t="n">
        <v>46197</v>
      </c>
      <c r="E12" s="7" t="inlineStr">
        <is>
          <t>Sent</t>
        </is>
      </c>
      <c r="F12" s="7" t="inlineStr"/>
    </row>
    <row r="13">
      <c r="A13" s="10" t="inlineStr"/>
      <c r="B13" s="10" t="inlineStr"/>
      <c r="C13" s="12" t="n">
        <v>46175</v>
      </c>
      <c r="D13" s="12" t="n">
        <v>46175</v>
      </c>
      <c r="E13" s="10" t="inlineStr">
        <is>
          <t>Full Requested</t>
        </is>
      </c>
      <c r="F13" s="10" t="inlineStr">
        <is>
          <t>Recheck</t>
        </is>
      </c>
    </row>
  </sheetData>
  <dataValidations count="1">
    <dataValidation sqref="E2:E500" showDropDown="0" showInputMessage="0" showErrorMessage="0" allowBlank="1" type="list">
      <formula1>"Sent,Full Requested,Offer,Rejected,No Response"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4" customWidth="1" min="4" max="4"/>
    <col width="12" customWidth="1" min="5" max="5"/>
  </cols>
  <sheetData>
    <row r="1">
      <c r="A1" s="6" t="inlineStr">
        <is>
          <t>Period</t>
        </is>
      </c>
      <c r="B1" s="6" t="inlineStr">
        <is>
          <t>Book</t>
        </is>
      </c>
      <c r="C1" s="6" t="inlineStr">
        <is>
          <t>Platform</t>
        </is>
      </c>
      <c r="D1" s="6" t="inlineStr">
        <is>
          <t>Royalties $</t>
        </is>
      </c>
      <c r="E1" s="6" t="inlineStr">
        <is>
          <t>Units Sold</t>
        </is>
      </c>
    </row>
    <row r="2">
      <c r="A2" s="7" t="inlineStr">
        <is>
          <t>Q1 2024</t>
        </is>
      </c>
      <c r="B2" s="7" t="inlineStr">
        <is>
          <t>The Forgotten Coast</t>
        </is>
      </c>
      <c r="C2" s="7" t="inlineStr">
        <is>
          <t>Amazon KDP</t>
        </is>
      </c>
      <c r="D2" s="7" t="n">
        <v>342</v>
      </c>
      <c r="E2" s="7" t="n">
        <v>87</v>
      </c>
    </row>
    <row r="3">
      <c r="A3" s="10" t="inlineStr">
        <is>
          <t>Q1 2025</t>
        </is>
      </c>
      <c r="B3" s="10" t="inlineStr">
        <is>
          <t>The Forgotten Coast</t>
        </is>
      </c>
      <c r="C3" s="10" t="inlineStr">
        <is>
          <t>IngramSpark</t>
        </is>
      </c>
      <c r="D3" s="10" t="n">
        <v>239</v>
      </c>
      <c r="E3" s="10" t="n">
        <v>60.9</v>
      </c>
    </row>
    <row r="4">
      <c r="A4" s="7" t="inlineStr">
        <is>
          <t>Q1 2026</t>
        </is>
      </c>
      <c r="B4" s="7" t="inlineStr"/>
      <c r="C4" s="7" t="inlineStr">
        <is>
          <t>Audible</t>
        </is>
      </c>
      <c r="D4" s="7" t="n">
        <v>445</v>
      </c>
      <c r="E4" s="7" t="n">
        <v>113.1</v>
      </c>
    </row>
    <row r="5">
      <c r="A5" s="10" t="inlineStr">
        <is>
          <t>Q1 2027</t>
        </is>
      </c>
      <c r="B5" s="10" t="inlineStr">
        <is>
          <t>The Forgotten Coast</t>
        </is>
      </c>
      <c r="C5" s="10" t="inlineStr">
        <is>
          <t>Traditional</t>
        </is>
      </c>
      <c r="D5" s="10" t="n">
        <v>291</v>
      </c>
      <c r="E5" s="10" t="n">
        <v>73.95</v>
      </c>
    </row>
    <row r="6">
      <c r="A6" s="7" t="inlineStr">
        <is>
          <t>Q1 2028</t>
        </is>
      </c>
      <c r="B6" s="7" t="inlineStr">
        <is>
          <t>The Forgotten Coast</t>
        </is>
      </c>
      <c r="C6" s="7" t="inlineStr">
        <is>
          <t>Other</t>
        </is>
      </c>
      <c r="D6" s="7" t="n">
        <v>393</v>
      </c>
      <c r="E6" s="7" t="n">
        <v>100.05</v>
      </c>
    </row>
    <row r="7">
      <c r="A7" s="10" t="inlineStr">
        <is>
          <t>Q1 2029</t>
        </is>
      </c>
      <c r="B7" s="10" t="inlineStr"/>
      <c r="C7" s="10" t="inlineStr">
        <is>
          <t>Amazon KDP</t>
        </is>
      </c>
      <c r="D7" s="10" t="n">
        <v>205</v>
      </c>
      <c r="E7" s="10" t="n">
        <v>52.2</v>
      </c>
    </row>
    <row r="8">
      <c r="A8" s="7" t="inlineStr">
        <is>
          <t>Q1 2030</t>
        </is>
      </c>
      <c r="B8" s="7" t="inlineStr">
        <is>
          <t>The Forgotten Coast</t>
        </is>
      </c>
      <c r="C8" s="7" t="inlineStr">
        <is>
          <t>IngramSpark</t>
        </is>
      </c>
      <c r="D8" s="7" t="n">
        <v>496</v>
      </c>
      <c r="E8" s="7" t="n">
        <v>126.15</v>
      </c>
    </row>
    <row r="9">
      <c r="A9" s="10" t="inlineStr">
        <is>
          <t>Q1 2031</t>
        </is>
      </c>
      <c r="B9" s="10" t="inlineStr">
        <is>
          <t>The Forgotten Coast</t>
        </is>
      </c>
      <c r="C9" s="10" t="inlineStr">
        <is>
          <t>Audible</t>
        </is>
      </c>
      <c r="D9" s="10" t="n">
        <v>325</v>
      </c>
      <c r="E9" s="10" t="n">
        <v>82.65000000000001</v>
      </c>
    </row>
    <row r="10">
      <c r="A10" s="7" t="inlineStr">
        <is>
          <t>Q1 2032</t>
        </is>
      </c>
      <c r="B10" s="7" t="inlineStr"/>
      <c r="C10" s="7" t="inlineStr">
        <is>
          <t>Traditional</t>
        </is>
      </c>
      <c r="D10" s="7" t="n">
        <v>428</v>
      </c>
      <c r="E10" s="7" t="n">
        <v>108.75</v>
      </c>
    </row>
    <row r="11">
      <c r="A11" s="10" t="inlineStr">
        <is>
          <t>Q1 2033</t>
        </is>
      </c>
      <c r="B11" s="10" t="inlineStr">
        <is>
          <t>The Forgotten Coast</t>
        </is>
      </c>
      <c r="C11" s="10" t="inlineStr">
        <is>
          <t>Other</t>
        </is>
      </c>
      <c r="D11" s="10" t="n">
        <v>274</v>
      </c>
      <c r="E11" s="10" t="n">
        <v>69.59999999999999</v>
      </c>
    </row>
    <row r="12">
      <c r="A12" s="7" t="inlineStr">
        <is>
          <t>Q1 2034</t>
        </is>
      </c>
      <c r="B12" s="7" t="inlineStr">
        <is>
          <t>The Forgotten Coast</t>
        </is>
      </c>
      <c r="C12" s="7" t="inlineStr">
        <is>
          <t>Amazon KDP</t>
        </is>
      </c>
      <c r="D12" s="7" t="n">
        <v>376</v>
      </c>
      <c r="E12" s="7" t="n">
        <v>95.7</v>
      </c>
    </row>
    <row r="13">
      <c r="A13" s="10" t="inlineStr">
        <is>
          <t>Q1 2035</t>
        </is>
      </c>
      <c r="B13" s="10" t="inlineStr"/>
      <c r="C13" s="10" t="inlineStr">
        <is>
          <t>IngramSpark</t>
        </is>
      </c>
      <c r="D13" s="10" t="n">
        <v>256</v>
      </c>
      <c r="E13" s="10" t="n">
        <v>65.25</v>
      </c>
    </row>
  </sheetData>
  <dataValidations count="1">
    <dataValidation sqref="C2:C500" showDropDown="0" showInputMessage="0" showErrorMessage="0" allowBlank="1" type="list">
      <formula1>"Amazon KDP,IngramSpark,Audible,Traditional,Other"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