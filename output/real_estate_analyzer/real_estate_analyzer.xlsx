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 Analyzer" sheetId="1" state="visible" r:id="rId1"/>
    <sheet name="Purchase Info" sheetId="2" state="visible" r:id="rId2"/>
    <sheet name="Income" sheetId="3" state="visible" r:id="rId3"/>
    <sheet name="Expenses" sheetId="4" state="visible" r:id="rId4"/>
    <sheet name="Financing" sheetId="5" state="visible" r:id="rId5"/>
    <sheet name="Comparison" sheetId="6" state="visible" r:id="rId6"/>
    <sheet name="Repo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888888"/>
      <sz val="9"/>
    </font>
    <font>
      <name val="Calibri"/>
      <color rgb="000D1B2A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4361EE"/>
      <sz val="12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4361EE"/>
      </patternFill>
    </fill>
    <fill>
      <patternFill patternType="solid">
        <fgColor rgb="00FFD166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6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CC71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Real Estate Deal Analyzer</t>
        </is>
      </c>
    </row>
    <row r="3">
      <c r="A3" s="2" t="inlineStr">
        <is>
          <t>Monthly Cash Flow</t>
        </is>
      </c>
      <c r="B3" s="2" t="inlineStr">
        <is>
          <t>Annual ROI %</t>
        </is>
      </c>
      <c r="C3" s="2" t="inlineStr">
        <is>
          <t>Cap Rate</t>
        </is>
      </c>
      <c r="D3" s="2" t="inlineStr">
        <is>
          <t>GRM</t>
        </is>
      </c>
    </row>
    <row r="4" ht="36" customHeight="1">
      <c r="A4" s="3">
        <f>Income!B20-Expenses!B25</f>
        <v/>
      </c>
      <c r="B4" s="3">
        <f>TEXT(B4*12/Financing!B15,"0.0%")</f>
        <v/>
      </c>
      <c r="C4" s="3">
        <f>TEXT((Income!B20-Expenses!B25)*12/Purchase!B5,"0.0%")</f>
        <v/>
      </c>
      <c r="D4" s="3">
        <f>Purchase!B5/(Income!B20*12)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A2332"/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30" customWidth="1" min="3" max="3"/>
  </cols>
  <sheetData>
    <row r="1">
      <c r="A1" s="4" t="inlineStr">
        <is>
          <t>Item</t>
        </is>
      </c>
      <c r="B1" s="4" t="inlineStr">
        <is>
          <t>Value</t>
        </is>
      </c>
      <c r="C1" s="4" t="inlineStr">
        <is>
          <t>Notes</t>
        </is>
      </c>
    </row>
    <row r="2" ht="22" customHeight="1">
      <c r="A2" s="5" t="inlineStr">
        <is>
          <t>Purchase Price</t>
        </is>
      </c>
      <c r="B2" s="5" t="inlineStr">
        <is>
          <t>250000</t>
        </is>
      </c>
      <c r="C2" s="5" t="inlineStr">
        <is>
          <t>Negotiated price</t>
        </is>
      </c>
    </row>
    <row r="3" ht="22" customHeight="1">
      <c r="A3" s="5" t="inlineStr">
        <is>
          <t>Purchase Price</t>
        </is>
      </c>
      <c r="B3" s="5" t="inlineStr">
        <is>
          <t>250000</t>
        </is>
      </c>
      <c r="C3" s="5" t="inlineStr">
        <is>
          <t>Negotiated price</t>
        </is>
      </c>
    </row>
    <row r="4" ht="22" customHeight="1">
      <c r="A4" s="5" t="inlineStr">
        <is>
          <t>Purchase Price</t>
        </is>
      </c>
      <c r="B4" s="5" t="inlineStr">
        <is>
          <t>250000</t>
        </is>
      </c>
      <c r="C4" s="5" t="inlineStr">
        <is>
          <t>Negotiated price</t>
        </is>
      </c>
    </row>
    <row r="5" ht="22" customHeight="1">
      <c r="A5" s="5" t="inlineStr">
        <is>
          <t>Purchase Price</t>
        </is>
      </c>
      <c r="B5" s="5" t="inlineStr">
        <is>
          <t>250000</t>
        </is>
      </c>
      <c r="C5" s="5" t="inlineStr">
        <is>
          <t>Negotiated price</t>
        </is>
      </c>
    </row>
    <row r="6" ht="22" customHeight="1">
      <c r="A6" s="5" t="inlineStr">
        <is>
          <t>Purchase Price</t>
        </is>
      </c>
      <c r="B6" s="5" t="inlineStr">
        <is>
          <t>250000</t>
        </is>
      </c>
      <c r="C6" s="5" t="inlineStr">
        <is>
          <t>Negotiated price</t>
        </is>
      </c>
    </row>
    <row r="7" ht="22" customHeight="1">
      <c r="A7" s="5" t="inlineStr">
        <is>
          <t>Purchase Price</t>
        </is>
      </c>
      <c r="B7" s="5" t="inlineStr">
        <is>
          <t>250000</t>
        </is>
      </c>
      <c r="C7" s="5" t="inlineStr">
        <is>
          <t>Negotiated price</t>
        </is>
      </c>
    </row>
    <row r="8" ht="22" customHeight="1">
      <c r="A8" s="5" t="inlineStr">
        <is>
          <t>Purchase Price</t>
        </is>
      </c>
      <c r="B8" s="5" t="inlineStr">
        <is>
          <t>250000</t>
        </is>
      </c>
      <c r="C8" s="5" t="inlineStr">
        <is>
          <t>Negotiated price</t>
        </is>
      </c>
    </row>
    <row r="9" ht="22" customHeight="1">
      <c r="A9" s="5" t="inlineStr">
        <is>
          <t>Purchase Price</t>
        </is>
      </c>
      <c r="B9" s="5" t="inlineStr">
        <is>
          <t>250000</t>
        </is>
      </c>
      <c r="C9" s="5" t="inlineStr">
        <is>
          <t>Negotiated price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ECC71"/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26" customWidth="1" min="4" max="4"/>
  </cols>
  <sheetData>
    <row r="1">
      <c r="A1" s="4" t="inlineStr">
        <is>
          <t>Income Source</t>
        </is>
      </c>
      <c r="B1" s="4" t="inlineStr">
        <is>
          <t>Monthly $</t>
        </is>
      </c>
      <c r="C1" s="4" t="inlineStr">
        <is>
          <t>Annual $</t>
        </is>
      </c>
      <c r="D1" s="4" t="inlineStr">
        <is>
          <t>Notes</t>
        </is>
      </c>
    </row>
    <row r="2" ht="22" customHeight="1">
      <c r="A2" s="5" t="inlineStr">
        <is>
          <t>Monthly Rent</t>
        </is>
      </c>
      <c r="B2" s="5" t="inlineStr">
        <is>
          <t>1800</t>
        </is>
      </c>
      <c r="C2" s="6">
        <f>C2*12</f>
        <v/>
      </c>
      <c r="D2" s="5" t="inlineStr">
        <is>
          <t>Unit 1</t>
        </is>
      </c>
    </row>
    <row r="3" ht="22" customHeight="1">
      <c r="A3" s="5" t="inlineStr">
        <is>
          <t>Monthly Rent</t>
        </is>
      </c>
      <c r="B3" s="5" t="inlineStr">
        <is>
          <t>1800</t>
        </is>
      </c>
      <c r="C3" s="6">
        <f>C3*12</f>
        <v/>
      </c>
      <c r="D3" s="5" t="inlineStr">
        <is>
          <t>Unit 1</t>
        </is>
      </c>
    </row>
    <row r="4" ht="22" customHeight="1">
      <c r="A4" s="5" t="inlineStr">
        <is>
          <t>Monthly Rent</t>
        </is>
      </c>
      <c r="B4" s="5" t="inlineStr">
        <is>
          <t>1800</t>
        </is>
      </c>
      <c r="C4" s="6">
        <f>C4*12</f>
        <v/>
      </c>
      <c r="D4" s="5" t="inlineStr">
        <is>
          <t>Unit 1</t>
        </is>
      </c>
    </row>
    <row r="5" ht="22" customHeight="1">
      <c r="A5" s="5" t="inlineStr">
        <is>
          <t>Monthly Rent</t>
        </is>
      </c>
      <c r="B5" s="5" t="inlineStr">
        <is>
          <t>1800</t>
        </is>
      </c>
      <c r="C5" s="6">
        <f>C5*12</f>
        <v/>
      </c>
      <c r="D5" s="5" t="inlineStr">
        <is>
          <t>Unit 1</t>
        </is>
      </c>
    </row>
    <row r="6" ht="22" customHeight="1">
      <c r="A6" s="5" t="inlineStr">
        <is>
          <t>Monthly Rent</t>
        </is>
      </c>
      <c r="B6" s="5" t="inlineStr">
        <is>
          <t>1800</t>
        </is>
      </c>
      <c r="C6" s="6">
        <f>C6*12</f>
        <v/>
      </c>
      <c r="D6" s="5" t="inlineStr">
        <is>
          <t>Unit 1</t>
        </is>
      </c>
    </row>
    <row r="7" ht="22" customHeight="1">
      <c r="A7" s="5" t="inlineStr">
        <is>
          <t>Monthly Rent</t>
        </is>
      </c>
      <c r="B7" s="5" t="inlineStr">
        <is>
          <t>1800</t>
        </is>
      </c>
      <c r="C7" s="6">
        <f>C7*12</f>
        <v/>
      </c>
      <c r="D7" s="5" t="inlineStr">
        <is>
          <t>Unit 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E74C3C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20" customWidth="1" min="4" max="4"/>
  </cols>
  <sheetData>
    <row r="1">
      <c r="A1" s="4" t="inlineStr">
        <is>
          <t>Expense</t>
        </is>
      </c>
      <c r="B1" s="4" t="inlineStr">
        <is>
          <t>Monthly $</t>
        </is>
      </c>
      <c r="C1" s="4" t="inlineStr">
        <is>
          <t>Annual $</t>
        </is>
      </c>
      <c r="D1" s="4" t="inlineStr">
        <is>
          <t>Category</t>
        </is>
      </c>
    </row>
    <row r="2" ht="22" customHeight="1">
      <c r="A2" s="5" t="inlineStr">
        <is>
          <t>Mortgage Payment</t>
        </is>
      </c>
      <c r="B2" s="5" t="inlineStr">
        <is>
          <t>900</t>
        </is>
      </c>
      <c r="C2" s="6">
        <f>C2*12</f>
        <v/>
      </c>
      <c r="D2" s="5" t="inlineStr"/>
    </row>
    <row r="3" ht="22" customHeight="1">
      <c r="A3" s="5" t="inlineStr">
        <is>
          <t>Mortgage Payment</t>
        </is>
      </c>
      <c r="B3" s="5" t="inlineStr">
        <is>
          <t>900</t>
        </is>
      </c>
      <c r="C3" s="6">
        <f>C3*12</f>
        <v/>
      </c>
      <c r="D3" s="5" t="inlineStr"/>
    </row>
    <row r="4" ht="22" customHeight="1">
      <c r="A4" s="5" t="inlineStr">
        <is>
          <t>Mortgage Payment</t>
        </is>
      </c>
      <c r="B4" s="5" t="inlineStr">
        <is>
          <t>900</t>
        </is>
      </c>
      <c r="C4" s="6">
        <f>C4*12</f>
        <v/>
      </c>
      <c r="D4" s="5" t="inlineStr"/>
    </row>
    <row r="5" ht="22" customHeight="1">
      <c r="A5" s="5" t="inlineStr">
        <is>
          <t>Mortgage Payment</t>
        </is>
      </c>
      <c r="B5" s="5" t="inlineStr">
        <is>
          <t>900</t>
        </is>
      </c>
      <c r="C5" s="6">
        <f>C5*12</f>
        <v/>
      </c>
      <c r="D5" s="5" t="inlineStr"/>
    </row>
    <row r="6" ht="22" customHeight="1">
      <c r="A6" s="5" t="inlineStr">
        <is>
          <t>Mortgage Payment</t>
        </is>
      </c>
      <c r="B6" s="5" t="inlineStr">
        <is>
          <t>900</t>
        </is>
      </c>
      <c r="C6" s="6">
        <f>C6*12</f>
        <v/>
      </c>
      <c r="D6" s="5" t="inlineStr"/>
    </row>
    <row r="7" ht="22" customHeight="1">
      <c r="A7" s="5" t="inlineStr">
        <is>
          <t>Mortgage Payment</t>
        </is>
      </c>
      <c r="B7" s="5" t="inlineStr">
        <is>
          <t>900</t>
        </is>
      </c>
      <c r="C7" s="6">
        <f>C7*12</f>
        <v/>
      </c>
      <c r="D7" s="5" t="inlineStr"/>
    </row>
    <row r="8" ht="22" customHeight="1">
      <c r="A8" s="5" t="inlineStr">
        <is>
          <t>Mortgage Payment</t>
        </is>
      </c>
      <c r="B8" s="5" t="inlineStr">
        <is>
          <t>900</t>
        </is>
      </c>
      <c r="C8" s="6">
        <f>C8*12</f>
        <v/>
      </c>
      <c r="D8" s="5" t="inlineStr"/>
    </row>
    <row r="9" ht="22" customHeight="1">
      <c r="A9" s="5" t="inlineStr">
        <is>
          <t>Mortgage Payment</t>
        </is>
      </c>
      <c r="B9" s="5" t="inlineStr">
        <is>
          <t>900</t>
        </is>
      </c>
      <c r="C9" s="6">
        <f>C9*12</f>
        <v/>
      </c>
      <c r="D9" s="5" t="inlineStr"/>
    </row>
    <row r="10" ht="22" customHeight="1">
      <c r="A10" s="5" t="inlineStr">
        <is>
          <t>Mortgage Payment</t>
        </is>
      </c>
      <c r="B10" s="5" t="inlineStr">
        <is>
          <t>900</t>
        </is>
      </c>
      <c r="C10" s="6">
        <f>C10*12</f>
        <v/>
      </c>
      <c r="D10" s="5" t="inlineStr"/>
    </row>
    <row r="11" ht="22" customHeight="1">
      <c r="A11" s="5" t="inlineStr">
        <is>
          <t>Mortgage Payment</t>
        </is>
      </c>
      <c r="B11" s="5" t="inlineStr">
        <is>
          <t>900</t>
        </is>
      </c>
      <c r="C11" s="6">
        <f>C11*12</f>
        <v/>
      </c>
      <c r="D11" s="5" t="inlineStr"/>
    </row>
  </sheetData>
  <dataValidations count="1">
    <dataValidation sqref="D2 D3 D4 D5 D6 D7 D8 D9 D10 D11" showDropDown="0" showInputMessage="0" showErrorMessage="0" allowBlank="1" type="list">
      <formula1>"Fixed","Variable","One-time","Reserve"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3498DB"/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30" customWidth="1" min="3" max="3"/>
  </cols>
  <sheetData>
    <row r="1">
      <c r="A1" s="4" t="inlineStr">
        <is>
          <t>Item</t>
        </is>
      </c>
      <c r="B1" s="4" t="inlineStr">
        <is>
          <t>Value</t>
        </is>
      </c>
      <c r="C1" s="4" t="inlineStr">
        <is>
          <t>Notes</t>
        </is>
      </c>
    </row>
    <row r="2" ht="22" customHeight="1">
      <c r="A2" s="5" t="inlineStr">
        <is>
          <t>Loan Amount</t>
        </is>
      </c>
      <c r="B2" s="5" t="inlineStr">
        <is>
          <t>200000</t>
        </is>
      </c>
      <c r="C2" s="5" t="inlineStr">
        <is>
          <t>30-year fixed</t>
        </is>
      </c>
    </row>
    <row r="3" ht="22" customHeight="1">
      <c r="A3" s="5" t="inlineStr">
        <is>
          <t>Loan Amount</t>
        </is>
      </c>
      <c r="B3" s="5" t="inlineStr">
        <is>
          <t>200000</t>
        </is>
      </c>
      <c r="C3" s="5" t="inlineStr">
        <is>
          <t>30-year fixed</t>
        </is>
      </c>
    </row>
    <row r="4" ht="22" customHeight="1">
      <c r="A4" s="5" t="inlineStr">
        <is>
          <t>Loan Amount</t>
        </is>
      </c>
      <c r="B4" s="5" t="inlineStr">
        <is>
          <t>200000</t>
        </is>
      </c>
      <c r="C4" s="5" t="inlineStr">
        <is>
          <t>30-year fixed</t>
        </is>
      </c>
    </row>
    <row r="5" ht="22" customHeight="1">
      <c r="A5" s="5" t="inlineStr">
        <is>
          <t>Loan Amount</t>
        </is>
      </c>
      <c r="B5" s="5" t="inlineStr">
        <is>
          <t>200000</t>
        </is>
      </c>
      <c r="C5" s="5" t="inlineStr">
        <is>
          <t>30-year fixed</t>
        </is>
      </c>
    </row>
    <row r="6" ht="22" customHeight="1">
      <c r="A6" s="5" t="inlineStr">
        <is>
          <t>Loan Amount</t>
        </is>
      </c>
      <c r="B6" s="5" t="inlineStr">
        <is>
          <t>200000</t>
        </is>
      </c>
      <c r="C6" s="5" t="inlineStr">
        <is>
          <t>30-year fixed</t>
        </is>
      </c>
    </row>
    <row r="7" ht="22" customHeight="1">
      <c r="A7" s="5" t="inlineStr">
        <is>
          <t>Loan Amount</t>
        </is>
      </c>
      <c r="B7" s="5" t="inlineStr">
        <is>
          <t>200000</t>
        </is>
      </c>
      <c r="C7" s="5" t="inlineStr">
        <is>
          <t>30-year fixed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59B6"/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4" customWidth="1" min="5" max="5"/>
  </cols>
  <sheetData>
    <row r="1">
      <c r="A1" s="4" t="inlineStr">
        <is>
          <t>Metric</t>
        </is>
      </c>
      <c r="B1" s="4" t="inlineStr">
        <is>
          <t>Property 1</t>
        </is>
      </c>
      <c r="C1" s="4" t="inlineStr">
        <is>
          <t>Property 2</t>
        </is>
      </c>
      <c r="D1" s="4" t="inlineStr">
        <is>
          <t>Property 3</t>
        </is>
      </c>
      <c r="E1" s="4" t="inlineStr">
        <is>
          <t>Best</t>
        </is>
      </c>
    </row>
    <row r="2" ht="22" customHeight="1">
      <c r="A2" s="5" t="inlineStr">
        <is>
          <t>Purchase Price</t>
        </is>
      </c>
      <c r="B2" s="5" t="inlineStr">
        <is>
          <t>250000</t>
        </is>
      </c>
      <c r="C2" s="5" t="inlineStr">
        <is>
          <t>320000</t>
        </is>
      </c>
      <c r="D2" s="5" t="inlineStr">
        <is>
          <t>180000</t>
        </is>
      </c>
      <c r="E2" s="6">
        <f>MIN(C2:E2)</f>
        <v/>
      </c>
    </row>
    <row r="3" ht="22" customHeight="1">
      <c r="A3" s="5" t="inlineStr">
        <is>
          <t>Purchase Price</t>
        </is>
      </c>
      <c r="B3" s="5" t="inlineStr">
        <is>
          <t>250000</t>
        </is>
      </c>
      <c r="C3" s="5" t="inlineStr">
        <is>
          <t>320000</t>
        </is>
      </c>
      <c r="D3" s="5" t="inlineStr">
        <is>
          <t>180000</t>
        </is>
      </c>
      <c r="E3" s="6">
        <f>MIN(C3:E3)</f>
        <v/>
      </c>
    </row>
    <row r="4" ht="22" customHeight="1">
      <c r="A4" s="5" t="inlineStr">
        <is>
          <t>Purchase Price</t>
        </is>
      </c>
      <c r="B4" s="5" t="inlineStr">
        <is>
          <t>250000</t>
        </is>
      </c>
      <c r="C4" s="5" t="inlineStr">
        <is>
          <t>320000</t>
        </is>
      </c>
      <c r="D4" s="5" t="inlineStr">
        <is>
          <t>180000</t>
        </is>
      </c>
      <c r="E4" s="6">
        <f>MIN(C4:E4)</f>
        <v/>
      </c>
    </row>
    <row r="5" ht="22" customHeight="1">
      <c r="A5" s="5" t="inlineStr">
        <is>
          <t>Purchase Price</t>
        </is>
      </c>
      <c r="B5" s="5" t="inlineStr">
        <is>
          <t>250000</t>
        </is>
      </c>
      <c r="C5" s="5" t="inlineStr">
        <is>
          <t>320000</t>
        </is>
      </c>
      <c r="D5" s="5" t="inlineStr">
        <is>
          <t>180000</t>
        </is>
      </c>
      <c r="E5" s="6">
        <f>MIN(C5:E5)</f>
        <v/>
      </c>
    </row>
    <row r="6" ht="22" customHeight="1">
      <c r="A6" s="5" t="inlineStr">
        <is>
          <t>Purchase Price</t>
        </is>
      </c>
      <c r="B6" s="5" t="inlineStr">
        <is>
          <t>250000</t>
        </is>
      </c>
      <c r="C6" s="5" t="inlineStr">
        <is>
          <t>320000</t>
        </is>
      </c>
      <c r="D6" s="5" t="inlineStr">
        <is>
          <t>180000</t>
        </is>
      </c>
      <c r="E6" s="6">
        <f>MIN(C6:E6)</f>
        <v/>
      </c>
    </row>
    <row r="7" ht="22" customHeight="1">
      <c r="A7" s="5" t="inlineStr">
        <is>
          <t>Purchase Price</t>
        </is>
      </c>
      <c r="B7" s="5" t="inlineStr">
        <is>
          <t>250000</t>
        </is>
      </c>
      <c r="C7" s="5" t="inlineStr">
        <is>
          <t>320000</t>
        </is>
      </c>
      <c r="D7" s="5" t="inlineStr">
        <is>
          <t>180000</t>
        </is>
      </c>
      <c r="E7" s="6">
        <f>MIN(C7:E7)</f>
        <v/>
      </c>
    </row>
    <row r="8" ht="22" customHeight="1">
      <c r="A8" s="5" t="inlineStr">
        <is>
          <t>Purchase Price</t>
        </is>
      </c>
      <c r="B8" s="5" t="inlineStr">
        <is>
          <t>250000</t>
        </is>
      </c>
      <c r="C8" s="5" t="inlineStr">
        <is>
          <t>320000</t>
        </is>
      </c>
      <c r="D8" s="5" t="inlineStr">
        <is>
          <t>180000</t>
        </is>
      </c>
      <c r="E8" s="6">
        <f>MIN(C8:E8)</f>
        <v/>
      </c>
    </row>
    <row r="9" ht="22" customHeight="1">
      <c r="A9" s="5" t="inlineStr">
        <is>
          <t>Purchase Price</t>
        </is>
      </c>
      <c r="B9" s="5" t="inlineStr">
        <is>
          <t>250000</t>
        </is>
      </c>
      <c r="C9" s="5" t="inlineStr">
        <is>
          <t>320000</t>
        </is>
      </c>
      <c r="D9" s="5" t="inlineStr">
        <is>
          <t>180000</t>
        </is>
      </c>
      <c r="E9" s="6">
        <f>MIN(C9:E9)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E67E22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Reports — Auto-Generated</t>
        </is>
      </c>
    </row>
    <row r="3">
      <c r="A3" s="8" t="inlineStr">
        <is>
          <t>Deal Summary</t>
        </is>
      </c>
    </row>
    <row r="4">
      <c r="A4" s="9" t="inlineStr">
        <is>
          <t>Monthly Cash Flow</t>
        </is>
      </c>
      <c r="B4" s="6">
        <f>Income!C20-Expenses!C25</f>
        <v/>
      </c>
    </row>
    <row r="5">
      <c r="A5" s="9" t="inlineStr">
        <is>
          <t>Annual Cash Flow</t>
        </is>
      </c>
      <c r="B5" s="6">
        <f>(Income!C20-Expenses!C25)*12</f>
        <v/>
      </c>
    </row>
    <row r="6">
      <c r="A6" s="9" t="inlineStr">
        <is>
          <t>Total Investment</t>
        </is>
      </c>
      <c r="B6" s="6">
        <f>SUM(Purchase!C:C)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2026-06-15T22:57:00Z</dcterms:created>
  <dcterms:modified xsi:type="dcterms:W3CDTF">2026-06-15T22:57:00Z</dcterms:modified>
</cp:coreProperties>
</file>