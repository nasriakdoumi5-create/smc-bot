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Purchase Info" sheetId="2" state="visible" r:id="rId2"/>
    <sheet name="Dashboard" sheetId="3" state="visible" r:id="rId3"/>
    <sheet name="Income" sheetId="4" state="visible" r:id="rId4"/>
    <sheet name="Expenses" sheetId="5" state="visible" r:id="rId5"/>
    <sheet name="Financing" sheetId="6" state="visible" r:id="rId6"/>
    <sheet name="Comparison" sheetId="7" state="visible" r:id="rId7"/>
    <sheet name="Report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2ECC71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A2332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FFF7F0"/>
      </patternFill>
    </fill>
    <fill>
      <patternFill patternType="solid">
        <fgColor rgb="002ECC71"/>
      </patternFill>
    </fill>
    <fill>
      <patternFill patternType="solid">
        <fgColor rgb="0027AE60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5" fillId="3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🏠  REAL ESTATE DEAL ANALYZER</t>
        </is>
      </c>
    </row>
    <row r="3"/>
    <row r="4">
      <c r="B4" s="2" t="inlineStr">
        <is>
          <t>Investment Property Calculator Google Sheets</t>
        </is>
      </c>
    </row>
    <row r="6">
      <c r="B6" s="3" t="inlineStr">
        <is>
          <t>STEP 1 — Fill in “Purchase Info”</t>
        </is>
      </c>
    </row>
    <row r="7" ht="28" customHeight="1">
      <c r="B7" s="4" t="inlineStr">
        <is>
          <t>Enter purchase price, down payment, closing costs.</t>
        </is>
      </c>
    </row>
    <row r="9">
      <c r="B9" s="3" t="inlineStr">
        <is>
          <t>STEP 2 — Fill in “Income”</t>
        </is>
      </c>
    </row>
    <row r="10" ht="28" customHeight="1">
      <c r="B10" s="4" t="inlineStr">
        <is>
          <t>Monthly rental income: rent, parking, laundry, vacancy adjustment.</t>
        </is>
      </c>
    </row>
    <row r="12">
      <c r="B12" s="3" t="inlineStr">
        <is>
          <t>STEP 3 — Fill in “Expenses”</t>
        </is>
      </c>
    </row>
    <row r="13" ht="28" customHeight="1">
      <c r="B13" s="4" t="inlineStr">
        <is>
          <t>All expenses: mortgage, taxes, insurance, maintenance, management.</t>
        </is>
      </c>
    </row>
    <row r="15">
      <c r="B15" s="3" t="inlineStr">
        <is>
          <t>STEP 4 — Fill in “Financing”</t>
        </is>
      </c>
    </row>
    <row r="16" ht="28" customHeight="1">
      <c r="B16" s="4" t="inlineStr">
        <is>
          <t>Mortgage calculator: loan amount, rate, term, monthly payment.</t>
        </is>
      </c>
    </row>
    <row r="18">
      <c r="B18" s="3" t="inlineStr">
        <is>
          <t>STEP 5 — Fill in “Comparison”</t>
        </is>
      </c>
    </row>
    <row r="19" ht="28" customHeight="1">
      <c r="B19" s="4" t="inlineStr">
        <is>
          <t>Compare up to 5 properties side by side on key metrics.</t>
        </is>
      </c>
    </row>
    <row r="21">
      <c r="B21" s="3" t="inlineStr">
        <is>
          <t>Then open the Dashboard — everything calculates automatically.</t>
        </is>
      </c>
    </row>
    <row r="23">
      <c r="B23" s="5" t="inlineStr">
        <is>
          <t>TIP: Delete the sample rows once you've seen how it works.</t>
        </is>
      </c>
    </row>
    <row r="25">
      <c r="B25" s="5" t="inlineStr">
        <is>
          <t>TIP: On Google Sheets? File → Make a copy first, then edit your copy.</t>
        </is>
      </c>
    </row>
    <row r="27">
      <c r="B27" s="5" t="inlineStr">
        <is>
          <t>TIP: Columns with dropdowns keep your data clean — use them.</t>
        </is>
      </c>
    </row>
    <row r="29">
      <c r="B29" s="5" t="inlineStr">
        <is>
          <t>Need help? Message NasriTools on Etsy — I reply fast. 🧡</t>
        </is>
      </c>
    </row>
  </sheetData>
  <mergeCells count="17">
    <mergeCell ref="B4:F4"/>
    <mergeCell ref="B21:F21"/>
    <mergeCell ref="B12:F12"/>
    <mergeCell ref="B7:F7"/>
    <mergeCell ref="B27:F27"/>
    <mergeCell ref="B6:F6"/>
    <mergeCell ref="B29:F29"/>
    <mergeCell ref="B16:F16"/>
    <mergeCell ref="B15:F15"/>
    <mergeCell ref="B2:F3"/>
    <mergeCell ref="B10:F10"/>
    <mergeCell ref="B18:F18"/>
    <mergeCell ref="B25:F25"/>
    <mergeCell ref="B19:F19"/>
    <mergeCell ref="B23:F23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30" customWidth="1" min="3" max="3"/>
  </cols>
  <sheetData>
    <row r="1">
      <c r="A1" s="6" t="inlineStr">
        <is>
          <t>Item</t>
        </is>
      </c>
      <c r="B1" s="6" t="inlineStr">
        <is>
          <t>Value</t>
        </is>
      </c>
      <c r="C1" s="6" t="inlineStr">
        <is>
          <t>Notes</t>
        </is>
      </c>
    </row>
    <row r="2">
      <c r="A2" s="7" t="inlineStr">
        <is>
          <t>Kickoff meeting</t>
        </is>
      </c>
      <c r="B2" s="8" t="n">
        <v>250000</v>
      </c>
      <c r="C2" s="7" t="inlineStr"/>
    </row>
    <row r="3">
      <c r="A3" s="9" t="inlineStr">
        <is>
          <t>Send proposal</t>
        </is>
      </c>
      <c r="B3" s="10" t="n">
        <v>175000</v>
      </c>
      <c r="C3" s="9" t="inlineStr">
        <is>
          <t>Paid</t>
        </is>
      </c>
    </row>
    <row r="4">
      <c r="A4" s="7" t="inlineStr">
        <is>
          <t>Review feedback</t>
        </is>
      </c>
      <c r="B4" s="8" t="n">
        <v>325000</v>
      </c>
      <c r="C4" s="7" t="inlineStr">
        <is>
          <t>Urgent</t>
        </is>
      </c>
    </row>
    <row r="5">
      <c r="A5" s="9" t="inlineStr">
        <is>
          <t>Update website copy</t>
        </is>
      </c>
      <c r="B5" s="10" t="n">
        <v>212500</v>
      </c>
      <c r="C5" s="9" t="inlineStr">
        <is>
          <t>Follow up Friday</t>
        </is>
      </c>
    </row>
    <row r="6">
      <c r="A6" s="7" t="inlineStr">
        <is>
          <t>Prepare invoice</t>
        </is>
      </c>
      <c r="B6" s="8" t="n">
        <v>287500</v>
      </c>
      <c r="C6" s="7" t="inlineStr"/>
    </row>
    <row r="7">
      <c r="A7" s="9" t="inlineStr">
        <is>
          <t>Client call</t>
        </is>
      </c>
      <c r="B7" s="10" t="n">
        <v>150000</v>
      </c>
      <c r="C7" s="9" t="inlineStr">
        <is>
          <t>Monthly</t>
        </is>
      </c>
    </row>
    <row r="8">
      <c r="A8" s="7" t="inlineStr">
        <is>
          <t>Design first draft</t>
        </is>
      </c>
      <c r="B8" s="8" t="n">
        <v>362500</v>
      </c>
      <c r="C8" s="7" t="inlineStr">
        <is>
          <t>Confirmed</t>
        </is>
      </c>
    </row>
    <row r="9">
      <c r="A9" s="9" t="inlineStr">
        <is>
          <t>Fix reported bug</t>
        </is>
      </c>
      <c r="B9" s="10" t="n">
        <v>237500</v>
      </c>
      <c r="C9" s="9" t="inlineStr"/>
    </row>
    <row r="10">
      <c r="A10" s="7" t="inlineStr">
        <is>
          <t>Weekly report</t>
        </is>
      </c>
      <c r="B10" s="8" t="n">
        <v>312500</v>
      </c>
      <c r="C10" s="7" t="inlineStr">
        <is>
          <t>Waiting reply</t>
        </is>
      </c>
    </row>
    <row r="11">
      <c r="A11" s="9" t="inlineStr">
        <is>
          <t>Plan next sprint</t>
        </is>
      </c>
      <c r="B11" s="10" t="n">
        <v>200000</v>
      </c>
      <c r="C11" s="9" t="inlineStr">
        <is>
          <t>Done early</t>
        </is>
      </c>
    </row>
    <row r="12">
      <c r="A12" s="7" t="inlineStr">
        <is>
          <t>Publish blog post</t>
        </is>
      </c>
      <c r="B12" s="8" t="n">
        <v>275000</v>
      </c>
      <c r="C12" s="7" t="inlineStr"/>
    </row>
    <row r="13">
      <c r="A13" s="9" t="inlineStr">
        <is>
          <t>Team sync</t>
        </is>
      </c>
      <c r="B13" s="10" t="n">
        <v>187500</v>
      </c>
      <c r="C13" s="9" t="inlineStr">
        <is>
          <t>Recheck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REAL ESTATE DEAL ANALYZER — DASHBOARD</t>
        </is>
      </c>
    </row>
    <row r="4">
      <c r="B4" s="12" t="inlineStr">
        <is>
          <t>MONTHLY CASH FLOW</t>
        </is>
      </c>
      <c r="D4" s="13" t="inlineStr">
        <is>
          <t>ANNUAL ROI %</t>
        </is>
      </c>
      <c r="F4" s="14" t="inlineStr">
        <is>
          <t>CAP RATE</t>
        </is>
      </c>
      <c r="H4" s="15" t="inlineStr">
        <is>
          <t>GRM</t>
        </is>
      </c>
    </row>
    <row r="5" ht="26" customHeight="1">
      <c r="B5" s="16">
        <f>Income!B20-Expenses!B25</f>
        <v/>
      </c>
      <c r="D5" s="17">
        <f>TEXT(B4*12/Financing!B15,"0.0%")</f>
        <v/>
      </c>
      <c r="F5" s="18">
        <f>TEXT((Income!B20-Expenses!B25)*12/Purchase!B5,"0.0%")</f>
        <v/>
      </c>
      <c r="H5" s="19">
        <f>Purchase!B5/(Income!B20*12)</f>
        <v/>
      </c>
    </row>
    <row r="8">
      <c r="B8" s="20" t="inlineStr">
        <is>
          <t>WHAT'S INSIDE</t>
        </is>
      </c>
    </row>
    <row r="9">
      <c r="B9" s="21" t="inlineStr">
        <is>
          <t>🏡  Purchase Info — Enter purchase price, down payment, closing costs.</t>
        </is>
      </c>
    </row>
    <row r="10">
      <c r="B10" s="21" t="inlineStr">
        <is>
          <t>💵  Income — Monthly rental income: rent, parking, laundry, vacancy adjustment.</t>
        </is>
      </c>
    </row>
    <row r="11">
      <c r="B11" s="21" t="inlineStr">
        <is>
          <t>💸  Expenses — All expenses: mortgage, taxes, insurance, maintenance, management.</t>
        </is>
      </c>
    </row>
    <row r="12">
      <c r="B12" s="21" t="inlineStr">
        <is>
          <t>🏦  Financing — Mortgage calculator: loan amount, rate, term, monthly payment.</t>
        </is>
      </c>
    </row>
    <row r="13">
      <c r="B13" s="21" t="inlineStr">
        <is>
          <t>⚖️  Comparison — Compare up to 5 properties side by side on key metrics.</t>
        </is>
      </c>
    </row>
    <row r="14">
      <c r="B14" s="21" t="inlineStr">
        <is>
          <t>📊  Reports — Full deal summary with all key investment metrics.</t>
        </is>
      </c>
    </row>
    <row r="16">
      <c r="B16" s="5" t="inlineStr">
        <is>
          <t>Numbers update automatically as you fill the other tabs. Start with sample data deleted.</t>
        </is>
      </c>
    </row>
  </sheetData>
  <mergeCells count="16">
    <mergeCell ref="B9:I9"/>
    <mergeCell ref="F4:G4"/>
    <mergeCell ref="B12:I12"/>
    <mergeCell ref="B13:I13"/>
    <mergeCell ref="B11:I11"/>
    <mergeCell ref="B5:C5"/>
    <mergeCell ref="B2:I2"/>
    <mergeCell ref="F5:G5"/>
    <mergeCell ref="D5:E5"/>
    <mergeCell ref="B10:I10"/>
    <mergeCell ref="B16:I16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26" customWidth="1" min="4" max="4"/>
  </cols>
  <sheetData>
    <row r="1">
      <c r="A1" s="6" t="inlineStr">
        <is>
          <t>Income Source</t>
        </is>
      </c>
      <c r="B1" s="6" t="inlineStr">
        <is>
          <t>Monthly $</t>
        </is>
      </c>
      <c r="C1" s="6" t="inlineStr">
        <is>
          <t>Annual $</t>
        </is>
      </c>
      <c r="D1" s="6" t="inlineStr">
        <is>
          <t>Notes</t>
        </is>
      </c>
    </row>
    <row r="2">
      <c r="A2" s="7" t="inlineStr">
        <is>
          <t>Monthly Rent</t>
        </is>
      </c>
      <c r="B2" s="7" t="n">
        <v>1800</v>
      </c>
      <c r="C2" s="7">
        <f>C2*12</f>
        <v/>
      </c>
      <c r="D2" s="7" t="inlineStr">
        <is>
          <t>Unit 1</t>
        </is>
      </c>
    </row>
    <row r="3">
      <c r="A3" s="9" t="inlineStr">
        <is>
          <t>Monthly Rent</t>
        </is>
      </c>
      <c r="B3" s="9" t="n">
        <v>1260</v>
      </c>
      <c r="C3" s="9">
        <f>C3*12</f>
        <v/>
      </c>
      <c r="D3" s="9" t="inlineStr">
        <is>
          <t>Unit 2</t>
        </is>
      </c>
    </row>
    <row r="4">
      <c r="A4" s="7" t="inlineStr"/>
      <c r="B4" s="7" t="n">
        <v>2340</v>
      </c>
      <c r="C4" s="7">
        <f>C4*12</f>
        <v/>
      </c>
      <c r="D4" s="7" t="inlineStr">
        <is>
          <t>Unit 3</t>
        </is>
      </c>
    </row>
    <row r="5">
      <c r="A5" s="9" t="inlineStr">
        <is>
          <t>Monthly Rent</t>
        </is>
      </c>
      <c r="B5" s="9" t="n">
        <v>1530</v>
      </c>
      <c r="C5" s="9">
        <f>C5*12</f>
        <v/>
      </c>
      <c r="D5" s="9" t="inlineStr">
        <is>
          <t>Unit 4</t>
        </is>
      </c>
    </row>
    <row r="6">
      <c r="A6" s="7" t="inlineStr">
        <is>
          <t>Monthly Rent</t>
        </is>
      </c>
      <c r="B6" s="7" t="n">
        <v>2070</v>
      </c>
      <c r="C6" s="7">
        <f>C6*12</f>
        <v/>
      </c>
      <c r="D6" s="7" t="inlineStr">
        <is>
          <t>Unit 5</t>
        </is>
      </c>
    </row>
    <row r="7">
      <c r="A7" s="9" t="inlineStr"/>
      <c r="B7" s="9" t="n">
        <v>1080</v>
      </c>
      <c r="C7" s="9">
        <f>C7*12</f>
        <v/>
      </c>
      <c r="D7" s="9" t="inlineStr">
        <is>
          <t>Unit 6</t>
        </is>
      </c>
    </row>
    <row r="8">
      <c r="A8" s="7" t="inlineStr">
        <is>
          <t>Monthly Rent</t>
        </is>
      </c>
      <c r="B8" s="7" t="n">
        <v>2610</v>
      </c>
      <c r="C8" s="7">
        <f>C8*12</f>
        <v/>
      </c>
      <c r="D8" s="7" t="inlineStr">
        <is>
          <t>Unit 7</t>
        </is>
      </c>
    </row>
    <row r="9">
      <c r="A9" s="9" t="inlineStr">
        <is>
          <t>Monthly Rent</t>
        </is>
      </c>
      <c r="B9" s="9" t="n">
        <v>1710</v>
      </c>
      <c r="C9" s="9">
        <f>C9*12</f>
        <v/>
      </c>
      <c r="D9" s="9" t="inlineStr">
        <is>
          <t>Unit 8</t>
        </is>
      </c>
    </row>
    <row r="10">
      <c r="A10" s="7" t="inlineStr"/>
      <c r="B10" s="7" t="n">
        <v>2250</v>
      </c>
      <c r="C10" s="7">
        <f>C10*12</f>
        <v/>
      </c>
      <c r="D10" s="7" t="inlineStr">
        <is>
          <t>Unit 9</t>
        </is>
      </c>
    </row>
    <row r="11">
      <c r="A11" s="9" t="inlineStr">
        <is>
          <t>Monthly Rent</t>
        </is>
      </c>
      <c r="B11" s="9" t="n">
        <v>1440</v>
      </c>
      <c r="C11" s="9">
        <f>C11*12</f>
        <v/>
      </c>
      <c r="D11" s="9" t="inlineStr">
        <is>
          <t>Unit 10</t>
        </is>
      </c>
    </row>
    <row r="12">
      <c r="A12" s="7" t="inlineStr">
        <is>
          <t>Monthly Rent</t>
        </is>
      </c>
      <c r="B12" s="7" t="n">
        <v>1980</v>
      </c>
      <c r="C12" s="7">
        <f>C12*12</f>
        <v/>
      </c>
      <c r="D12" s="7" t="inlineStr">
        <is>
          <t>Unit 11</t>
        </is>
      </c>
    </row>
    <row r="13">
      <c r="A13" s="9" t="inlineStr"/>
      <c r="B13" s="9" t="n">
        <v>1350</v>
      </c>
      <c r="C13" s="9">
        <f>C13*12</f>
        <v/>
      </c>
      <c r="D13" s="9" t="inlineStr">
        <is>
          <t>Unit 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20" customWidth="1" min="4" max="4"/>
  </cols>
  <sheetData>
    <row r="1">
      <c r="A1" s="6" t="inlineStr">
        <is>
          <t>Expense</t>
        </is>
      </c>
      <c r="B1" s="6" t="inlineStr">
        <is>
          <t>Monthly $</t>
        </is>
      </c>
      <c r="C1" s="6" t="inlineStr">
        <is>
          <t>Annual $</t>
        </is>
      </c>
      <c r="D1" s="6" t="inlineStr">
        <is>
          <t>Category</t>
        </is>
      </c>
    </row>
    <row r="2">
      <c r="A2" s="7" t="inlineStr">
        <is>
          <t>Mortgage Payment</t>
        </is>
      </c>
      <c r="B2" s="7" t="n">
        <v>900</v>
      </c>
      <c r="C2" s="7">
        <f>C2*12</f>
        <v/>
      </c>
      <c r="D2" s="7" t="inlineStr">
        <is>
          <t>Fixed</t>
        </is>
      </c>
    </row>
    <row r="3">
      <c r="A3" s="9" t="inlineStr">
        <is>
          <t>Mortgage Payment</t>
        </is>
      </c>
      <c r="B3" s="9" t="n">
        <v>630</v>
      </c>
      <c r="C3" s="9">
        <f>C3*12</f>
        <v/>
      </c>
      <c r="D3" s="9" t="inlineStr">
        <is>
          <t>Variable</t>
        </is>
      </c>
    </row>
    <row r="4">
      <c r="A4" s="7" t="inlineStr"/>
      <c r="B4" s="7" t="n">
        <v>1170</v>
      </c>
      <c r="C4" s="7">
        <f>C4*12</f>
        <v/>
      </c>
      <c r="D4" s="7" t="inlineStr">
        <is>
          <t>One-time</t>
        </is>
      </c>
    </row>
    <row r="5">
      <c r="A5" s="9" t="inlineStr">
        <is>
          <t>Mortgage Payment</t>
        </is>
      </c>
      <c r="B5" s="9" t="n">
        <v>765</v>
      </c>
      <c r="C5" s="9">
        <f>C5*12</f>
        <v/>
      </c>
      <c r="D5" s="9" t="inlineStr">
        <is>
          <t>Reserve</t>
        </is>
      </c>
    </row>
    <row r="6">
      <c r="A6" s="7" t="inlineStr">
        <is>
          <t>Mortgage Payment</t>
        </is>
      </c>
      <c r="B6" s="7" t="n">
        <v>1035</v>
      </c>
      <c r="C6" s="7">
        <f>C6*12</f>
        <v/>
      </c>
      <c r="D6" s="7" t="inlineStr">
        <is>
          <t>Fixed</t>
        </is>
      </c>
    </row>
    <row r="7">
      <c r="A7" s="9" t="inlineStr"/>
      <c r="B7" s="9" t="n">
        <v>540</v>
      </c>
      <c r="C7" s="9">
        <f>C7*12</f>
        <v/>
      </c>
      <c r="D7" s="9" t="inlineStr">
        <is>
          <t>Variable</t>
        </is>
      </c>
    </row>
    <row r="8">
      <c r="A8" s="7" t="inlineStr">
        <is>
          <t>Mortgage Payment</t>
        </is>
      </c>
      <c r="B8" s="7" t="n">
        <v>1305</v>
      </c>
      <c r="C8" s="7">
        <f>C8*12</f>
        <v/>
      </c>
      <c r="D8" s="7" t="inlineStr">
        <is>
          <t>One-time</t>
        </is>
      </c>
    </row>
    <row r="9">
      <c r="A9" s="9" t="inlineStr">
        <is>
          <t>Mortgage Payment</t>
        </is>
      </c>
      <c r="B9" s="9" t="n">
        <v>855</v>
      </c>
      <c r="C9" s="9">
        <f>C9*12</f>
        <v/>
      </c>
      <c r="D9" s="9" t="inlineStr">
        <is>
          <t>Reserve</t>
        </is>
      </c>
    </row>
    <row r="10">
      <c r="A10" s="7" t="inlineStr"/>
      <c r="B10" s="7" t="n">
        <v>1125</v>
      </c>
      <c r="C10" s="7">
        <f>C10*12</f>
        <v/>
      </c>
      <c r="D10" s="7" t="inlineStr">
        <is>
          <t>Fixed</t>
        </is>
      </c>
    </row>
    <row r="11">
      <c r="A11" s="9" t="inlineStr">
        <is>
          <t>Mortgage Payment</t>
        </is>
      </c>
      <c r="B11" s="9" t="n">
        <v>720</v>
      </c>
      <c r="C11" s="9">
        <f>C11*12</f>
        <v/>
      </c>
      <c r="D11" s="9" t="inlineStr">
        <is>
          <t>Variable</t>
        </is>
      </c>
    </row>
    <row r="12">
      <c r="A12" s="7" t="inlineStr">
        <is>
          <t>Mortgage Payment</t>
        </is>
      </c>
      <c r="B12" s="7" t="n">
        <v>990</v>
      </c>
      <c r="C12" s="7">
        <f>C12*12</f>
        <v/>
      </c>
      <c r="D12" s="7" t="inlineStr">
        <is>
          <t>One-time</t>
        </is>
      </c>
    </row>
    <row r="13">
      <c r="A13" s="9" t="inlineStr"/>
      <c r="B13" s="9" t="n">
        <v>675</v>
      </c>
      <c r="C13" s="9">
        <f>C13*12</f>
        <v/>
      </c>
      <c r="D13" s="9" t="inlineStr">
        <is>
          <t>Reserve</t>
        </is>
      </c>
    </row>
  </sheetData>
  <dataValidations count="1">
    <dataValidation sqref="D2:D500" showDropDown="0" showInputMessage="0" showErrorMessage="0" allowBlank="1" type="list">
      <formula1>"Fixed,Variable,One-time,Reserve"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30" customWidth="1" min="3" max="3"/>
  </cols>
  <sheetData>
    <row r="1">
      <c r="A1" s="6" t="inlineStr">
        <is>
          <t>Item</t>
        </is>
      </c>
      <c r="B1" s="6" t="inlineStr">
        <is>
          <t>Value</t>
        </is>
      </c>
      <c r="C1" s="6" t="inlineStr">
        <is>
          <t>Notes</t>
        </is>
      </c>
    </row>
    <row r="2">
      <c r="A2" s="7" t="inlineStr">
        <is>
          <t>Kickoff meeting</t>
        </is>
      </c>
      <c r="B2" s="8" t="n">
        <v>200000</v>
      </c>
      <c r="C2" s="7" t="inlineStr"/>
    </row>
    <row r="3">
      <c r="A3" s="9" t="inlineStr">
        <is>
          <t>Send proposal</t>
        </is>
      </c>
      <c r="B3" s="10" t="n">
        <v>140000</v>
      </c>
      <c r="C3" s="9" t="inlineStr">
        <is>
          <t>Paid</t>
        </is>
      </c>
    </row>
    <row r="4">
      <c r="A4" s="7" t="inlineStr">
        <is>
          <t>Review feedback</t>
        </is>
      </c>
      <c r="B4" s="8" t="n">
        <v>260000</v>
      </c>
      <c r="C4" s="7" t="inlineStr">
        <is>
          <t>Urgent</t>
        </is>
      </c>
    </row>
    <row r="5">
      <c r="A5" s="9" t="inlineStr">
        <is>
          <t>Update website copy</t>
        </is>
      </c>
      <c r="B5" s="10" t="n">
        <v>170000</v>
      </c>
      <c r="C5" s="9" t="inlineStr">
        <is>
          <t>Follow up Friday</t>
        </is>
      </c>
    </row>
    <row r="6">
      <c r="A6" s="7" t="inlineStr">
        <is>
          <t>Prepare invoice</t>
        </is>
      </c>
      <c r="B6" s="8" t="n">
        <v>230000</v>
      </c>
      <c r="C6" s="7" t="inlineStr"/>
    </row>
    <row r="7">
      <c r="A7" s="9" t="inlineStr">
        <is>
          <t>Client call</t>
        </is>
      </c>
      <c r="B7" s="10" t="n">
        <v>120000</v>
      </c>
      <c r="C7" s="9" t="inlineStr">
        <is>
          <t>Monthly</t>
        </is>
      </c>
    </row>
    <row r="8">
      <c r="A8" s="7" t="inlineStr">
        <is>
          <t>Design first draft</t>
        </is>
      </c>
      <c r="B8" s="8" t="n">
        <v>290000</v>
      </c>
      <c r="C8" s="7" t="inlineStr">
        <is>
          <t>Confirmed</t>
        </is>
      </c>
    </row>
    <row r="9">
      <c r="A9" s="9" t="inlineStr">
        <is>
          <t>Fix reported bug</t>
        </is>
      </c>
      <c r="B9" s="10" t="n">
        <v>190000</v>
      </c>
      <c r="C9" s="9" t="inlineStr"/>
    </row>
    <row r="10">
      <c r="A10" s="7" t="inlineStr">
        <is>
          <t>Weekly report</t>
        </is>
      </c>
      <c r="B10" s="8" t="n">
        <v>250000</v>
      </c>
      <c r="C10" s="7" t="inlineStr">
        <is>
          <t>Waiting reply</t>
        </is>
      </c>
    </row>
    <row r="11">
      <c r="A11" s="9" t="inlineStr">
        <is>
          <t>Plan next sprint</t>
        </is>
      </c>
      <c r="B11" s="10" t="n">
        <v>160000</v>
      </c>
      <c r="C11" s="9" t="inlineStr">
        <is>
          <t>Done early</t>
        </is>
      </c>
    </row>
    <row r="12">
      <c r="A12" s="7" t="inlineStr">
        <is>
          <t>Publish blog post</t>
        </is>
      </c>
      <c r="B12" s="8" t="n">
        <v>220000</v>
      </c>
      <c r="C12" s="7" t="inlineStr"/>
    </row>
    <row r="13">
      <c r="A13" s="9" t="inlineStr">
        <is>
          <t>Team sync</t>
        </is>
      </c>
      <c r="B13" s="10" t="n">
        <v>150000</v>
      </c>
      <c r="C13" s="9" t="inlineStr">
        <is>
          <t>Recheck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6" t="inlineStr">
        <is>
          <t>Metric</t>
        </is>
      </c>
      <c r="B1" s="6" t="inlineStr">
        <is>
          <t>Property 1</t>
        </is>
      </c>
      <c r="C1" s="6" t="inlineStr">
        <is>
          <t>Property 2</t>
        </is>
      </c>
      <c r="D1" s="6" t="inlineStr">
        <is>
          <t>Property 3</t>
        </is>
      </c>
      <c r="E1" s="6" t="inlineStr">
        <is>
          <t>Best</t>
        </is>
      </c>
    </row>
    <row r="2">
      <c r="A2" s="7" t="inlineStr">
        <is>
          <t>Purchase Price</t>
        </is>
      </c>
      <c r="B2" s="7" t="n">
        <v>250000</v>
      </c>
      <c r="C2" s="7" t="n">
        <v>320000</v>
      </c>
      <c r="D2" s="7" t="n">
        <v>180000</v>
      </c>
      <c r="E2" s="7">
        <f>MIN(C2:E2)</f>
        <v/>
      </c>
    </row>
    <row r="3">
      <c r="A3" s="9" t="inlineStr">
        <is>
          <t>Purchase Price</t>
        </is>
      </c>
      <c r="B3" s="9" t="n">
        <v>175000</v>
      </c>
      <c r="C3" s="9" t="n">
        <v>224000</v>
      </c>
      <c r="D3" s="9" t="n">
        <v>126000</v>
      </c>
      <c r="E3" s="9">
        <f>MIN(C3:E3)</f>
        <v/>
      </c>
    </row>
    <row r="4">
      <c r="A4" s="7" t="inlineStr"/>
      <c r="B4" s="7" t="n">
        <v>325000</v>
      </c>
      <c r="C4" s="7" t="n">
        <v>416000</v>
      </c>
      <c r="D4" s="7" t="n">
        <v>234000</v>
      </c>
      <c r="E4" s="7">
        <f>MIN(C4:E4)</f>
        <v/>
      </c>
    </row>
    <row r="5">
      <c r="A5" s="9" t="inlineStr">
        <is>
          <t>Purchase Price</t>
        </is>
      </c>
      <c r="B5" s="9" t="n">
        <v>212500</v>
      </c>
      <c r="C5" s="9" t="n">
        <v>272000</v>
      </c>
      <c r="D5" s="9" t="n">
        <v>153000</v>
      </c>
      <c r="E5" s="9">
        <f>MIN(C5:E5)</f>
        <v/>
      </c>
    </row>
    <row r="6">
      <c r="A6" s="7" t="inlineStr">
        <is>
          <t>Purchase Price</t>
        </is>
      </c>
      <c r="B6" s="7" t="n">
        <v>287500</v>
      </c>
      <c r="C6" s="7" t="n">
        <v>368000</v>
      </c>
      <c r="D6" s="7" t="n">
        <v>207000</v>
      </c>
      <c r="E6" s="7">
        <f>MIN(C6:E6)</f>
        <v/>
      </c>
    </row>
    <row r="7">
      <c r="A7" s="9" t="inlineStr"/>
      <c r="B7" s="9" t="n">
        <v>150000</v>
      </c>
      <c r="C7" s="9" t="n">
        <v>192000</v>
      </c>
      <c r="D7" s="9" t="n">
        <v>108000</v>
      </c>
      <c r="E7" s="9">
        <f>MIN(C7:E7)</f>
        <v/>
      </c>
    </row>
    <row r="8">
      <c r="A8" s="7" t="inlineStr">
        <is>
          <t>Purchase Price</t>
        </is>
      </c>
      <c r="B8" s="7" t="n">
        <v>362500</v>
      </c>
      <c r="C8" s="7" t="n">
        <v>464000</v>
      </c>
      <c r="D8" s="7" t="n">
        <v>261000</v>
      </c>
      <c r="E8" s="7">
        <f>MIN(C8:E8)</f>
        <v/>
      </c>
    </row>
    <row r="9">
      <c r="A9" s="9" t="inlineStr">
        <is>
          <t>Purchase Price</t>
        </is>
      </c>
      <c r="B9" s="9" t="n">
        <v>237500</v>
      </c>
      <c r="C9" s="9" t="n">
        <v>304000</v>
      </c>
      <c r="D9" s="9" t="n">
        <v>171000</v>
      </c>
      <c r="E9" s="9">
        <f>MIN(C9:E9)</f>
        <v/>
      </c>
    </row>
    <row r="10">
      <c r="A10" s="7" t="inlineStr"/>
      <c r="B10" s="7" t="n">
        <v>312500</v>
      </c>
      <c r="C10" s="7" t="n">
        <v>400000</v>
      </c>
      <c r="D10" s="7" t="n">
        <v>225000</v>
      </c>
      <c r="E10" s="7">
        <f>MIN(C10:E10)</f>
        <v/>
      </c>
    </row>
    <row r="11">
      <c r="A11" s="9" t="inlineStr">
        <is>
          <t>Purchase Price</t>
        </is>
      </c>
      <c r="B11" s="9" t="n">
        <v>200000</v>
      </c>
      <c r="C11" s="9" t="n">
        <v>256000</v>
      </c>
      <c r="D11" s="9" t="n">
        <v>144000</v>
      </c>
      <c r="E11" s="9">
        <f>MIN(C11:E11)</f>
        <v/>
      </c>
    </row>
    <row r="12">
      <c r="A12" s="7" t="inlineStr">
        <is>
          <t>Purchase Price</t>
        </is>
      </c>
      <c r="B12" s="7" t="n">
        <v>275000</v>
      </c>
      <c r="C12" s="7" t="n">
        <v>352000</v>
      </c>
      <c r="D12" s="7" t="n">
        <v>198000</v>
      </c>
      <c r="E12" s="7">
        <f>MIN(C12:E12)</f>
        <v/>
      </c>
    </row>
    <row r="13">
      <c r="A13" s="9" t="inlineStr"/>
      <c r="B13" s="9" t="n">
        <v>187500</v>
      </c>
      <c r="C13" s="9" t="n">
        <v>240000</v>
      </c>
      <c r="D13" s="9" t="n">
        <v>135000</v>
      </c>
      <c r="E13" s="9">
        <f>MIN(C13:E13)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2" t="inlineStr">
        <is>
          <t>📈  REPORTS</t>
        </is>
      </c>
    </row>
    <row r="4">
      <c r="B4" s="3" t="inlineStr">
        <is>
          <t>Deal Summary</t>
        </is>
      </c>
    </row>
    <row r="5">
      <c r="B5" s="9" t="inlineStr">
        <is>
          <t>Monthly Cash Flow</t>
        </is>
      </c>
      <c r="C5" s="23">
        <f>Income!C20-Expenses!C25</f>
        <v/>
      </c>
    </row>
    <row r="6">
      <c r="B6" s="7" t="inlineStr">
        <is>
          <t>Annual Cash Flow</t>
        </is>
      </c>
      <c r="C6" s="24">
        <f>(Income!C20-Expenses!C25)*12</f>
        <v/>
      </c>
    </row>
    <row r="7">
      <c r="B7" s="9" t="inlineStr">
        <is>
          <t>Total Investment</t>
        </is>
      </c>
      <c r="C7" s="25">
        <f>SUM(Purchase!C:C)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2026-07-16T21:44:36Z</dcterms:created>
  <dcterms:modified xsi:type="dcterms:W3CDTF">2026-07-16T21:44:36Z</dcterms:modified>
</cp:coreProperties>
</file>