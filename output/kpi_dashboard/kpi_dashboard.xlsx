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evenue" sheetId="2" state="visible" r:id="rId2"/>
    <sheet name="Dashboard" sheetId="3" state="visible" r:id="rId3"/>
    <sheet name="Targets" sheetId="4" state="visible" r:id="rId4"/>
    <sheet name="Customers" sheetId="5" state="visible" r:id="rId5"/>
    <sheet name="Oper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20617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1D4ED8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20617"/>
      </patternFill>
    </fill>
    <fill>
      <patternFill patternType="solid">
        <fgColor rgb="00FFF7F0"/>
      </patternFill>
    </fill>
    <fill>
      <patternFill patternType="solid">
        <fgColor rgb="001D4ED8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📊  KPI DASHBOARD</t>
        </is>
      </c>
    </row>
    <row r="3"/>
    <row r="4">
      <c r="B4" s="2" t="inlineStr">
        <is>
          <t>Business Performance Metrics Google Sheets</t>
        </is>
      </c>
    </row>
    <row r="6">
      <c r="B6" s="3" t="inlineStr">
        <is>
          <t>STEP 1 — Fill in “Revenue”</t>
        </is>
      </c>
    </row>
    <row r="7" ht="28" customHeight="1">
      <c r="B7" s="4" t="inlineStr">
        <is>
          <t>Daily or weekly revenue entries by source.</t>
        </is>
      </c>
    </row>
    <row r="9">
      <c r="B9" s="3" t="inlineStr">
        <is>
          <t>STEP 2 — Fill in “Targets”</t>
        </is>
      </c>
    </row>
    <row r="10" ht="28" customHeight="1">
      <c r="B10" s="4" t="inlineStr">
        <is>
          <t>Monthly KPI targets for the year.</t>
        </is>
      </c>
    </row>
    <row r="12">
      <c r="B12" s="3" t="inlineStr">
        <is>
          <t>STEP 3 — Fill in “Customers”</t>
        </is>
      </c>
    </row>
    <row r="13" ht="28" customHeight="1">
      <c r="B13" s="4" t="inlineStr">
        <is>
          <t>Customer base with status, acquisition, and NPS.</t>
        </is>
      </c>
    </row>
    <row r="15">
      <c r="B15" s="3" t="inlineStr">
        <is>
          <t>STEP 4 — Fill in “Operations”</t>
        </is>
      </c>
    </row>
    <row r="16" ht="28" customHeight="1">
      <c r="B16" s="4" t="inlineStr">
        <is>
          <t>Operational KPIs tracked weekly or monthly.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6" customWidth="1" min="5" max="5"/>
  </cols>
  <sheetData>
    <row r="1">
      <c r="A1" s="6" t="inlineStr">
        <is>
          <t>Date</t>
        </is>
      </c>
      <c r="B1" s="6" t="inlineStr">
        <is>
          <t>Source</t>
        </is>
      </c>
      <c r="C1" s="6" t="inlineStr">
        <is>
          <t>Amount $</t>
        </is>
      </c>
      <c r="D1" s="6" t="inlineStr">
        <is>
          <t>Category</t>
        </is>
      </c>
      <c r="E1" s="6" t="inlineStr">
        <is>
          <t>Notes</t>
        </is>
      </c>
    </row>
    <row r="2">
      <c r="A2" s="7" t="n">
        <v>46174</v>
      </c>
      <c r="B2" s="8" t="inlineStr">
        <is>
          <t>Product Sales</t>
        </is>
      </c>
      <c r="C2" s="9" t="n">
        <v>8400</v>
      </c>
      <c r="D2" s="8" t="inlineStr">
        <is>
          <t>Products</t>
        </is>
      </c>
      <c r="E2" s="8" t="inlineStr"/>
    </row>
    <row r="3">
      <c r="A3" s="10" t="n">
        <v>46180</v>
      </c>
      <c r="B3" s="11" t="inlineStr">
        <is>
          <t>Product Sales</t>
        </is>
      </c>
      <c r="C3" s="12" t="n">
        <v>5880</v>
      </c>
      <c r="D3" s="11" t="inlineStr">
        <is>
          <t>Services</t>
        </is>
      </c>
      <c r="E3" s="11" t="inlineStr">
        <is>
          <t>Paid</t>
        </is>
      </c>
    </row>
    <row r="4">
      <c r="A4" s="7" t="n">
        <v>46186</v>
      </c>
      <c r="B4" s="8" t="inlineStr"/>
      <c r="C4" s="9" t="n">
        <v>10920</v>
      </c>
      <c r="D4" s="8" t="inlineStr">
        <is>
          <t>Subscriptions</t>
        </is>
      </c>
      <c r="E4" s="8" t="inlineStr">
        <is>
          <t>Urgent</t>
        </is>
      </c>
    </row>
    <row r="5">
      <c r="A5" s="10" t="n">
        <v>46189</v>
      </c>
      <c r="B5" s="11" t="inlineStr">
        <is>
          <t>Product Sales</t>
        </is>
      </c>
      <c r="C5" s="12" t="n">
        <v>7140</v>
      </c>
      <c r="D5" s="11" t="inlineStr">
        <is>
          <t>Partnerships</t>
        </is>
      </c>
      <c r="E5" s="11" t="inlineStr">
        <is>
          <t>Follow up Friday</t>
        </is>
      </c>
    </row>
    <row r="6">
      <c r="A6" s="7" t="n">
        <v>46195</v>
      </c>
      <c r="B6" s="8" t="inlineStr">
        <is>
          <t>Product Sales</t>
        </is>
      </c>
      <c r="C6" s="9" t="n">
        <v>9660</v>
      </c>
      <c r="D6" s="8" t="inlineStr">
        <is>
          <t>Other</t>
        </is>
      </c>
      <c r="E6" s="8" t="inlineStr"/>
    </row>
    <row r="7">
      <c r="A7" s="10" t="n">
        <v>46201</v>
      </c>
      <c r="B7" s="11" t="inlineStr"/>
      <c r="C7" s="12" t="n">
        <v>5040</v>
      </c>
      <c r="D7" s="11" t="inlineStr">
        <is>
          <t>Products</t>
        </is>
      </c>
      <c r="E7" s="11" t="inlineStr">
        <is>
          <t>Monthly</t>
        </is>
      </c>
    </row>
    <row r="8">
      <c r="A8" s="7" t="n">
        <v>46176</v>
      </c>
      <c r="B8" s="8" t="inlineStr">
        <is>
          <t>Product Sales</t>
        </is>
      </c>
      <c r="C8" s="9" t="n">
        <v>12180</v>
      </c>
      <c r="D8" s="8" t="inlineStr">
        <is>
          <t>Services</t>
        </is>
      </c>
      <c r="E8" s="8" t="inlineStr">
        <is>
          <t>Confirmed</t>
        </is>
      </c>
    </row>
    <row r="9">
      <c r="A9" s="10" t="n">
        <v>46182</v>
      </c>
      <c r="B9" s="11" t="inlineStr">
        <is>
          <t>Product Sales</t>
        </is>
      </c>
      <c r="C9" s="12" t="n">
        <v>7980</v>
      </c>
      <c r="D9" s="11" t="inlineStr">
        <is>
          <t>Subscriptions</t>
        </is>
      </c>
      <c r="E9" s="11" t="inlineStr"/>
    </row>
    <row r="10">
      <c r="A10" s="7" t="n">
        <v>46188</v>
      </c>
      <c r="B10" s="8" t="inlineStr"/>
      <c r="C10" s="9" t="n">
        <v>10500</v>
      </c>
      <c r="D10" s="8" t="inlineStr">
        <is>
          <t>Partnerships</t>
        </is>
      </c>
      <c r="E10" s="8" t="inlineStr">
        <is>
          <t>Waiting reply</t>
        </is>
      </c>
    </row>
    <row r="11">
      <c r="A11" s="10" t="n">
        <v>46191</v>
      </c>
      <c r="B11" s="11" t="inlineStr">
        <is>
          <t>Product Sales</t>
        </is>
      </c>
      <c r="C11" s="12" t="n">
        <v>6720</v>
      </c>
      <c r="D11" s="11" t="inlineStr">
        <is>
          <t>Other</t>
        </is>
      </c>
      <c r="E11" s="11" t="inlineStr">
        <is>
          <t>Done early</t>
        </is>
      </c>
    </row>
    <row r="12">
      <c r="A12" s="7" t="n">
        <v>46197</v>
      </c>
      <c r="B12" s="8" t="inlineStr">
        <is>
          <t>Product Sales</t>
        </is>
      </c>
      <c r="C12" s="9" t="n">
        <v>9240</v>
      </c>
      <c r="D12" s="8" t="inlineStr">
        <is>
          <t>Products</t>
        </is>
      </c>
      <c r="E12" s="8" t="inlineStr"/>
    </row>
    <row r="13">
      <c r="A13" s="10" t="n">
        <v>46175</v>
      </c>
      <c r="B13" s="11" t="inlineStr"/>
      <c r="C13" s="12" t="n">
        <v>6300</v>
      </c>
      <c r="D13" s="11" t="inlineStr">
        <is>
          <t>Services</t>
        </is>
      </c>
      <c r="E13" s="11" t="inlineStr">
        <is>
          <t>Recheck</t>
        </is>
      </c>
    </row>
  </sheetData>
  <dataValidations count="1">
    <dataValidation sqref="D2:D500" showDropDown="0" showInputMessage="0" showErrorMessage="0" allowBlank="1" type="list">
      <formula1>"Products,Services,Subscriptions,Partnerships,Other"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KPI DASHBOARD — DASHBOARD</t>
        </is>
      </c>
    </row>
    <row r="4">
      <c r="B4" s="14" t="inlineStr">
        <is>
          <t>MTD REVENUE $</t>
        </is>
      </c>
      <c r="D4" s="15" t="inlineStr">
        <is>
          <t>REVENUE TARGET %</t>
        </is>
      </c>
      <c r="F4" s="16" t="inlineStr">
        <is>
          <t>ACTIVE CUSTOMERS</t>
        </is>
      </c>
      <c r="H4" s="17" t="inlineStr">
        <is>
          <t>NPS SCORE</t>
        </is>
      </c>
    </row>
    <row r="5" ht="26" customHeight="1">
      <c r="B5" s="18">
        <f>SUMIF(Revenue!A:A,"&gt;="&amp;DATE(YEAR(TODAY()),MONTH(TODAY()),1),Revenue!C:C)</f>
        <v/>
      </c>
      <c r="D5" s="19">
        <f>SUMIF(Revenue!A:A,"&gt;="&amp;DATE(YEAR(TODAY()),MONTH(TODAY()),1),Revenue!C:C)/Targets!B2</f>
        <v/>
      </c>
      <c r="F5" s="20">
        <f>COUNTIF(Customers!E:E,"Active")</f>
        <v/>
      </c>
      <c r="H5" s="21">
        <f>AVERAGE(Customers!F:F)</f>
        <v/>
      </c>
    </row>
    <row r="8">
      <c r="B8" s="22" t="inlineStr">
        <is>
          <t>WHAT'S INSIDE</t>
        </is>
      </c>
    </row>
    <row r="9">
      <c r="B9" s="23" t="inlineStr">
        <is>
          <t>💰  Revenue — Daily or weekly revenue entries by source.</t>
        </is>
      </c>
    </row>
    <row r="10">
      <c r="B10" s="23" t="inlineStr">
        <is>
          <t>🎯  Targets — Monthly KPI targets for the year.</t>
        </is>
      </c>
    </row>
    <row r="11">
      <c r="B11" s="23" t="inlineStr">
        <is>
          <t>👥  Customers — Customer base with status, acquisition, and NPS.</t>
        </is>
      </c>
    </row>
    <row r="12">
      <c r="B12" s="23" t="inlineStr">
        <is>
          <t>⚙️  Operations — Operational KPIs tracked weekly or monthly.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8" customWidth="1" min="4" max="4"/>
    <col width="28" customWidth="1" min="5" max="5"/>
  </cols>
  <sheetData>
    <row r="1">
      <c r="A1" s="6" t="inlineStr">
        <is>
          <t>KPI</t>
        </is>
      </c>
      <c r="B1" s="6" t="inlineStr">
        <is>
          <t>Target</t>
        </is>
      </c>
      <c r="C1" s="6" t="inlineStr">
        <is>
          <t>Unit</t>
        </is>
      </c>
      <c r="D1" s="6" t="inlineStr">
        <is>
          <t>Owner</t>
        </is>
      </c>
      <c r="E1" s="6" t="inlineStr">
        <is>
          <t>Notes</t>
        </is>
      </c>
    </row>
    <row r="2">
      <c r="A2" s="8" t="inlineStr">
        <is>
          <t>Monthly Revenue Target</t>
        </is>
      </c>
      <c r="B2" s="9" t="n">
        <v>50000</v>
      </c>
      <c r="C2" s="8" t="inlineStr">
        <is>
          <t>$</t>
        </is>
      </c>
      <c r="D2" s="8" t="inlineStr">
        <is>
          <t>CEO</t>
        </is>
      </c>
      <c r="E2" s="8" t="inlineStr"/>
    </row>
    <row r="3">
      <c r="A3" s="11" t="inlineStr">
        <is>
          <t>Monthly Revenue Target</t>
        </is>
      </c>
      <c r="B3" s="12" t="n">
        <v>35000</v>
      </c>
      <c r="C3" s="11" t="inlineStr">
        <is>
          <t>$</t>
        </is>
      </c>
      <c r="D3" s="11" t="inlineStr">
        <is>
          <t>CEO</t>
        </is>
      </c>
      <c r="E3" s="11" t="inlineStr">
        <is>
          <t>Paid</t>
        </is>
      </c>
    </row>
    <row r="4">
      <c r="A4" s="8" t="inlineStr"/>
      <c r="B4" s="9" t="n">
        <v>65000</v>
      </c>
      <c r="C4" s="8" t="inlineStr"/>
      <c r="D4" s="8" t="inlineStr"/>
      <c r="E4" s="8" t="inlineStr">
        <is>
          <t>Urgent</t>
        </is>
      </c>
    </row>
    <row r="5">
      <c r="A5" s="11" t="inlineStr">
        <is>
          <t>Monthly Revenue Target</t>
        </is>
      </c>
      <c r="B5" s="12" t="n">
        <v>42500</v>
      </c>
      <c r="C5" s="11" t="inlineStr">
        <is>
          <t>$</t>
        </is>
      </c>
      <c r="D5" s="11" t="inlineStr">
        <is>
          <t>CEO</t>
        </is>
      </c>
      <c r="E5" s="11" t="inlineStr">
        <is>
          <t>Follow up Friday</t>
        </is>
      </c>
    </row>
    <row r="6">
      <c r="A6" s="8" t="inlineStr">
        <is>
          <t>Monthly Revenue Target</t>
        </is>
      </c>
      <c r="B6" s="9" t="n">
        <v>57500</v>
      </c>
      <c r="C6" s="8" t="inlineStr">
        <is>
          <t>$</t>
        </is>
      </c>
      <c r="D6" s="8" t="inlineStr">
        <is>
          <t>CEO</t>
        </is>
      </c>
      <c r="E6" s="8" t="inlineStr"/>
    </row>
    <row r="7">
      <c r="A7" s="11" t="inlineStr"/>
      <c r="B7" s="12" t="n">
        <v>30000</v>
      </c>
      <c r="C7" s="11" t="inlineStr"/>
      <c r="D7" s="11" t="inlineStr"/>
      <c r="E7" s="11" t="inlineStr">
        <is>
          <t>Monthly</t>
        </is>
      </c>
    </row>
    <row r="8">
      <c r="A8" s="8" t="inlineStr">
        <is>
          <t>Monthly Revenue Target</t>
        </is>
      </c>
      <c r="B8" s="9" t="n">
        <v>72500</v>
      </c>
      <c r="C8" s="8" t="inlineStr">
        <is>
          <t>$</t>
        </is>
      </c>
      <c r="D8" s="8" t="inlineStr">
        <is>
          <t>CEO</t>
        </is>
      </c>
      <c r="E8" s="8" t="inlineStr">
        <is>
          <t>Confirmed</t>
        </is>
      </c>
    </row>
    <row r="9">
      <c r="A9" s="11" t="inlineStr">
        <is>
          <t>Monthly Revenue Target</t>
        </is>
      </c>
      <c r="B9" s="12" t="n">
        <v>47500</v>
      </c>
      <c r="C9" s="11" t="inlineStr">
        <is>
          <t>$</t>
        </is>
      </c>
      <c r="D9" s="11" t="inlineStr">
        <is>
          <t>CEO</t>
        </is>
      </c>
      <c r="E9" s="11" t="inlineStr"/>
    </row>
    <row r="10">
      <c r="A10" s="8" t="inlineStr"/>
      <c r="B10" s="9" t="n">
        <v>62500</v>
      </c>
      <c r="C10" s="8" t="inlineStr"/>
      <c r="D10" s="8" t="inlineStr"/>
      <c r="E10" s="8" t="inlineStr">
        <is>
          <t>Waiting reply</t>
        </is>
      </c>
    </row>
    <row r="11">
      <c r="A11" s="11" t="inlineStr">
        <is>
          <t>Monthly Revenue Target</t>
        </is>
      </c>
      <c r="B11" s="12" t="n">
        <v>40000</v>
      </c>
      <c r="C11" s="11" t="inlineStr">
        <is>
          <t>$</t>
        </is>
      </c>
      <c r="D11" s="11" t="inlineStr">
        <is>
          <t>CEO</t>
        </is>
      </c>
      <c r="E11" s="11" t="inlineStr">
        <is>
          <t>Done early</t>
        </is>
      </c>
    </row>
    <row r="12">
      <c r="A12" s="8" t="inlineStr">
        <is>
          <t>Monthly Revenue Target</t>
        </is>
      </c>
      <c r="B12" s="9" t="n">
        <v>55000</v>
      </c>
      <c r="C12" s="8" t="inlineStr">
        <is>
          <t>$</t>
        </is>
      </c>
      <c r="D12" s="8" t="inlineStr">
        <is>
          <t>CEO</t>
        </is>
      </c>
      <c r="E12" s="8" t="inlineStr"/>
    </row>
    <row r="13">
      <c r="A13" s="11" t="inlineStr"/>
      <c r="B13" s="12" t="n">
        <v>37500</v>
      </c>
      <c r="C13" s="11" t="inlineStr"/>
      <c r="D13" s="11" t="inlineStr"/>
      <c r="E13" s="11" t="inlineStr">
        <is>
          <t>Recheck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</cols>
  <sheetData>
    <row r="1">
      <c r="A1" s="6" t="inlineStr">
        <is>
          <t>Customer</t>
        </is>
      </c>
      <c r="B1" s="6" t="inlineStr">
        <is>
          <t>Segment</t>
        </is>
      </c>
      <c r="C1" s="6" t="inlineStr">
        <is>
          <t>Since</t>
        </is>
      </c>
      <c r="D1" s="6" t="inlineStr">
        <is>
          <t>MRR $</t>
        </is>
      </c>
      <c r="E1" s="6" t="inlineStr">
        <is>
          <t>Status</t>
        </is>
      </c>
      <c r="F1" s="6" t="inlineStr">
        <is>
          <t>NPS</t>
        </is>
      </c>
      <c r="G1" s="6" t="inlineStr">
        <is>
          <t>Last Contact</t>
        </is>
      </c>
    </row>
    <row r="2">
      <c r="A2" s="8" t="inlineStr">
        <is>
          <t>Alex Martin</t>
        </is>
      </c>
      <c r="B2" s="8" t="inlineStr">
        <is>
          <t>Enterprise</t>
        </is>
      </c>
      <c r="C2" s="7" t="n">
        <v>46174</v>
      </c>
      <c r="D2" s="8" t="n">
        <v>2500</v>
      </c>
      <c r="E2" s="8" t="inlineStr">
        <is>
          <t>Active</t>
        </is>
      </c>
      <c r="F2" s="8" t="n">
        <v>9</v>
      </c>
      <c r="G2" s="7" t="n">
        <v>46174</v>
      </c>
    </row>
    <row r="3">
      <c r="A3" s="11" t="inlineStr">
        <is>
          <t>Sara Lopez</t>
        </is>
      </c>
      <c r="B3" s="11" t="inlineStr">
        <is>
          <t>Mid-Market</t>
        </is>
      </c>
      <c r="C3" s="10" t="n">
        <v>46180</v>
      </c>
      <c r="D3" s="11" t="n">
        <v>1750</v>
      </c>
      <c r="E3" s="11" t="inlineStr">
        <is>
          <t>At Risk</t>
        </is>
      </c>
      <c r="F3" s="11" t="n">
        <v>6.3</v>
      </c>
      <c r="G3" s="10" t="n">
        <v>46180</v>
      </c>
    </row>
    <row r="4">
      <c r="A4" s="8" t="inlineStr">
        <is>
          <t>Omar Haddad</t>
        </is>
      </c>
      <c r="B4" s="8" t="inlineStr">
        <is>
          <t>SMB</t>
        </is>
      </c>
      <c r="C4" s="7" t="n">
        <v>46186</v>
      </c>
      <c r="D4" s="8" t="n">
        <v>3250</v>
      </c>
      <c r="E4" s="8" t="inlineStr">
        <is>
          <t>Churned</t>
        </is>
      </c>
      <c r="F4" s="8" t="n">
        <v>11.7</v>
      </c>
      <c r="G4" s="7" t="n">
        <v>46186</v>
      </c>
    </row>
    <row r="5">
      <c r="A5" s="11" t="inlineStr">
        <is>
          <t>Emma Fischer</t>
        </is>
      </c>
      <c r="B5" s="11" t="inlineStr">
        <is>
          <t>Consumer</t>
        </is>
      </c>
      <c r="C5" s="10" t="n">
        <v>46189</v>
      </c>
      <c r="D5" s="11" t="n">
        <v>2125</v>
      </c>
      <c r="E5" s="11" t="inlineStr">
        <is>
          <t>Prospect</t>
        </is>
      </c>
      <c r="F5" s="11" t="n">
        <v>7.65</v>
      </c>
      <c r="G5" s="10" t="n">
        <v>46189</v>
      </c>
    </row>
    <row r="6">
      <c r="A6" s="8" t="inlineStr">
        <is>
          <t>Liam Carter</t>
        </is>
      </c>
      <c r="B6" s="8" t="inlineStr">
        <is>
          <t>Partner</t>
        </is>
      </c>
      <c r="C6" s="7" t="n">
        <v>46195</v>
      </c>
      <c r="D6" s="8" t="n">
        <v>2875</v>
      </c>
      <c r="E6" s="8" t="inlineStr">
        <is>
          <t>Active</t>
        </is>
      </c>
      <c r="F6" s="8" t="n">
        <v>10.35</v>
      </c>
      <c r="G6" s="7" t="n">
        <v>46195</v>
      </c>
    </row>
    <row r="7">
      <c r="A7" s="11" t="inlineStr">
        <is>
          <t>Nadia Rahali</t>
        </is>
      </c>
      <c r="B7" s="11" t="inlineStr">
        <is>
          <t>Enterprise</t>
        </is>
      </c>
      <c r="C7" s="10" t="n">
        <v>46201</v>
      </c>
      <c r="D7" s="11" t="n">
        <v>1500</v>
      </c>
      <c r="E7" s="11" t="inlineStr">
        <is>
          <t>At Risk</t>
        </is>
      </c>
      <c r="F7" s="11" t="n">
        <v>5.4</v>
      </c>
      <c r="G7" s="10" t="n">
        <v>46201</v>
      </c>
    </row>
    <row r="8">
      <c r="A8" s="8" t="inlineStr">
        <is>
          <t>Tom Becker</t>
        </is>
      </c>
      <c r="B8" s="8" t="inlineStr">
        <is>
          <t>Mid-Market</t>
        </is>
      </c>
      <c r="C8" s="7" t="n">
        <v>46176</v>
      </c>
      <c r="D8" s="8" t="n">
        <v>3625</v>
      </c>
      <c r="E8" s="8" t="inlineStr">
        <is>
          <t>Churned</t>
        </is>
      </c>
      <c r="F8" s="8" t="n">
        <v>13.05</v>
      </c>
      <c r="G8" s="7" t="n">
        <v>46176</v>
      </c>
    </row>
    <row r="9">
      <c r="A9" s="11" t="inlineStr">
        <is>
          <t>Julia Romero</t>
        </is>
      </c>
      <c r="B9" s="11" t="inlineStr">
        <is>
          <t>SMB</t>
        </is>
      </c>
      <c r="C9" s="10" t="n">
        <v>46182</v>
      </c>
      <c r="D9" s="11" t="n">
        <v>2375</v>
      </c>
      <c r="E9" s="11" t="inlineStr">
        <is>
          <t>Prospect</t>
        </is>
      </c>
      <c r="F9" s="11" t="n">
        <v>8.550000000000001</v>
      </c>
      <c r="G9" s="10" t="n">
        <v>46182</v>
      </c>
    </row>
    <row r="10">
      <c r="A10" s="8" t="inlineStr">
        <is>
          <t>Karim Ziani</t>
        </is>
      </c>
      <c r="B10" s="8" t="inlineStr">
        <is>
          <t>Consumer</t>
        </is>
      </c>
      <c r="C10" s="7" t="n">
        <v>46188</v>
      </c>
      <c r="D10" s="8" t="n">
        <v>3125</v>
      </c>
      <c r="E10" s="8" t="inlineStr">
        <is>
          <t>Active</t>
        </is>
      </c>
      <c r="F10" s="8" t="n">
        <v>11.25</v>
      </c>
      <c r="G10" s="7" t="n">
        <v>46188</v>
      </c>
    </row>
    <row r="11">
      <c r="A11" s="11" t="inlineStr">
        <is>
          <t>Anna Kowalska</t>
        </is>
      </c>
      <c r="B11" s="11" t="inlineStr">
        <is>
          <t>Partner</t>
        </is>
      </c>
      <c r="C11" s="10" t="n">
        <v>46191</v>
      </c>
      <c r="D11" s="11" t="n">
        <v>2000</v>
      </c>
      <c r="E11" s="11" t="inlineStr">
        <is>
          <t>At Risk</t>
        </is>
      </c>
      <c r="F11" s="11" t="n">
        <v>7.2</v>
      </c>
      <c r="G11" s="10" t="n">
        <v>46191</v>
      </c>
    </row>
    <row r="12">
      <c r="A12" s="8" t="inlineStr">
        <is>
          <t>David Chen</t>
        </is>
      </c>
      <c r="B12" s="8" t="inlineStr">
        <is>
          <t>Enterprise</t>
        </is>
      </c>
      <c r="C12" s="7" t="n">
        <v>46197</v>
      </c>
      <c r="D12" s="8" t="n">
        <v>2750</v>
      </c>
      <c r="E12" s="8" t="inlineStr">
        <is>
          <t>Churned</t>
        </is>
      </c>
      <c r="F12" s="8" t="n">
        <v>9.9</v>
      </c>
      <c r="G12" s="7" t="n">
        <v>46197</v>
      </c>
    </row>
    <row r="13">
      <c r="A13" s="11" t="inlineStr">
        <is>
          <t>Lea Moreau</t>
        </is>
      </c>
      <c r="B13" s="11" t="inlineStr">
        <is>
          <t>Mid-Market</t>
        </is>
      </c>
      <c r="C13" s="10" t="n">
        <v>46175</v>
      </c>
      <c r="D13" s="11" t="n">
        <v>1875</v>
      </c>
      <c r="E13" s="11" t="inlineStr">
        <is>
          <t>Prospect</t>
        </is>
      </c>
      <c r="F13" s="11" t="n">
        <v>6.75</v>
      </c>
      <c r="G13" s="10" t="n">
        <v>46175</v>
      </c>
    </row>
  </sheetData>
  <dataValidations count="2">
    <dataValidation sqref="B2:B500" showDropDown="0" showInputMessage="0" showErrorMessage="0" allowBlank="1" type="list">
      <formula1>"Enterprise,Mid-Market,SMB,Consumer,Partner"</formula1>
    </dataValidation>
    <dataValidation sqref="E2:E500" showDropDown="0" showInputMessage="0" showErrorMessage="0" allowBlank="1" type="list">
      <formula1>"Active,At Risk,Churned,Prospect"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8" customWidth="1" min="6" max="6"/>
    <col width="28" customWidth="1" min="7" max="7"/>
  </cols>
  <sheetData>
    <row r="1">
      <c r="A1" s="6" t="inlineStr">
        <is>
          <t>Period</t>
        </is>
      </c>
      <c r="B1" s="6" t="inlineStr">
        <is>
          <t>KPI</t>
        </is>
      </c>
      <c r="C1" s="6" t="inlineStr">
        <is>
          <t>Actual</t>
        </is>
      </c>
      <c r="D1" s="6" t="inlineStr">
        <is>
          <t>Target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Notes</t>
        </is>
      </c>
    </row>
    <row r="2">
      <c r="A2" s="8" t="inlineStr">
        <is>
          <t>January</t>
        </is>
      </c>
      <c r="B2" s="8" t="inlineStr">
        <is>
          <t>Customer Support Tickets</t>
        </is>
      </c>
      <c r="C2" s="8" t="n">
        <v>42</v>
      </c>
      <c r="D2" s="9" t="n">
        <v>35</v>
      </c>
      <c r="E2" s="8" t="inlineStr">
        <is>
          <t>On Track</t>
        </is>
      </c>
      <c r="F2" s="8" t="inlineStr">
        <is>
          <t>Head of Ops</t>
        </is>
      </c>
      <c r="G2" s="8" t="inlineStr"/>
    </row>
    <row r="3">
      <c r="A3" s="11" t="inlineStr">
        <is>
          <t>January</t>
        </is>
      </c>
      <c r="B3" s="11" t="inlineStr">
        <is>
          <t>Customer Support Tickets</t>
        </is>
      </c>
      <c r="C3" s="11" t="n">
        <v>29.4</v>
      </c>
      <c r="D3" s="12" t="n">
        <v>24.5</v>
      </c>
      <c r="E3" s="11" t="inlineStr">
        <is>
          <t>At Risk</t>
        </is>
      </c>
      <c r="F3" s="11" t="inlineStr">
        <is>
          <t>Head of Ops</t>
        </is>
      </c>
      <c r="G3" s="11" t="inlineStr">
        <is>
          <t>Paid</t>
        </is>
      </c>
    </row>
    <row r="4">
      <c r="A4" s="8" t="inlineStr"/>
      <c r="B4" s="8" t="inlineStr"/>
      <c r="C4" s="8" t="n">
        <v>54.6</v>
      </c>
      <c r="D4" s="9" t="n">
        <v>45.5</v>
      </c>
      <c r="E4" s="8" t="inlineStr">
        <is>
          <t>Off Track</t>
        </is>
      </c>
      <c r="F4" s="8" t="inlineStr"/>
      <c r="G4" s="8" t="inlineStr">
        <is>
          <t>Urgent</t>
        </is>
      </c>
    </row>
    <row r="5">
      <c r="A5" s="11" t="inlineStr">
        <is>
          <t>January</t>
        </is>
      </c>
      <c r="B5" s="11" t="inlineStr">
        <is>
          <t>Customer Support Tickets</t>
        </is>
      </c>
      <c r="C5" s="11" t="n">
        <v>35.7</v>
      </c>
      <c r="D5" s="12" t="n">
        <v>29.75</v>
      </c>
      <c r="E5" s="11" t="inlineStr">
        <is>
          <t>On Track</t>
        </is>
      </c>
      <c r="F5" s="11" t="inlineStr">
        <is>
          <t>Head of Ops</t>
        </is>
      </c>
      <c r="G5" s="11" t="inlineStr">
        <is>
          <t>Follow up Friday</t>
        </is>
      </c>
    </row>
    <row r="6">
      <c r="A6" s="8" t="inlineStr">
        <is>
          <t>January</t>
        </is>
      </c>
      <c r="B6" s="8" t="inlineStr">
        <is>
          <t>Customer Support Tickets</t>
        </is>
      </c>
      <c r="C6" s="8" t="n">
        <v>48.3</v>
      </c>
      <c r="D6" s="9" t="n">
        <v>40.25</v>
      </c>
      <c r="E6" s="8" t="inlineStr">
        <is>
          <t>At Risk</t>
        </is>
      </c>
      <c r="F6" s="8" t="inlineStr">
        <is>
          <t>Head of Ops</t>
        </is>
      </c>
      <c r="G6" s="8" t="inlineStr"/>
    </row>
    <row r="7">
      <c r="A7" s="11" t="inlineStr"/>
      <c r="B7" s="11" t="inlineStr"/>
      <c r="C7" s="11" t="n">
        <v>25.2</v>
      </c>
      <c r="D7" s="12" t="n">
        <v>21</v>
      </c>
      <c r="E7" s="11" t="inlineStr">
        <is>
          <t>Off Track</t>
        </is>
      </c>
      <c r="F7" s="11" t="inlineStr"/>
      <c r="G7" s="11" t="inlineStr">
        <is>
          <t>Monthly</t>
        </is>
      </c>
    </row>
    <row r="8">
      <c r="A8" s="8" t="inlineStr">
        <is>
          <t>January</t>
        </is>
      </c>
      <c r="B8" s="8" t="inlineStr">
        <is>
          <t>Customer Support Tickets</t>
        </is>
      </c>
      <c r="C8" s="8" t="n">
        <v>60.9</v>
      </c>
      <c r="D8" s="9" t="n">
        <v>50.75</v>
      </c>
      <c r="E8" s="8" t="inlineStr">
        <is>
          <t>On Track</t>
        </is>
      </c>
      <c r="F8" s="8" t="inlineStr">
        <is>
          <t>Head of Ops</t>
        </is>
      </c>
      <c r="G8" s="8" t="inlineStr">
        <is>
          <t>Confirmed</t>
        </is>
      </c>
    </row>
    <row r="9">
      <c r="A9" s="11" t="inlineStr">
        <is>
          <t>January</t>
        </is>
      </c>
      <c r="B9" s="11" t="inlineStr">
        <is>
          <t>Customer Support Tickets</t>
        </is>
      </c>
      <c r="C9" s="11" t="n">
        <v>39.9</v>
      </c>
      <c r="D9" s="12" t="n">
        <v>33.25</v>
      </c>
      <c r="E9" s="11" t="inlineStr">
        <is>
          <t>At Risk</t>
        </is>
      </c>
      <c r="F9" s="11" t="inlineStr">
        <is>
          <t>Head of Ops</t>
        </is>
      </c>
      <c r="G9" s="11" t="inlineStr"/>
    </row>
    <row r="10">
      <c r="A10" s="8" t="inlineStr"/>
      <c r="B10" s="8" t="inlineStr"/>
      <c r="C10" s="8" t="n">
        <v>52.5</v>
      </c>
      <c r="D10" s="9" t="n">
        <v>43.75</v>
      </c>
      <c r="E10" s="8" t="inlineStr">
        <is>
          <t>Off Track</t>
        </is>
      </c>
      <c r="F10" s="8" t="inlineStr"/>
      <c r="G10" s="8" t="inlineStr">
        <is>
          <t>Waiting reply</t>
        </is>
      </c>
    </row>
    <row r="11">
      <c r="A11" s="11" t="inlineStr">
        <is>
          <t>January</t>
        </is>
      </c>
      <c r="B11" s="11" t="inlineStr">
        <is>
          <t>Customer Support Tickets</t>
        </is>
      </c>
      <c r="C11" s="11" t="n">
        <v>33.6</v>
      </c>
      <c r="D11" s="12" t="n">
        <v>28</v>
      </c>
      <c r="E11" s="11" t="inlineStr">
        <is>
          <t>On Track</t>
        </is>
      </c>
      <c r="F11" s="11" t="inlineStr">
        <is>
          <t>Head of Ops</t>
        </is>
      </c>
      <c r="G11" s="11" t="inlineStr">
        <is>
          <t>Done early</t>
        </is>
      </c>
    </row>
    <row r="12">
      <c r="A12" s="8" t="inlineStr">
        <is>
          <t>January</t>
        </is>
      </c>
      <c r="B12" s="8" t="inlineStr">
        <is>
          <t>Customer Support Tickets</t>
        </is>
      </c>
      <c r="C12" s="8" t="n">
        <v>46.2</v>
      </c>
      <c r="D12" s="9" t="n">
        <v>38.5</v>
      </c>
      <c r="E12" s="8" t="inlineStr">
        <is>
          <t>At Risk</t>
        </is>
      </c>
      <c r="F12" s="8" t="inlineStr">
        <is>
          <t>Head of Ops</t>
        </is>
      </c>
      <c r="G12" s="8" t="inlineStr"/>
    </row>
    <row r="13">
      <c r="A13" s="11" t="inlineStr"/>
      <c r="B13" s="11" t="inlineStr"/>
      <c r="C13" s="11" t="n">
        <v>31.5</v>
      </c>
      <c r="D13" s="12" t="n">
        <v>26.25</v>
      </c>
      <c r="E13" s="11" t="inlineStr">
        <is>
          <t>Off Track</t>
        </is>
      </c>
      <c r="F13" s="11" t="inlineStr"/>
      <c r="G13" s="11" t="inlineStr">
        <is>
          <t>Recheck</t>
        </is>
      </c>
    </row>
  </sheetData>
  <dataValidations count="1">
    <dataValidation sqref="E2:E500" showDropDown="0" showInputMessage="0" showErrorMessage="0" allowBlank="1" type="list">
      <formula1>"On Track,At Risk,Off Track"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2026-07-16T21:44:40Z</dcterms:created>
  <dcterms:modified xsi:type="dcterms:W3CDTF">2026-07-16T21:44:40Z</dcterms:modified>
</cp:coreProperties>
</file>