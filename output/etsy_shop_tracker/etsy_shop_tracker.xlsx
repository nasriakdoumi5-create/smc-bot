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ales" sheetId="2" state="visible" r:id="rId2"/>
    <sheet name="Dashboard" sheetId="3" state="visible" r:id="rId3"/>
    <sheet name="Products" sheetId="4" state="visible" r:id="rId4"/>
    <sheet name="Monthly Revenue" sheetId="5" state="visible" r:id="rId5"/>
    <sheet name="Annual 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F56400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2D0900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2D0900"/>
      </patternFill>
    </fill>
    <fill>
      <patternFill patternType="solid">
        <fgColor rgb="00FFF7F0"/>
      </patternFill>
    </fill>
    <fill>
      <patternFill patternType="solid">
        <fgColor rgb="00F56400"/>
      </patternFill>
    </fill>
    <fill>
      <patternFill patternType="solid">
        <fgColor rgb="00008000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165" fontId="5" fillId="0" borderId="1" pivotButton="0" quotePrefix="0" xfId="0"/>
    <xf numFmtId="165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🛍️  ETSY SHOP ANALYTICS TRACKER</t>
        </is>
      </c>
    </row>
    <row r="3"/>
    <row r="4">
      <c r="B4" s="2" t="inlineStr">
        <is>
          <t>Etsy Sales, Revenue &amp; Product Performance Google Sheets</t>
        </is>
      </c>
    </row>
    <row r="6">
      <c r="B6" s="3" t="inlineStr">
        <is>
          <t>STEP 1 — Fill in “Sales”</t>
        </is>
      </c>
    </row>
    <row r="7" ht="28" customHeight="1">
      <c r="B7" s="4" t="inlineStr">
        <is>
          <t>Every sale: product, buyer country, revenue, and date.</t>
        </is>
      </c>
    </row>
    <row r="9">
      <c r="B9" s="3" t="inlineStr">
        <is>
          <t>STEP 2 — Fill in “Products”</t>
        </is>
      </c>
    </row>
    <row r="10" ht="28" customHeight="1">
      <c r="B10" s="4" t="inlineStr">
        <is>
          <t>All products with sales count, revenue, and performance.</t>
        </is>
      </c>
    </row>
    <row r="12">
      <c r="B12" s="3" t="inlineStr">
        <is>
          <t>STEP 3 — Fill in “Monthly Revenue”</t>
        </is>
      </c>
    </row>
    <row r="13" ht="28" customHeight="1">
      <c r="B13" s="4" t="inlineStr">
        <is>
          <t>Month-by-month revenue and sales count.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8" customWidth="1" min="4" max="4"/>
    <col width="14" customWidth="1" min="5" max="5"/>
    <col width="12" customWidth="1" min="6" max="6"/>
    <col width="12" customWidth="1" min="7" max="7"/>
    <col width="18" customWidth="1" min="8" max="8"/>
  </cols>
  <sheetData>
    <row r="1">
      <c r="A1" s="6" t="inlineStr">
        <is>
          <t>Date</t>
        </is>
      </c>
      <c r="B1" s="6" t="inlineStr">
        <is>
          <t>Order ID</t>
        </is>
      </c>
      <c r="C1" s="6" t="inlineStr">
        <is>
          <t>Product</t>
        </is>
      </c>
      <c r="D1" s="6" t="inlineStr">
        <is>
          <t>Qty</t>
        </is>
      </c>
      <c r="E1" s="6" t="inlineStr">
        <is>
          <t>Revenue $</t>
        </is>
      </c>
      <c r="F1" s="6" t="inlineStr">
        <is>
          <t>Etsy Fee $</t>
        </is>
      </c>
      <c r="G1" s="6" t="inlineStr">
        <is>
          <t>Net $</t>
        </is>
      </c>
      <c r="H1" s="6" t="inlineStr">
        <is>
          <t>Country</t>
        </is>
      </c>
    </row>
    <row r="2">
      <c r="A2" s="7" t="n">
        <v>46174</v>
      </c>
      <c r="B2" s="8" t="n">
        <v>3856291047</v>
      </c>
      <c r="C2" s="8" t="inlineStr">
        <is>
          <t>Budget Tracker Template</t>
        </is>
      </c>
      <c r="D2" s="8" t="n">
        <v>1</v>
      </c>
      <c r="E2" s="9" t="n">
        <v>12</v>
      </c>
      <c r="F2" s="9" t="n">
        <v>1.8</v>
      </c>
      <c r="G2" s="8">
        <f>E2-F2</f>
        <v/>
      </c>
      <c r="H2" s="8" t="inlineStr">
        <is>
          <t>United States</t>
        </is>
      </c>
    </row>
    <row r="3">
      <c r="A3" s="10" t="n">
        <v>46180</v>
      </c>
      <c r="B3" s="11" t="n">
        <v>2699403733</v>
      </c>
      <c r="C3" s="11" t="inlineStr">
        <is>
          <t>Budget Tracker Template</t>
        </is>
      </c>
      <c r="D3" s="11" t="n">
        <v>0.7</v>
      </c>
      <c r="E3" s="12" t="n">
        <v>8.4</v>
      </c>
      <c r="F3" s="12" t="n">
        <v>1.26</v>
      </c>
      <c r="G3" s="11">
        <f>E3-F3</f>
        <v/>
      </c>
      <c r="H3" s="11" t="inlineStr">
        <is>
          <t>United States</t>
        </is>
      </c>
    </row>
    <row r="4">
      <c r="A4" s="7" t="n">
        <v>46186</v>
      </c>
      <c r="B4" s="8" t="n">
        <v>5013178361</v>
      </c>
      <c r="C4" s="8" t="inlineStr"/>
      <c r="D4" s="8" t="n">
        <v>1.3</v>
      </c>
      <c r="E4" s="9" t="n">
        <v>15.6</v>
      </c>
      <c r="F4" s="9" t="n">
        <v>2.34</v>
      </c>
      <c r="G4" s="8">
        <f>E4-F4</f>
        <v/>
      </c>
      <c r="H4" s="8" t="inlineStr"/>
    </row>
    <row r="5">
      <c r="A5" s="10" t="n">
        <v>46189</v>
      </c>
      <c r="B5" s="11" t="n">
        <v>3277847390</v>
      </c>
      <c r="C5" s="11" t="inlineStr">
        <is>
          <t>Budget Tracker Template</t>
        </is>
      </c>
      <c r="D5" s="11" t="n">
        <v>0.85</v>
      </c>
      <c r="E5" s="12" t="n">
        <v>10.2</v>
      </c>
      <c r="F5" s="12" t="n">
        <v>1.53</v>
      </c>
      <c r="G5" s="11">
        <f>E5-F5</f>
        <v/>
      </c>
      <c r="H5" s="11" t="inlineStr">
        <is>
          <t>United States</t>
        </is>
      </c>
    </row>
    <row r="6">
      <c r="A6" s="7" t="n">
        <v>46195</v>
      </c>
      <c r="B6" s="8" t="n">
        <v>4434734704</v>
      </c>
      <c r="C6" s="8" t="inlineStr">
        <is>
          <t>Budget Tracker Template</t>
        </is>
      </c>
      <c r="D6" s="8" t="n">
        <v>1.15</v>
      </c>
      <c r="E6" s="9" t="n">
        <v>13.8</v>
      </c>
      <c r="F6" s="9" t="n">
        <v>2.07</v>
      </c>
      <c r="G6" s="8">
        <f>E6-F6</f>
        <v/>
      </c>
      <c r="H6" s="8" t="inlineStr">
        <is>
          <t>United States</t>
        </is>
      </c>
    </row>
    <row r="7">
      <c r="A7" s="10" t="n">
        <v>46201</v>
      </c>
      <c r="B7" s="11" t="n">
        <v>2313774628</v>
      </c>
      <c r="C7" s="11" t="inlineStr"/>
      <c r="D7" s="11" t="n">
        <v>0.6</v>
      </c>
      <c r="E7" s="12" t="n">
        <v>7.2</v>
      </c>
      <c r="F7" s="12" t="n">
        <v>1.08</v>
      </c>
      <c r="G7" s="11">
        <f>E7-F7</f>
        <v/>
      </c>
      <c r="H7" s="11" t="inlineStr"/>
    </row>
    <row r="8">
      <c r="A8" s="7" t="n">
        <v>46176</v>
      </c>
      <c r="B8" s="8" t="n">
        <v>5591622018</v>
      </c>
      <c r="C8" s="8" t="inlineStr">
        <is>
          <t>Budget Tracker Template</t>
        </is>
      </c>
      <c r="D8" s="8" t="n">
        <v>1.45</v>
      </c>
      <c r="E8" s="9" t="n">
        <v>17.4</v>
      </c>
      <c r="F8" s="9" t="n">
        <v>2.61</v>
      </c>
      <c r="G8" s="8">
        <f>E8-F8</f>
        <v/>
      </c>
      <c r="H8" s="8" t="inlineStr">
        <is>
          <t>United States</t>
        </is>
      </c>
    </row>
    <row r="9">
      <c r="A9" s="10" t="n">
        <v>46182</v>
      </c>
      <c r="B9" s="11" t="n">
        <v>3663476495</v>
      </c>
      <c r="C9" s="11" t="inlineStr">
        <is>
          <t>Budget Tracker Template</t>
        </is>
      </c>
      <c r="D9" s="11" t="n">
        <v>0.95</v>
      </c>
      <c r="E9" s="12" t="n">
        <v>11.4</v>
      </c>
      <c r="F9" s="12" t="n">
        <v>1.71</v>
      </c>
      <c r="G9" s="11">
        <f>E9-F9</f>
        <v/>
      </c>
      <c r="H9" s="11" t="inlineStr">
        <is>
          <t>United States</t>
        </is>
      </c>
    </row>
    <row r="10">
      <c r="A10" s="7" t="n">
        <v>46188</v>
      </c>
      <c r="B10" s="8" t="n">
        <v>4820363809</v>
      </c>
      <c r="C10" s="8" t="inlineStr"/>
      <c r="D10" s="8" t="n">
        <v>1.25</v>
      </c>
      <c r="E10" s="9" t="n">
        <v>15</v>
      </c>
      <c r="F10" s="9" t="n">
        <v>2.25</v>
      </c>
      <c r="G10" s="8">
        <f>E10-F10</f>
        <v/>
      </c>
      <c r="H10" s="8" t="inlineStr"/>
    </row>
    <row r="11">
      <c r="A11" s="10" t="n">
        <v>46191</v>
      </c>
      <c r="B11" s="11" t="n">
        <v>3085032838</v>
      </c>
      <c r="C11" s="11" t="inlineStr">
        <is>
          <t>Budget Tracker Template</t>
        </is>
      </c>
      <c r="D11" s="11" t="n">
        <v>0.8</v>
      </c>
      <c r="E11" s="12" t="n">
        <v>9.6</v>
      </c>
      <c r="F11" s="12" t="n">
        <v>1.44</v>
      </c>
      <c r="G11" s="11">
        <f>E11-F11</f>
        <v/>
      </c>
      <c r="H11" s="11" t="inlineStr">
        <is>
          <t>United States</t>
        </is>
      </c>
    </row>
    <row r="12">
      <c r="A12" s="7" t="n">
        <v>46197</v>
      </c>
      <c r="B12" s="8" t="n">
        <v>4241920152</v>
      </c>
      <c r="C12" s="8" t="inlineStr">
        <is>
          <t>Budget Tracker Template</t>
        </is>
      </c>
      <c r="D12" s="8" t="n">
        <v>1.1</v>
      </c>
      <c r="E12" s="9" t="n">
        <v>13.2</v>
      </c>
      <c r="F12" s="9" t="n">
        <v>1.98</v>
      </c>
      <c r="G12" s="8">
        <f>E12-F12</f>
        <v/>
      </c>
      <c r="H12" s="8" t="inlineStr">
        <is>
          <t>United States</t>
        </is>
      </c>
    </row>
    <row r="13">
      <c r="A13" s="10" t="n">
        <v>46175</v>
      </c>
      <c r="B13" s="11" t="n">
        <v>2892218285</v>
      </c>
      <c r="C13" s="11" t="inlineStr"/>
      <c r="D13" s="11" t="n">
        <v>0.75</v>
      </c>
      <c r="E13" s="12" t="n">
        <v>9</v>
      </c>
      <c r="F13" s="12" t="n">
        <v>1.35</v>
      </c>
      <c r="G13" s="11">
        <f>E13-F13</f>
        <v/>
      </c>
      <c r="H13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3" t="inlineStr">
        <is>
          <t>📊  ETSY SHOP ANALYTICS TRACKER — DASHBOARD</t>
        </is>
      </c>
    </row>
    <row r="4">
      <c r="B4" s="14" t="inlineStr">
        <is>
          <t>TOTAL SALES</t>
        </is>
      </c>
      <c r="D4" s="15" t="inlineStr">
        <is>
          <t>TOTAL REVENUE</t>
        </is>
      </c>
      <c r="F4" s="16" t="inlineStr">
        <is>
          <t>AVG ORDER VALUE</t>
        </is>
      </c>
      <c r="H4" s="17" t="inlineStr">
        <is>
          <t>TOTAL PRODUCTS</t>
        </is>
      </c>
    </row>
    <row r="5" ht="26" customHeight="1">
      <c r="B5" s="18">
        <f>COUNTA(Sales!A:A)-1</f>
        <v/>
      </c>
      <c r="D5" s="19">
        <f>SUM(Sales!E:E)</f>
        <v/>
      </c>
      <c r="F5" s="20">
        <f>AVERAGE(Sales!E:E)</f>
        <v/>
      </c>
      <c r="H5" s="21">
        <f>COUNTA(Products!A:A)-1</f>
        <v/>
      </c>
    </row>
    <row r="8">
      <c r="B8" s="22" t="inlineStr">
        <is>
          <t>WHAT'S INSIDE</t>
        </is>
      </c>
    </row>
    <row r="9">
      <c r="B9" s="23" t="inlineStr">
        <is>
          <t>🧾  Sales — Every sale: product, buyer country, revenue, and date.</t>
        </is>
      </c>
    </row>
    <row r="10">
      <c r="B10" s="23" t="inlineStr">
        <is>
          <t>📦  Products — All products with sales count, revenue, and performance.</t>
        </is>
      </c>
    </row>
    <row r="11">
      <c r="B11" s="23" t="inlineStr">
        <is>
          <t>📅  Monthly Revenue — Month-by-month revenue and sales count.</t>
        </is>
      </c>
    </row>
    <row r="12">
      <c r="B12" s="23" t="inlineStr">
        <is>
          <t>📊  Annual Report — Annual Etsy shop performance summary.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0" customWidth="1" min="5" max="5"/>
    <col width="16" customWidth="1" min="6" max="6"/>
    <col width="16" customWidth="1" min="7" max="7"/>
  </cols>
  <sheetData>
    <row r="1">
      <c r="A1" s="6" t="inlineStr">
        <is>
          <t>Product</t>
        </is>
      </c>
      <c r="B1" s="6" t="inlineStr">
        <is>
          <t>Price $</t>
        </is>
      </c>
      <c r="C1" s="6" t="inlineStr">
        <is>
          <t>Total Sales</t>
        </is>
      </c>
      <c r="D1" s="6" t="inlineStr">
        <is>
          <t>Revenue $</t>
        </is>
      </c>
      <c r="E1" s="6" t="inlineStr">
        <is>
          <t>Views</t>
        </is>
      </c>
      <c r="F1" s="6" t="inlineStr">
        <is>
          <t>Conversion %</t>
        </is>
      </c>
      <c r="G1" s="6" t="inlineStr">
        <is>
          <t>Status</t>
        </is>
      </c>
    </row>
    <row r="2">
      <c r="A2" s="8" t="inlineStr">
        <is>
          <t>Budget Tracker Template</t>
        </is>
      </c>
      <c r="B2" s="9" t="n">
        <v>12</v>
      </c>
      <c r="C2" s="9" t="n">
        <v>45</v>
      </c>
      <c r="D2" s="9" t="n">
        <v>540</v>
      </c>
      <c r="E2" s="8" t="n">
        <v>1200</v>
      </c>
      <c r="F2" s="8">
        <f>TEXT(C2/E2,"0.0%")</f>
        <v/>
      </c>
      <c r="G2" s="8" t="inlineStr">
        <is>
          <t>Active</t>
        </is>
      </c>
    </row>
    <row r="3">
      <c r="A3" s="11" t="inlineStr">
        <is>
          <t>Budget Tracker Template</t>
        </is>
      </c>
      <c r="B3" s="12" t="n">
        <v>8.4</v>
      </c>
      <c r="C3" s="12" t="n">
        <v>31.5</v>
      </c>
      <c r="D3" s="12" t="n">
        <v>378</v>
      </c>
      <c r="E3" s="11" t="n">
        <v>840</v>
      </c>
      <c r="F3" s="11">
        <f>TEXT(C3/E3,"0.0%")</f>
        <v/>
      </c>
      <c r="G3" s="11" t="inlineStr">
        <is>
          <t>Inactive</t>
        </is>
      </c>
    </row>
    <row r="4">
      <c r="A4" s="8" t="inlineStr"/>
      <c r="B4" s="9" t="n">
        <v>15.6</v>
      </c>
      <c r="C4" s="9" t="n">
        <v>58.5</v>
      </c>
      <c r="D4" s="9" t="n">
        <v>702</v>
      </c>
      <c r="E4" s="8" t="n">
        <v>1560</v>
      </c>
      <c r="F4" s="8">
        <f>TEXT(C4/E4,"0.0%")</f>
        <v/>
      </c>
      <c r="G4" s="8" t="inlineStr">
        <is>
          <t>Draft</t>
        </is>
      </c>
    </row>
    <row r="5">
      <c r="A5" s="11" t="inlineStr">
        <is>
          <t>Budget Tracker Template</t>
        </is>
      </c>
      <c r="B5" s="12" t="n">
        <v>10.2</v>
      </c>
      <c r="C5" s="12" t="n">
        <v>38.25</v>
      </c>
      <c r="D5" s="12" t="n">
        <v>459</v>
      </c>
      <c r="E5" s="11" t="n">
        <v>1020</v>
      </c>
      <c r="F5" s="11">
        <f>TEXT(C5/E5,"0.0%")</f>
        <v/>
      </c>
      <c r="G5" s="11" t="inlineStr">
        <is>
          <t>Sold Out</t>
        </is>
      </c>
    </row>
    <row r="6">
      <c r="A6" s="8" t="inlineStr">
        <is>
          <t>Budget Tracker Template</t>
        </is>
      </c>
      <c r="B6" s="9" t="n">
        <v>13.8</v>
      </c>
      <c r="C6" s="9" t="n">
        <v>51.75</v>
      </c>
      <c r="D6" s="9" t="n">
        <v>621</v>
      </c>
      <c r="E6" s="8" t="n">
        <v>1380</v>
      </c>
      <c r="F6" s="8">
        <f>TEXT(C6/E6,"0.0%")</f>
        <v/>
      </c>
      <c r="G6" s="8" t="inlineStr">
        <is>
          <t>Active</t>
        </is>
      </c>
    </row>
    <row r="7">
      <c r="A7" s="11" t="inlineStr"/>
      <c r="B7" s="12" t="n">
        <v>7.2</v>
      </c>
      <c r="C7" s="12" t="n">
        <v>27</v>
      </c>
      <c r="D7" s="12" t="n">
        <v>324</v>
      </c>
      <c r="E7" s="11" t="n">
        <v>720</v>
      </c>
      <c r="F7" s="11">
        <f>TEXT(C7/E7,"0.0%")</f>
        <v/>
      </c>
      <c r="G7" s="11" t="inlineStr">
        <is>
          <t>Inactive</t>
        </is>
      </c>
    </row>
    <row r="8">
      <c r="A8" s="8" t="inlineStr">
        <is>
          <t>Budget Tracker Template</t>
        </is>
      </c>
      <c r="B8" s="9" t="n">
        <v>17.4</v>
      </c>
      <c r="C8" s="9" t="n">
        <v>65.25</v>
      </c>
      <c r="D8" s="9" t="n">
        <v>783</v>
      </c>
      <c r="E8" s="8" t="n">
        <v>1740</v>
      </c>
      <c r="F8" s="8">
        <f>TEXT(C8/E8,"0.0%")</f>
        <v/>
      </c>
      <c r="G8" s="8" t="inlineStr">
        <is>
          <t>Draft</t>
        </is>
      </c>
    </row>
    <row r="9">
      <c r="A9" s="11" t="inlineStr">
        <is>
          <t>Budget Tracker Template</t>
        </is>
      </c>
      <c r="B9" s="12" t="n">
        <v>11.4</v>
      </c>
      <c r="C9" s="12" t="n">
        <v>42.75</v>
      </c>
      <c r="D9" s="12" t="n">
        <v>513</v>
      </c>
      <c r="E9" s="11" t="n">
        <v>1140</v>
      </c>
      <c r="F9" s="11">
        <f>TEXT(C9/E9,"0.0%")</f>
        <v/>
      </c>
      <c r="G9" s="11" t="inlineStr">
        <is>
          <t>Sold Out</t>
        </is>
      </c>
    </row>
    <row r="10">
      <c r="A10" s="8" t="inlineStr"/>
      <c r="B10" s="9" t="n">
        <v>15</v>
      </c>
      <c r="C10" s="9" t="n">
        <v>56.25</v>
      </c>
      <c r="D10" s="9" t="n">
        <v>675</v>
      </c>
      <c r="E10" s="8" t="n">
        <v>1500</v>
      </c>
      <c r="F10" s="8">
        <f>TEXT(C10/E10,"0.0%")</f>
        <v/>
      </c>
      <c r="G10" s="8" t="inlineStr">
        <is>
          <t>Active</t>
        </is>
      </c>
    </row>
    <row r="11">
      <c r="A11" s="11" t="inlineStr">
        <is>
          <t>Budget Tracker Template</t>
        </is>
      </c>
      <c r="B11" s="12" t="n">
        <v>9.6</v>
      </c>
      <c r="C11" s="12" t="n">
        <v>36</v>
      </c>
      <c r="D11" s="12" t="n">
        <v>432</v>
      </c>
      <c r="E11" s="11" t="n">
        <v>960</v>
      </c>
      <c r="F11" s="11">
        <f>TEXT(C11/E11,"0.0%")</f>
        <v/>
      </c>
      <c r="G11" s="11" t="inlineStr">
        <is>
          <t>Inactive</t>
        </is>
      </c>
    </row>
    <row r="12">
      <c r="A12" s="8" t="inlineStr">
        <is>
          <t>Budget Tracker Template</t>
        </is>
      </c>
      <c r="B12" s="9" t="n">
        <v>13.2</v>
      </c>
      <c r="C12" s="9" t="n">
        <v>49.5</v>
      </c>
      <c r="D12" s="9" t="n">
        <v>594</v>
      </c>
      <c r="E12" s="8" t="n">
        <v>1320</v>
      </c>
      <c r="F12" s="8">
        <f>TEXT(C12/E12,"0.0%")</f>
        <v/>
      </c>
      <c r="G12" s="8" t="inlineStr">
        <is>
          <t>Draft</t>
        </is>
      </c>
    </row>
    <row r="13">
      <c r="A13" s="11" t="inlineStr"/>
      <c r="B13" s="12" t="n">
        <v>9</v>
      </c>
      <c r="C13" s="12" t="n">
        <v>33.75</v>
      </c>
      <c r="D13" s="12" t="n">
        <v>405</v>
      </c>
      <c r="E13" s="11" t="n">
        <v>900</v>
      </c>
      <c r="F13" s="11">
        <f>TEXT(C13/E13,"0.0%")</f>
        <v/>
      </c>
      <c r="G13" s="11" t="inlineStr">
        <is>
          <t>Sold Out</t>
        </is>
      </c>
    </row>
  </sheetData>
  <dataValidations count="1">
    <dataValidation sqref="G2:G500" showDropDown="0" showInputMessage="0" showErrorMessage="0" allowBlank="1" type="list">
      <formula1>"Active,Inactive,Draft,Sold Out"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4" customWidth="1" min="5" max="5"/>
    <col width="28" customWidth="1" min="6" max="6"/>
  </cols>
  <sheetData>
    <row r="1">
      <c r="A1" s="6" t="inlineStr">
        <is>
          <t>Month</t>
        </is>
      </c>
      <c r="B1" s="6" t="inlineStr">
        <is>
          <t>Sales</t>
        </is>
      </c>
      <c r="C1" s="6" t="inlineStr">
        <is>
          <t>Revenue $</t>
        </is>
      </c>
      <c r="D1" s="6" t="inlineStr">
        <is>
          <t>Etsy Fees $</t>
        </is>
      </c>
      <c r="E1" s="6" t="inlineStr">
        <is>
          <t>Net $</t>
        </is>
      </c>
      <c r="F1" s="6" t="inlineStr">
        <is>
          <t>Top Product</t>
        </is>
      </c>
    </row>
    <row r="2">
      <c r="A2" s="8" t="inlineStr">
        <is>
          <t>January 2024</t>
        </is>
      </c>
      <c r="B2" s="8" t="n">
        <v>34</v>
      </c>
      <c r="C2" s="9" t="n">
        <v>408</v>
      </c>
      <c r="D2" s="9" t="n">
        <v>61</v>
      </c>
      <c r="E2" s="8">
        <f>C2-D2</f>
        <v/>
      </c>
      <c r="F2" s="8" t="inlineStr">
        <is>
          <t>Budget Tracker Template</t>
        </is>
      </c>
    </row>
    <row r="3">
      <c r="A3" s="11" t="inlineStr">
        <is>
          <t>January 2025</t>
        </is>
      </c>
      <c r="B3" s="11" t="n">
        <v>23.8</v>
      </c>
      <c r="C3" s="12" t="n">
        <v>286</v>
      </c>
      <c r="D3" s="12" t="n">
        <v>42.7</v>
      </c>
      <c r="E3" s="11">
        <f>C3-D3</f>
        <v/>
      </c>
      <c r="F3" s="11" t="inlineStr">
        <is>
          <t>Budget Tracker Template</t>
        </is>
      </c>
    </row>
    <row r="4">
      <c r="A4" s="8" t="inlineStr">
        <is>
          <t>January 2026</t>
        </is>
      </c>
      <c r="B4" s="8" t="n">
        <v>44.2</v>
      </c>
      <c r="C4" s="9" t="n">
        <v>530</v>
      </c>
      <c r="D4" s="9" t="n">
        <v>79.3</v>
      </c>
      <c r="E4" s="8">
        <f>C4-D4</f>
        <v/>
      </c>
      <c r="F4" s="8" t="inlineStr"/>
    </row>
    <row r="5">
      <c r="A5" s="11" t="inlineStr">
        <is>
          <t>January 2027</t>
        </is>
      </c>
      <c r="B5" s="11" t="n">
        <v>28.9</v>
      </c>
      <c r="C5" s="12" t="n">
        <v>347</v>
      </c>
      <c r="D5" s="12" t="n">
        <v>51.85</v>
      </c>
      <c r="E5" s="11">
        <f>C5-D5</f>
        <v/>
      </c>
      <c r="F5" s="11" t="inlineStr">
        <is>
          <t>Budget Tracker Template</t>
        </is>
      </c>
    </row>
    <row r="6">
      <c r="A6" s="8" t="inlineStr">
        <is>
          <t>January 2028</t>
        </is>
      </c>
      <c r="B6" s="8" t="n">
        <v>39.1</v>
      </c>
      <c r="C6" s="9" t="n">
        <v>469</v>
      </c>
      <c r="D6" s="9" t="n">
        <v>70.15000000000001</v>
      </c>
      <c r="E6" s="8">
        <f>C6-D6</f>
        <v/>
      </c>
      <c r="F6" s="8" t="inlineStr">
        <is>
          <t>Budget Tracker Template</t>
        </is>
      </c>
    </row>
    <row r="7">
      <c r="A7" s="11" t="inlineStr">
        <is>
          <t>January 2029</t>
        </is>
      </c>
      <c r="B7" s="11" t="n">
        <v>20.4</v>
      </c>
      <c r="C7" s="12" t="n">
        <v>245</v>
      </c>
      <c r="D7" s="12" t="n">
        <v>36.6</v>
      </c>
      <c r="E7" s="11">
        <f>C7-D7</f>
        <v/>
      </c>
      <c r="F7" s="11" t="inlineStr"/>
    </row>
    <row r="8">
      <c r="A8" s="8" t="inlineStr">
        <is>
          <t>January 2030</t>
        </is>
      </c>
      <c r="B8" s="8" t="n">
        <v>49.3</v>
      </c>
      <c r="C8" s="9" t="n">
        <v>592</v>
      </c>
      <c r="D8" s="9" t="n">
        <v>88.45</v>
      </c>
      <c r="E8" s="8">
        <f>C8-D8</f>
        <v/>
      </c>
      <c r="F8" s="8" t="inlineStr">
        <is>
          <t>Budget Tracker Template</t>
        </is>
      </c>
    </row>
    <row r="9">
      <c r="A9" s="11" t="inlineStr">
        <is>
          <t>January 2031</t>
        </is>
      </c>
      <c r="B9" s="11" t="n">
        <v>32.3</v>
      </c>
      <c r="C9" s="12" t="n">
        <v>388</v>
      </c>
      <c r="D9" s="12" t="n">
        <v>57.95</v>
      </c>
      <c r="E9" s="11">
        <f>C9-D9</f>
        <v/>
      </c>
      <c r="F9" s="11" t="inlineStr">
        <is>
          <t>Budget Tracker Template</t>
        </is>
      </c>
    </row>
    <row r="10">
      <c r="A10" s="8" t="inlineStr">
        <is>
          <t>January 2032</t>
        </is>
      </c>
      <c r="B10" s="8" t="n">
        <v>42.5</v>
      </c>
      <c r="C10" s="9" t="n">
        <v>510</v>
      </c>
      <c r="D10" s="9" t="n">
        <v>76.25</v>
      </c>
      <c r="E10" s="8">
        <f>C10-D10</f>
        <v/>
      </c>
      <c r="F10" s="8" t="inlineStr"/>
    </row>
    <row r="11">
      <c r="A11" s="11" t="inlineStr">
        <is>
          <t>January 2033</t>
        </is>
      </c>
      <c r="B11" s="11" t="n">
        <v>27.2</v>
      </c>
      <c r="C11" s="12" t="n">
        <v>326</v>
      </c>
      <c r="D11" s="12" t="n">
        <v>48.8</v>
      </c>
      <c r="E11" s="11">
        <f>C11-D11</f>
        <v/>
      </c>
      <c r="F11" s="11" t="inlineStr">
        <is>
          <t>Budget Tracker Template</t>
        </is>
      </c>
    </row>
    <row r="12">
      <c r="A12" s="8" t="inlineStr">
        <is>
          <t>January 2034</t>
        </is>
      </c>
      <c r="B12" s="8" t="n">
        <v>37.4</v>
      </c>
      <c r="C12" s="9" t="n">
        <v>449</v>
      </c>
      <c r="D12" s="9" t="n">
        <v>67.09999999999999</v>
      </c>
      <c r="E12" s="8">
        <f>C12-D12</f>
        <v/>
      </c>
      <c r="F12" s="8" t="inlineStr">
        <is>
          <t>Budget Tracker Template</t>
        </is>
      </c>
    </row>
    <row r="13">
      <c r="A13" s="11" t="inlineStr">
        <is>
          <t>January 2035</t>
        </is>
      </c>
      <c r="B13" s="11" t="n">
        <v>25.5</v>
      </c>
      <c r="C13" s="12" t="n">
        <v>306</v>
      </c>
      <c r="D13" s="12" t="n">
        <v>45.75</v>
      </c>
      <c r="E13" s="11">
        <f>C13-D13</f>
        <v/>
      </c>
      <c r="F1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4" t="inlineStr">
        <is>
          <t>📈  ANNUAL REPORT</t>
        </is>
      </c>
    </row>
    <row r="4">
      <c r="B4" s="3" t="inlineStr">
        <is>
          <t>Shop Summary</t>
        </is>
      </c>
    </row>
    <row r="5">
      <c r="B5" s="11" t="inlineStr">
        <is>
          <t>Total Sales</t>
        </is>
      </c>
      <c r="C5" s="25">
        <f>COUNTA(Sales!A:A)-1</f>
        <v/>
      </c>
    </row>
    <row r="6">
      <c r="B6" s="8" t="inlineStr">
        <is>
          <t>Gross Revenue</t>
        </is>
      </c>
      <c r="C6" s="26">
        <f>SUM(Sales!E:E)</f>
        <v/>
      </c>
    </row>
    <row r="7">
      <c r="B7" s="11" t="inlineStr">
        <is>
          <t>Net Revenue</t>
        </is>
      </c>
      <c r="C7" s="25">
        <f>SUM(Sales!G:G)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2026-07-16T21:44:37Z</dcterms:created>
  <dcterms:modified xsi:type="dcterms:W3CDTF">2026-07-16T21:44:37Z</dcterms:modified>
</cp:coreProperties>
</file>