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ubjects" sheetId="2" state="visible" r:id="rId2"/>
    <sheet name="Dashboard" sheetId="3" state="visible" r:id="rId3"/>
    <sheet name="Lessons" sheetId="4" state="visible" r:id="rId4"/>
    <sheet name="Grades" sheetId="5" state="visible" r:id="rId5"/>
    <sheet name="Schedu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2E1065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7C3AED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E1065"/>
      </patternFill>
    </fill>
    <fill>
      <patternFill patternType="solid">
        <fgColor rgb="00FFF7F0"/>
      </patternFill>
    </fill>
    <fill>
      <patternFill patternType="solid">
        <fgColor rgb="007C3AED"/>
      </patternFill>
    </fill>
    <fill>
      <patternFill patternType="solid">
        <fgColor rgb="0015803D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🏫  HOMESCHOOL CURRICULUM PLANNER</t>
        </is>
      </c>
    </row>
    <row r="3"/>
    <row r="4">
      <c r="B4" s="2" t="inlineStr">
        <is>
          <t>Lesson Plans, Grades &amp; Schedule Google Sheets</t>
        </is>
      </c>
    </row>
    <row r="6">
      <c r="B6" s="3" t="inlineStr">
        <is>
          <t>STEP 1 — Fill in “Subjects”</t>
        </is>
      </c>
    </row>
    <row r="7" ht="28" customHeight="1">
      <c r="B7" s="4" t="inlineStr">
        <is>
          <t>Curriculum subjects with curriculum choice and annual hours.</t>
        </is>
      </c>
    </row>
    <row r="9">
      <c r="B9" s="3" t="inlineStr">
        <is>
          <t>STEP 2 — Fill in “Lessons”</t>
        </is>
      </c>
    </row>
    <row r="10" ht="28" customHeight="1">
      <c r="B10" s="4" t="inlineStr">
        <is>
          <t>Lesson plan: all lessons with date, subject, and completion.</t>
        </is>
      </c>
    </row>
    <row r="12">
      <c r="B12" s="3" t="inlineStr">
        <is>
          <t>STEP 3 — Fill in “Grades”</t>
        </is>
      </c>
    </row>
    <row r="13" ht="28" customHeight="1">
      <c r="B13" s="4" t="inlineStr">
        <is>
          <t>Grade tracker for all subjects with letter grades.</t>
        </is>
      </c>
    </row>
    <row r="15">
      <c r="B15" s="3" t="inlineStr">
        <is>
          <t>STEP 4 — Fill in “Schedule”</t>
        </is>
      </c>
    </row>
    <row r="16" ht="28" customHeight="1">
      <c r="B16" s="4" t="inlineStr">
        <is>
          <t>Weekly schedule: time blocks for each subject.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14" customWidth="1" min="4" max="4"/>
    <col width="16" customWidth="1" min="5" max="5"/>
  </cols>
  <sheetData>
    <row r="1">
      <c r="A1" s="6" t="inlineStr">
        <is>
          <t>Subject</t>
        </is>
      </c>
      <c r="B1" s="6" t="inlineStr">
        <is>
          <t>Curriculum</t>
        </is>
      </c>
      <c r="C1" s="6" t="inlineStr">
        <is>
          <t>Annual Hours</t>
        </is>
      </c>
      <c r="D1" s="6" t="inlineStr">
        <is>
          <t>Days/Week</t>
        </is>
      </c>
      <c r="E1" s="6" t="inlineStr">
        <is>
          <t>Status</t>
        </is>
      </c>
    </row>
    <row r="2">
      <c r="A2" s="7" t="inlineStr">
        <is>
          <t>Mathematics</t>
        </is>
      </c>
      <c r="B2" s="7" t="inlineStr">
        <is>
          <t>Saxon Math 7/6</t>
        </is>
      </c>
      <c r="C2" s="7" t="n">
        <v>180</v>
      </c>
      <c r="D2" s="7" t="n">
        <v>5</v>
      </c>
      <c r="E2" s="7" t="inlineStr">
        <is>
          <t>Active</t>
        </is>
      </c>
    </row>
    <row r="3">
      <c r="A3" s="8" t="inlineStr">
        <is>
          <t>Mathematics</t>
        </is>
      </c>
      <c r="B3" s="8" t="inlineStr">
        <is>
          <t>Saxon Math 7/7</t>
        </is>
      </c>
      <c r="C3" s="8" t="n">
        <v>126</v>
      </c>
      <c r="D3" s="8" t="n">
        <v>3.5</v>
      </c>
      <c r="E3" s="8" t="inlineStr">
        <is>
          <t>Complete</t>
        </is>
      </c>
    </row>
    <row r="4">
      <c r="A4" s="7" t="inlineStr"/>
      <c r="B4" s="7" t="inlineStr">
        <is>
          <t>Saxon Math 7/8</t>
        </is>
      </c>
      <c r="C4" s="7" t="n">
        <v>234</v>
      </c>
      <c r="D4" s="7" t="n">
        <v>6.5</v>
      </c>
      <c r="E4" s="7" t="inlineStr">
        <is>
          <t>Paused</t>
        </is>
      </c>
    </row>
    <row r="5">
      <c r="A5" s="8" t="inlineStr">
        <is>
          <t>Mathematics</t>
        </is>
      </c>
      <c r="B5" s="8" t="inlineStr">
        <is>
          <t>Saxon Math 7/9</t>
        </is>
      </c>
      <c r="C5" s="8" t="n">
        <v>153</v>
      </c>
      <c r="D5" s="8" t="n">
        <v>4.25</v>
      </c>
      <c r="E5" s="8" t="inlineStr">
        <is>
          <t>Not Started</t>
        </is>
      </c>
    </row>
    <row r="6">
      <c r="A6" s="7" t="inlineStr">
        <is>
          <t>Mathematics</t>
        </is>
      </c>
      <c r="B6" s="7" t="inlineStr">
        <is>
          <t>Saxon Math 7/10</t>
        </is>
      </c>
      <c r="C6" s="7" t="n">
        <v>207</v>
      </c>
      <c r="D6" s="7" t="n">
        <v>5.75</v>
      </c>
      <c r="E6" s="7" t="inlineStr">
        <is>
          <t>Active</t>
        </is>
      </c>
    </row>
    <row r="7">
      <c r="A7" s="8" t="inlineStr"/>
      <c r="B7" s="8" t="inlineStr">
        <is>
          <t>Saxon Math 7/11</t>
        </is>
      </c>
      <c r="C7" s="8" t="n">
        <v>108</v>
      </c>
      <c r="D7" s="8" t="n">
        <v>3</v>
      </c>
      <c r="E7" s="8" t="inlineStr">
        <is>
          <t>Complete</t>
        </is>
      </c>
    </row>
    <row r="8">
      <c r="A8" s="7" t="inlineStr">
        <is>
          <t>Mathematics</t>
        </is>
      </c>
      <c r="B8" s="7" t="inlineStr">
        <is>
          <t>Saxon Math 7/12</t>
        </is>
      </c>
      <c r="C8" s="7" t="n">
        <v>261</v>
      </c>
      <c r="D8" s="7" t="n">
        <v>7.25</v>
      </c>
      <c r="E8" s="7" t="inlineStr">
        <is>
          <t>Paused</t>
        </is>
      </c>
    </row>
    <row r="9">
      <c r="A9" s="8" t="inlineStr">
        <is>
          <t>Mathematics</t>
        </is>
      </c>
      <c r="B9" s="8" t="inlineStr">
        <is>
          <t>Saxon Math 7/13</t>
        </is>
      </c>
      <c r="C9" s="8" t="n">
        <v>171</v>
      </c>
      <c r="D9" s="8" t="n">
        <v>4.75</v>
      </c>
      <c r="E9" s="8" t="inlineStr">
        <is>
          <t>Not Started</t>
        </is>
      </c>
    </row>
    <row r="10">
      <c r="A10" s="7" t="inlineStr"/>
      <c r="B10" s="7" t="inlineStr">
        <is>
          <t>Saxon Math 7/14</t>
        </is>
      </c>
      <c r="C10" s="7" t="n">
        <v>225</v>
      </c>
      <c r="D10" s="7" t="n">
        <v>6.25</v>
      </c>
      <c r="E10" s="7" t="inlineStr">
        <is>
          <t>Active</t>
        </is>
      </c>
    </row>
    <row r="11">
      <c r="A11" s="8" t="inlineStr">
        <is>
          <t>Mathematics</t>
        </is>
      </c>
      <c r="B11" s="8" t="inlineStr">
        <is>
          <t>Saxon Math 7/15</t>
        </is>
      </c>
      <c r="C11" s="8" t="n">
        <v>144</v>
      </c>
      <c r="D11" s="8" t="n">
        <v>4</v>
      </c>
      <c r="E11" s="8" t="inlineStr">
        <is>
          <t>Complete</t>
        </is>
      </c>
    </row>
    <row r="12">
      <c r="A12" s="7" t="inlineStr">
        <is>
          <t>Mathematics</t>
        </is>
      </c>
      <c r="B12" s="7" t="inlineStr">
        <is>
          <t>Saxon Math 7/16</t>
        </is>
      </c>
      <c r="C12" s="7" t="n">
        <v>198</v>
      </c>
      <c r="D12" s="7" t="n">
        <v>5.5</v>
      </c>
      <c r="E12" s="7" t="inlineStr">
        <is>
          <t>Paused</t>
        </is>
      </c>
    </row>
    <row r="13">
      <c r="A13" s="8" t="inlineStr"/>
      <c r="B13" s="8" t="inlineStr">
        <is>
          <t>Saxon Math 7/17</t>
        </is>
      </c>
      <c r="C13" s="8" t="n">
        <v>135</v>
      </c>
      <c r="D13" s="8" t="n">
        <v>3.75</v>
      </c>
      <c r="E13" s="8" t="inlineStr">
        <is>
          <t>Not Started</t>
        </is>
      </c>
    </row>
  </sheetData>
  <dataValidations count="1">
    <dataValidation sqref="E2:E500" showDropDown="0" showInputMessage="0" showErrorMessage="0" allowBlank="1" type="list">
      <formula1>"Active,Complete,Paused,Not Started"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HOMESCHOOL CURRICULUM PLANNER — DASHBOARD</t>
        </is>
      </c>
    </row>
    <row r="4">
      <c r="B4" s="10" t="inlineStr">
        <is>
          <t>SUBJECTS ACTIVE</t>
        </is>
      </c>
      <c r="D4" s="11" t="inlineStr">
        <is>
          <t>LESSONS DONE</t>
        </is>
      </c>
      <c r="F4" s="12" t="inlineStr">
        <is>
          <t>TOTAL HOURS</t>
        </is>
      </c>
      <c r="H4" s="13" t="inlineStr">
        <is>
          <t>GPA</t>
        </is>
      </c>
    </row>
    <row r="5" ht="26" customHeight="1">
      <c r="B5" s="14">
        <f>COUNTA(Subjects!A:A)-1</f>
        <v/>
      </c>
      <c r="D5" s="15">
        <f>COUNTIF(Lessons!E:E,"Done")</f>
        <v/>
      </c>
      <c r="F5" s="16">
        <f>SUM(Log!C:C)</f>
        <v/>
      </c>
      <c r="H5" s="17">
        <f>AVERAGE(Grades!E:E)</f>
        <v/>
      </c>
    </row>
    <row r="8">
      <c r="B8" s="18" t="inlineStr">
        <is>
          <t>WHAT'S INSIDE</t>
        </is>
      </c>
    </row>
    <row r="9">
      <c r="B9" s="19" t="inlineStr">
        <is>
          <t>📚  Subjects — Curriculum subjects with curriculum choice and annual hours.</t>
        </is>
      </c>
    </row>
    <row r="10">
      <c r="B10" s="19" t="inlineStr">
        <is>
          <t>📖  Lessons — Lesson plan: all lessons with date, subject, and completion.</t>
        </is>
      </c>
    </row>
    <row r="11">
      <c r="B11" s="19" t="inlineStr">
        <is>
          <t>🎯  Grades — Grade tracker for all subjects with letter grades.</t>
        </is>
      </c>
    </row>
    <row r="12">
      <c r="B12" s="19" t="inlineStr">
        <is>
          <t>📅  Schedule — Weekly schedule: time blocks for each subject.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2" customWidth="1" min="3" max="3"/>
    <col width="16" customWidth="1" min="4" max="4"/>
    <col width="16" customWidth="1" min="5" max="5"/>
    <col width="28" customWidth="1" min="6" max="6"/>
  </cols>
  <sheetData>
    <row r="1">
      <c r="A1" s="6" t="inlineStr">
        <is>
          <t>Date</t>
        </is>
      </c>
      <c r="B1" s="6" t="inlineStr">
        <is>
          <t>Subject</t>
        </is>
      </c>
      <c r="C1" s="6" t="inlineStr">
        <is>
          <t>Lesson</t>
        </is>
      </c>
      <c r="D1" s="6" t="inlineStr">
        <is>
          <t>Duration (min)</t>
        </is>
      </c>
      <c r="E1" s="6" t="inlineStr">
        <is>
          <t>Status</t>
        </is>
      </c>
      <c r="F1" s="6" t="inlineStr">
        <is>
          <t>Notes</t>
        </is>
      </c>
    </row>
    <row r="2">
      <c r="A2" s="20" t="n">
        <v>46174</v>
      </c>
      <c r="B2" s="7" t="inlineStr">
        <is>
          <t>Mathematics</t>
        </is>
      </c>
      <c r="C2" s="7" t="inlineStr">
        <is>
          <t>Lesson 45: Fractions</t>
        </is>
      </c>
      <c r="D2" s="7" t="n">
        <v>45</v>
      </c>
      <c r="E2" s="7" t="inlineStr">
        <is>
          <t>Planned</t>
        </is>
      </c>
      <c r="F2" s="7" t="inlineStr"/>
    </row>
    <row r="3">
      <c r="A3" s="21" t="n">
        <v>46180</v>
      </c>
      <c r="B3" s="8" t="inlineStr">
        <is>
          <t>Mathematics</t>
        </is>
      </c>
      <c r="C3" s="8" t="inlineStr">
        <is>
          <t>Lesson 45: Fractions</t>
        </is>
      </c>
      <c r="D3" s="8" t="n">
        <v>31.5</v>
      </c>
      <c r="E3" s="8" t="inlineStr">
        <is>
          <t>In Progress</t>
        </is>
      </c>
      <c r="F3" s="8" t="inlineStr">
        <is>
          <t>Paid</t>
        </is>
      </c>
    </row>
    <row r="4">
      <c r="A4" s="20" t="n">
        <v>46186</v>
      </c>
      <c r="B4" s="7" t="inlineStr"/>
      <c r="C4" s="7" t="inlineStr"/>
      <c r="D4" s="7" t="n">
        <v>58.5</v>
      </c>
      <c r="E4" s="7" t="inlineStr">
        <is>
          <t>Done</t>
        </is>
      </c>
      <c r="F4" s="7" t="inlineStr">
        <is>
          <t>Urgent</t>
        </is>
      </c>
    </row>
    <row r="5">
      <c r="A5" s="21" t="n">
        <v>46189</v>
      </c>
      <c r="B5" s="8" t="inlineStr">
        <is>
          <t>Mathematics</t>
        </is>
      </c>
      <c r="C5" s="8" t="inlineStr">
        <is>
          <t>Lesson 45: Fractions</t>
        </is>
      </c>
      <c r="D5" s="8" t="n">
        <v>38.25</v>
      </c>
      <c r="E5" s="8" t="inlineStr">
        <is>
          <t>Skipped</t>
        </is>
      </c>
      <c r="F5" s="8" t="inlineStr">
        <is>
          <t>Follow up Friday</t>
        </is>
      </c>
    </row>
    <row r="6">
      <c r="A6" s="20" t="n">
        <v>46195</v>
      </c>
      <c r="B6" s="7" t="inlineStr">
        <is>
          <t>Mathematics</t>
        </is>
      </c>
      <c r="C6" s="7" t="inlineStr">
        <is>
          <t>Lesson 45: Fractions</t>
        </is>
      </c>
      <c r="D6" s="7" t="n">
        <v>51.75</v>
      </c>
      <c r="E6" s="7" t="inlineStr">
        <is>
          <t>Planned</t>
        </is>
      </c>
      <c r="F6" s="7" t="inlineStr"/>
    </row>
    <row r="7">
      <c r="A7" s="21" t="n">
        <v>46201</v>
      </c>
      <c r="B7" s="8" t="inlineStr"/>
      <c r="C7" s="8" t="inlineStr"/>
      <c r="D7" s="8" t="n">
        <v>27</v>
      </c>
      <c r="E7" s="8" t="inlineStr">
        <is>
          <t>In Progress</t>
        </is>
      </c>
      <c r="F7" s="8" t="inlineStr">
        <is>
          <t>Monthly</t>
        </is>
      </c>
    </row>
    <row r="8">
      <c r="A8" s="20" t="n">
        <v>46176</v>
      </c>
      <c r="B8" s="7" t="inlineStr">
        <is>
          <t>Mathematics</t>
        </is>
      </c>
      <c r="C8" s="7" t="inlineStr">
        <is>
          <t>Lesson 45: Fractions</t>
        </is>
      </c>
      <c r="D8" s="7" t="n">
        <v>65.25</v>
      </c>
      <c r="E8" s="7" t="inlineStr">
        <is>
          <t>Done</t>
        </is>
      </c>
      <c r="F8" s="7" t="inlineStr">
        <is>
          <t>Confirmed</t>
        </is>
      </c>
    </row>
    <row r="9">
      <c r="A9" s="21" t="n">
        <v>46182</v>
      </c>
      <c r="B9" s="8" t="inlineStr">
        <is>
          <t>Mathematics</t>
        </is>
      </c>
      <c r="C9" s="8" t="inlineStr">
        <is>
          <t>Lesson 45: Fractions</t>
        </is>
      </c>
      <c r="D9" s="8" t="n">
        <v>42.75</v>
      </c>
      <c r="E9" s="8" t="inlineStr">
        <is>
          <t>Skipped</t>
        </is>
      </c>
      <c r="F9" s="8" t="inlineStr"/>
    </row>
    <row r="10">
      <c r="A10" s="20" t="n">
        <v>46188</v>
      </c>
      <c r="B10" s="7" t="inlineStr"/>
      <c r="C10" s="7" t="inlineStr"/>
      <c r="D10" s="7" t="n">
        <v>56.25</v>
      </c>
      <c r="E10" s="7" t="inlineStr">
        <is>
          <t>Planned</t>
        </is>
      </c>
      <c r="F10" s="7" t="inlineStr">
        <is>
          <t>Waiting reply</t>
        </is>
      </c>
    </row>
    <row r="11">
      <c r="A11" s="21" t="n">
        <v>46191</v>
      </c>
      <c r="B11" s="8" t="inlineStr">
        <is>
          <t>Mathematics</t>
        </is>
      </c>
      <c r="C11" s="8" t="inlineStr">
        <is>
          <t>Lesson 45: Fractions</t>
        </is>
      </c>
      <c r="D11" s="8" t="n">
        <v>36</v>
      </c>
      <c r="E11" s="8" t="inlineStr">
        <is>
          <t>In Progress</t>
        </is>
      </c>
      <c r="F11" s="8" t="inlineStr">
        <is>
          <t>Done early</t>
        </is>
      </c>
    </row>
    <row r="12">
      <c r="A12" s="20" t="n">
        <v>46197</v>
      </c>
      <c r="B12" s="7" t="inlineStr">
        <is>
          <t>Mathematics</t>
        </is>
      </c>
      <c r="C12" s="7" t="inlineStr">
        <is>
          <t>Lesson 45: Fractions</t>
        </is>
      </c>
      <c r="D12" s="7" t="n">
        <v>49.5</v>
      </c>
      <c r="E12" s="7" t="inlineStr">
        <is>
          <t>Done</t>
        </is>
      </c>
      <c r="F12" s="7" t="inlineStr"/>
    </row>
    <row r="13">
      <c r="A13" s="21" t="n">
        <v>46175</v>
      </c>
      <c r="B13" s="8" t="inlineStr"/>
      <c r="C13" s="8" t="inlineStr"/>
      <c r="D13" s="8" t="n">
        <v>33.75</v>
      </c>
      <c r="E13" s="8" t="inlineStr">
        <is>
          <t>Skipped</t>
        </is>
      </c>
      <c r="F13" s="8" t="inlineStr">
        <is>
          <t>Recheck</t>
        </is>
      </c>
    </row>
  </sheetData>
  <dataValidations count="1">
    <dataValidation sqref="E2:E500" showDropDown="0" showInputMessage="0" showErrorMessage="0" allowBlank="1" type="list">
      <formula1>"Planned,In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2" customWidth="1" min="4" max="4"/>
    <col width="14" customWidth="1" min="5" max="5"/>
    <col width="12" customWidth="1" min="6" max="6"/>
  </cols>
  <sheetData>
    <row r="1">
      <c r="A1" s="6" t="inlineStr">
        <is>
          <t>Subject</t>
        </is>
      </c>
      <c r="B1" s="6" t="inlineStr">
        <is>
          <t>Assignment</t>
        </is>
      </c>
      <c r="C1" s="6" t="inlineStr">
        <is>
          <t>Date</t>
        </is>
      </c>
      <c r="D1" s="6" t="inlineStr">
        <is>
          <t>Score</t>
        </is>
      </c>
      <c r="E1" s="6" t="inlineStr">
        <is>
          <t>GPA Points</t>
        </is>
      </c>
      <c r="F1" s="6" t="inlineStr">
        <is>
          <t>Letter</t>
        </is>
      </c>
    </row>
    <row r="2">
      <c r="A2" s="7" t="inlineStr">
        <is>
          <t>Mathematics</t>
        </is>
      </c>
      <c r="B2" s="7" t="inlineStr">
        <is>
          <t>Chapter 5 Test</t>
        </is>
      </c>
      <c r="C2" s="20" t="n">
        <v>46174</v>
      </c>
      <c r="D2" s="7" t="n">
        <v>88</v>
      </c>
      <c r="E2" s="7">
        <f>IF(D2&gt;=90,4,IF(D2&gt;=80,3,IF(D2&gt;=70,2,1)))</f>
        <v/>
      </c>
      <c r="F2" s="7">
        <f>IF(D2&gt;=90,"A",IF(D2&gt;=80,"B",IF(D2&gt;=70,"C","D")))</f>
        <v/>
      </c>
    </row>
    <row r="3">
      <c r="A3" s="8" t="inlineStr">
        <is>
          <t>Mathematics</t>
        </is>
      </c>
      <c r="B3" s="8" t="inlineStr">
        <is>
          <t>Chapter 5 Test</t>
        </is>
      </c>
      <c r="C3" s="21" t="n">
        <v>46180</v>
      </c>
      <c r="D3" s="8" t="n">
        <v>61.6</v>
      </c>
      <c r="E3" s="8">
        <f>IF(D3&gt;=90,4,IF(D3&gt;=80,3,IF(D3&gt;=70,2,1)))</f>
        <v/>
      </c>
      <c r="F3" s="8">
        <f>IF(D3&gt;=90,"A",IF(D3&gt;=80,"B",IF(D3&gt;=70,"C","D")))</f>
        <v/>
      </c>
    </row>
    <row r="4">
      <c r="A4" s="7" t="inlineStr"/>
      <c r="B4" s="7" t="inlineStr"/>
      <c r="C4" s="20" t="n">
        <v>46186</v>
      </c>
      <c r="D4" s="7" t="n">
        <v>114.4</v>
      </c>
      <c r="E4" s="7">
        <f>IF(D4&gt;=90,4,IF(D4&gt;=80,3,IF(D4&gt;=70,2,1)))</f>
        <v/>
      </c>
      <c r="F4" s="7">
        <f>IF(D4&gt;=90,"A",IF(D4&gt;=80,"B",IF(D4&gt;=70,"C","D")))</f>
        <v/>
      </c>
    </row>
    <row r="5">
      <c r="A5" s="8" t="inlineStr">
        <is>
          <t>Mathematics</t>
        </is>
      </c>
      <c r="B5" s="8" t="inlineStr">
        <is>
          <t>Chapter 5 Test</t>
        </is>
      </c>
      <c r="C5" s="21" t="n">
        <v>46189</v>
      </c>
      <c r="D5" s="8" t="n">
        <v>74.8</v>
      </c>
      <c r="E5" s="8">
        <f>IF(D5&gt;=90,4,IF(D5&gt;=80,3,IF(D5&gt;=70,2,1)))</f>
        <v/>
      </c>
      <c r="F5" s="8">
        <f>IF(D5&gt;=90,"A",IF(D5&gt;=80,"B",IF(D5&gt;=70,"C","D")))</f>
        <v/>
      </c>
    </row>
    <row r="6">
      <c r="A6" s="7" t="inlineStr">
        <is>
          <t>Mathematics</t>
        </is>
      </c>
      <c r="B6" s="7" t="inlineStr">
        <is>
          <t>Chapter 5 Test</t>
        </is>
      </c>
      <c r="C6" s="20" t="n">
        <v>46195</v>
      </c>
      <c r="D6" s="7" t="n">
        <v>101.2</v>
      </c>
      <c r="E6" s="7">
        <f>IF(D6&gt;=90,4,IF(D6&gt;=80,3,IF(D6&gt;=70,2,1)))</f>
        <v/>
      </c>
      <c r="F6" s="7">
        <f>IF(D6&gt;=90,"A",IF(D6&gt;=80,"B",IF(D6&gt;=70,"C","D")))</f>
        <v/>
      </c>
    </row>
    <row r="7">
      <c r="A7" s="8" t="inlineStr"/>
      <c r="B7" s="8" t="inlineStr"/>
      <c r="C7" s="21" t="n">
        <v>46201</v>
      </c>
      <c r="D7" s="8" t="n">
        <v>52.8</v>
      </c>
      <c r="E7" s="8">
        <f>IF(D7&gt;=90,4,IF(D7&gt;=80,3,IF(D7&gt;=70,2,1)))</f>
        <v/>
      </c>
      <c r="F7" s="8">
        <f>IF(D7&gt;=90,"A",IF(D7&gt;=80,"B",IF(D7&gt;=70,"C","D")))</f>
        <v/>
      </c>
    </row>
    <row r="8">
      <c r="A8" s="7" t="inlineStr">
        <is>
          <t>Mathematics</t>
        </is>
      </c>
      <c r="B8" s="7" t="inlineStr">
        <is>
          <t>Chapter 5 Test</t>
        </is>
      </c>
      <c r="C8" s="20" t="n">
        <v>46176</v>
      </c>
      <c r="D8" s="7" t="n">
        <v>127.6</v>
      </c>
      <c r="E8" s="7">
        <f>IF(D8&gt;=90,4,IF(D8&gt;=80,3,IF(D8&gt;=70,2,1)))</f>
        <v/>
      </c>
      <c r="F8" s="7">
        <f>IF(D8&gt;=90,"A",IF(D8&gt;=80,"B",IF(D8&gt;=70,"C","D")))</f>
        <v/>
      </c>
    </row>
    <row r="9">
      <c r="A9" s="8" t="inlineStr">
        <is>
          <t>Mathematics</t>
        </is>
      </c>
      <c r="B9" s="8" t="inlineStr">
        <is>
          <t>Chapter 5 Test</t>
        </is>
      </c>
      <c r="C9" s="21" t="n">
        <v>46182</v>
      </c>
      <c r="D9" s="8" t="n">
        <v>83.59999999999999</v>
      </c>
      <c r="E9" s="8">
        <f>IF(D9&gt;=90,4,IF(D9&gt;=80,3,IF(D9&gt;=70,2,1)))</f>
        <v/>
      </c>
      <c r="F9" s="8">
        <f>IF(D9&gt;=90,"A",IF(D9&gt;=80,"B",IF(D9&gt;=70,"C","D")))</f>
        <v/>
      </c>
    </row>
    <row r="10">
      <c r="A10" s="7" t="inlineStr"/>
      <c r="B10" s="7" t="inlineStr"/>
      <c r="C10" s="20" t="n">
        <v>46188</v>
      </c>
      <c r="D10" s="7" t="n">
        <v>110</v>
      </c>
      <c r="E10" s="7">
        <f>IF(D10&gt;=90,4,IF(D10&gt;=80,3,IF(D10&gt;=70,2,1)))</f>
        <v/>
      </c>
      <c r="F10" s="7">
        <f>IF(D10&gt;=90,"A",IF(D10&gt;=80,"B",IF(D10&gt;=70,"C","D")))</f>
        <v/>
      </c>
    </row>
    <row r="11">
      <c r="A11" s="8" t="inlineStr">
        <is>
          <t>Mathematics</t>
        </is>
      </c>
      <c r="B11" s="8" t="inlineStr">
        <is>
          <t>Chapter 5 Test</t>
        </is>
      </c>
      <c r="C11" s="21" t="n">
        <v>46191</v>
      </c>
      <c r="D11" s="8" t="n">
        <v>70.40000000000001</v>
      </c>
      <c r="E11" s="8">
        <f>IF(D11&gt;=90,4,IF(D11&gt;=80,3,IF(D11&gt;=70,2,1)))</f>
        <v/>
      </c>
      <c r="F11" s="8">
        <f>IF(D11&gt;=90,"A",IF(D11&gt;=80,"B",IF(D11&gt;=70,"C","D")))</f>
        <v/>
      </c>
    </row>
    <row r="12">
      <c r="A12" s="7" t="inlineStr">
        <is>
          <t>Mathematics</t>
        </is>
      </c>
      <c r="B12" s="7" t="inlineStr">
        <is>
          <t>Chapter 5 Test</t>
        </is>
      </c>
      <c r="C12" s="20" t="n">
        <v>46197</v>
      </c>
      <c r="D12" s="7" t="n">
        <v>96.8</v>
      </c>
      <c r="E12" s="7">
        <f>IF(D12&gt;=90,4,IF(D12&gt;=80,3,IF(D12&gt;=70,2,1)))</f>
        <v/>
      </c>
      <c r="F12" s="7">
        <f>IF(D12&gt;=90,"A",IF(D12&gt;=80,"B",IF(D12&gt;=70,"C","D")))</f>
        <v/>
      </c>
    </row>
    <row r="13">
      <c r="A13" s="8" t="inlineStr"/>
      <c r="B13" s="8" t="inlineStr"/>
      <c r="C13" s="21" t="n">
        <v>46175</v>
      </c>
      <c r="D13" s="8" t="n">
        <v>66</v>
      </c>
      <c r="E13" s="8">
        <f>IF(D13&gt;=90,4,IF(D13&gt;=80,3,IF(D13&gt;=70,2,1)))</f>
        <v/>
      </c>
      <c r="F13" s="8">
        <f>IF(D13&gt;=90,"A",IF(D13&gt;=80,"B",IF(D13&gt;=70,"C","D")))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6" t="inlineStr">
        <is>
          <t>Time</t>
        </is>
      </c>
      <c r="B1" s="6" t="inlineStr">
        <is>
          <t>Monday</t>
        </is>
      </c>
      <c r="C1" s="6" t="inlineStr">
        <is>
          <t>Tuesday</t>
        </is>
      </c>
      <c r="D1" s="6" t="inlineStr">
        <is>
          <t>Wednesday</t>
        </is>
      </c>
      <c r="E1" s="6" t="inlineStr">
        <is>
          <t>Thursday</t>
        </is>
      </c>
      <c r="F1" s="6" t="inlineStr">
        <is>
          <t>Friday</t>
        </is>
      </c>
    </row>
    <row r="2">
      <c r="A2" s="7" t="inlineStr">
        <is>
          <t>8:00 AM</t>
        </is>
      </c>
      <c r="B2" s="7" t="inlineStr">
        <is>
          <t>Math</t>
        </is>
      </c>
      <c r="C2" s="7" t="inlineStr">
        <is>
          <t>History</t>
        </is>
      </c>
      <c r="D2" s="7" t="inlineStr">
        <is>
          <t>Science</t>
        </is>
      </c>
      <c r="E2" s="7" t="inlineStr">
        <is>
          <t>Language Arts</t>
        </is>
      </c>
      <c r="F2" s="7" t="inlineStr">
        <is>
          <t>Art &amp; PE</t>
        </is>
      </c>
    </row>
    <row r="3">
      <c r="A3" s="8" t="inlineStr">
        <is>
          <t>8:00 AM</t>
        </is>
      </c>
      <c r="B3" s="8" t="inlineStr">
        <is>
          <t>Math</t>
        </is>
      </c>
      <c r="C3" s="8" t="inlineStr">
        <is>
          <t>History</t>
        </is>
      </c>
      <c r="D3" s="8" t="inlineStr">
        <is>
          <t>Science</t>
        </is>
      </c>
      <c r="E3" s="8" t="inlineStr">
        <is>
          <t>Language Arts</t>
        </is>
      </c>
      <c r="F3" s="8" t="inlineStr">
        <is>
          <t>Art &amp; PE</t>
        </is>
      </c>
    </row>
    <row r="4">
      <c r="A4" s="7" t="inlineStr"/>
      <c r="B4" s="7" t="inlineStr"/>
      <c r="C4" s="7" t="inlineStr"/>
      <c r="D4" s="7" t="inlineStr"/>
      <c r="E4" s="7" t="inlineStr"/>
      <c r="F4" s="7" t="inlineStr"/>
    </row>
    <row r="5">
      <c r="A5" s="8" t="inlineStr">
        <is>
          <t>8:00 AM</t>
        </is>
      </c>
      <c r="B5" s="8" t="inlineStr">
        <is>
          <t>Math</t>
        </is>
      </c>
      <c r="C5" s="8" t="inlineStr">
        <is>
          <t>History</t>
        </is>
      </c>
      <c r="D5" s="8" t="inlineStr">
        <is>
          <t>Science</t>
        </is>
      </c>
      <c r="E5" s="8" t="inlineStr">
        <is>
          <t>Language Arts</t>
        </is>
      </c>
      <c r="F5" s="8" t="inlineStr">
        <is>
          <t>Art &amp; PE</t>
        </is>
      </c>
    </row>
    <row r="6">
      <c r="A6" s="7" t="inlineStr">
        <is>
          <t>8:00 AM</t>
        </is>
      </c>
      <c r="B6" s="7" t="inlineStr">
        <is>
          <t>Math</t>
        </is>
      </c>
      <c r="C6" s="7" t="inlineStr">
        <is>
          <t>History</t>
        </is>
      </c>
      <c r="D6" s="7" t="inlineStr">
        <is>
          <t>Science</t>
        </is>
      </c>
      <c r="E6" s="7" t="inlineStr">
        <is>
          <t>Language Arts</t>
        </is>
      </c>
      <c r="F6" s="7" t="inlineStr">
        <is>
          <t>Art &amp; PE</t>
        </is>
      </c>
    </row>
    <row r="7">
      <c r="A7" s="8" t="inlineStr"/>
      <c r="B7" s="8" t="inlineStr"/>
      <c r="C7" s="8" t="inlineStr"/>
      <c r="D7" s="8" t="inlineStr"/>
      <c r="E7" s="8" t="inlineStr"/>
      <c r="F7" s="8" t="inlineStr"/>
    </row>
    <row r="8">
      <c r="A8" s="7" t="inlineStr">
        <is>
          <t>8:00 AM</t>
        </is>
      </c>
      <c r="B8" s="7" t="inlineStr">
        <is>
          <t>Math</t>
        </is>
      </c>
      <c r="C8" s="7" t="inlineStr">
        <is>
          <t>History</t>
        </is>
      </c>
      <c r="D8" s="7" t="inlineStr">
        <is>
          <t>Science</t>
        </is>
      </c>
      <c r="E8" s="7" t="inlineStr">
        <is>
          <t>Language Arts</t>
        </is>
      </c>
      <c r="F8" s="7" t="inlineStr">
        <is>
          <t>Art &amp; PE</t>
        </is>
      </c>
    </row>
    <row r="9">
      <c r="A9" s="8" t="inlineStr">
        <is>
          <t>8:00 AM</t>
        </is>
      </c>
      <c r="B9" s="8" t="inlineStr">
        <is>
          <t>Math</t>
        </is>
      </c>
      <c r="C9" s="8" t="inlineStr">
        <is>
          <t>History</t>
        </is>
      </c>
      <c r="D9" s="8" t="inlineStr">
        <is>
          <t>Science</t>
        </is>
      </c>
      <c r="E9" s="8" t="inlineStr">
        <is>
          <t>Language Arts</t>
        </is>
      </c>
      <c r="F9" s="8" t="inlineStr">
        <is>
          <t>Art &amp; PE</t>
        </is>
      </c>
    </row>
    <row r="10">
      <c r="A10" s="7" t="inlineStr"/>
      <c r="B10" s="7" t="inlineStr"/>
      <c r="C10" s="7" t="inlineStr"/>
      <c r="D10" s="7" t="inlineStr"/>
      <c r="E10" s="7" t="inlineStr"/>
      <c r="F10" s="7" t="inlineStr"/>
    </row>
    <row r="11">
      <c r="A11" s="8" t="inlineStr">
        <is>
          <t>8:00 AM</t>
        </is>
      </c>
      <c r="B11" s="8" t="inlineStr">
        <is>
          <t>Math</t>
        </is>
      </c>
      <c r="C11" s="8" t="inlineStr">
        <is>
          <t>History</t>
        </is>
      </c>
      <c r="D11" s="8" t="inlineStr">
        <is>
          <t>Science</t>
        </is>
      </c>
      <c r="E11" s="8" t="inlineStr">
        <is>
          <t>Language Arts</t>
        </is>
      </c>
      <c r="F11" s="8" t="inlineStr">
        <is>
          <t>Art &amp; PE</t>
        </is>
      </c>
    </row>
    <row r="12">
      <c r="A12" s="7" t="inlineStr">
        <is>
          <t>8:00 AM</t>
        </is>
      </c>
      <c r="B12" s="7" t="inlineStr">
        <is>
          <t>Math</t>
        </is>
      </c>
      <c r="C12" s="7" t="inlineStr">
        <is>
          <t>History</t>
        </is>
      </c>
      <c r="D12" s="7" t="inlineStr">
        <is>
          <t>Science</t>
        </is>
      </c>
      <c r="E12" s="7" t="inlineStr">
        <is>
          <t>Language Arts</t>
        </is>
      </c>
      <c r="F12" s="7" t="inlineStr">
        <is>
          <t>Art &amp; PE</t>
        </is>
      </c>
    </row>
    <row r="13">
      <c r="A13" s="8" t="inlineStr"/>
      <c r="B13" s="8" t="inlineStr"/>
      <c r="C13" s="8" t="inlineStr"/>
      <c r="D13" s="8" t="inlineStr"/>
      <c r="E13" s="8" t="inlineStr"/>
      <c r="F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