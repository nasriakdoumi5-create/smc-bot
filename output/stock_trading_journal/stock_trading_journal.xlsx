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s" sheetId="2" state="visible" r:id="rId2"/>
    <sheet name="Weekly Review" sheetId="3" state="visible" r:id="rId3"/>
    <sheet name="Setup Analysis" sheetId="4" state="visible" r:id="rId4"/>
    <sheet name="Annual P&amp;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4361EE"/>
      <sz val="12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6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52E16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Stock Trading Journal &amp; P&amp;L</t>
        </is>
      </c>
    </row>
    <row r="3">
      <c r="A3" s="2" t="inlineStr">
        <is>
          <t>Total Trades</t>
        </is>
      </c>
      <c r="B3" s="2" t="inlineStr">
        <is>
          <t>Win Rate %</t>
        </is>
      </c>
      <c r="C3" s="2" t="inlineStr">
        <is>
          <t>Net P&amp;L $</t>
        </is>
      </c>
      <c r="D3" s="2" t="inlineStr">
        <is>
          <t>Avg Win $</t>
        </is>
      </c>
    </row>
    <row r="4" ht="36" customHeight="1">
      <c r="A4" s="3">
        <f>COUNTA(Trades!A:A)-1</f>
        <v/>
      </c>
      <c r="B4" s="3">
        <f>TEXT(COUNTIF(Trades!I:I,"Win")/COUNTA(Trades!A:A),"0.0%")</f>
        <v/>
      </c>
      <c r="C4" s="3">
        <f>SUM(Trades!H:H)</f>
        <v/>
      </c>
      <c r="D4" s="3">
        <f>AVERAGEIF(Trades!I:I,"Win",Trades!H:H)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5803D"/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  <col width="20" customWidth="1" min="10" max="10"/>
  </cols>
  <sheetData>
    <row r="1">
      <c r="A1" s="4" t="inlineStr">
        <is>
          <t>Date</t>
        </is>
      </c>
      <c r="B1" s="4" t="inlineStr">
        <is>
          <t>Ticker</t>
        </is>
      </c>
      <c r="C1" s="4" t="inlineStr">
        <is>
          <t>Direction</t>
        </is>
      </c>
      <c r="D1" s="4" t="inlineStr">
        <is>
          <t>Entry $</t>
        </is>
      </c>
      <c r="E1" s="4" t="inlineStr">
        <is>
          <t>Exit $</t>
        </is>
      </c>
      <c r="F1" s="4" t="inlineStr">
        <is>
          <t>Shares</t>
        </is>
      </c>
      <c r="G1" s="4" t="inlineStr">
        <is>
          <t>P&amp;L $</t>
        </is>
      </c>
      <c r="H1" s="4" t="inlineStr">
        <is>
          <t>P&amp;L %</t>
        </is>
      </c>
      <c r="I1" s="4" t="inlineStr">
        <is>
          <t>Result</t>
        </is>
      </c>
      <c r="J1" s="4" t="inlineStr">
        <is>
          <t>Setup</t>
        </is>
      </c>
    </row>
    <row r="2" ht="22" customHeight="1">
      <c r="A2" s="5" t="inlineStr">
        <is>
          <t>2024-01-15</t>
        </is>
      </c>
      <c r="B2" s="5" t="inlineStr">
        <is>
          <t>AAPL</t>
        </is>
      </c>
      <c r="C2" s="5" t="inlineStr"/>
      <c r="D2" s="5" t="inlineStr">
        <is>
          <t>175</t>
        </is>
      </c>
      <c r="E2" s="5" t="inlineStr">
        <is>
          <t>182</t>
        </is>
      </c>
      <c r="F2" s="5" t="inlineStr">
        <is>
          <t>20</t>
        </is>
      </c>
      <c r="G2" s="6">
        <f>(E2-D2)*F2</f>
        <v/>
      </c>
      <c r="H2" s="6">
        <f>TEXT((E2-D2)/D2,"0.0%")</f>
        <v/>
      </c>
      <c r="I2" s="5" t="inlineStr"/>
      <c r="J2" s="5" t="inlineStr"/>
    </row>
    <row r="3" ht="22" customHeight="1">
      <c r="A3" s="5" t="inlineStr">
        <is>
          <t>2024-01-15</t>
        </is>
      </c>
      <c r="B3" s="5" t="inlineStr">
        <is>
          <t>AAPL</t>
        </is>
      </c>
      <c r="C3" s="5" t="inlineStr"/>
      <c r="D3" s="5" t="inlineStr">
        <is>
          <t>175</t>
        </is>
      </c>
      <c r="E3" s="5" t="inlineStr">
        <is>
          <t>182</t>
        </is>
      </c>
      <c r="F3" s="5" t="inlineStr">
        <is>
          <t>20</t>
        </is>
      </c>
      <c r="G3" s="6">
        <f>(E3-D3)*F3</f>
        <v/>
      </c>
      <c r="H3" s="6">
        <f>TEXT((E3-D3)/D3,"0.0%")</f>
        <v/>
      </c>
      <c r="I3" s="5" t="inlineStr"/>
      <c r="J3" s="5" t="inlineStr"/>
    </row>
    <row r="4" ht="22" customHeight="1">
      <c r="A4" s="5" t="inlineStr">
        <is>
          <t>2024-01-15</t>
        </is>
      </c>
      <c r="B4" s="5" t="inlineStr">
        <is>
          <t>AAPL</t>
        </is>
      </c>
      <c r="C4" s="5" t="inlineStr"/>
      <c r="D4" s="5" t="inlineStr">
        <is>
          <t>175</t>
        </is>
      </c>
      <c r="E4" s="5" t="inlineStr">
        <is>
          <t>182</t>
        </is>
      </c>
      <c r="F4" s="5" t="inlineStr">
        <is>
          <t>20</t>
        </is>
      </c>
      <c r="G4" s="6">
        <f>(E4-D4)*F4</f>
        <v/>
      </c>
      <c r="H4" s="6">
        <f>TEXT((E4-D4)/D4,"0.0%")</f>
        <v/>
      </c>
      <c r="I4" s="5" t="inlineStr"/>
      <c r="J4" s="5" t="inlineStr"/>
    </row>
    <row r="5" ht="22" customHeight="1">
      <c r="A5" s="5" t="inlineStr">
        <is>
          <t>2024-01-15</t>
        </is>
      </c>
      <c r="B5" s="5" t="inlineStr">
        <is>
          <t>AAPL</t>
        </is>
      </c>
      <c r="C5" s="5" t="inlineStr"/>
      <c r="D5" s="5" t="inlineStr">
        <is>
          <t>175</t>
        </is>
      </c>
      <c r="E5" s="5" t="inlineStr">
        <is>
          <t>182</t>
        </is>
      </c>
      <c r="F5" s="5" t="inlineStr">
        <is>
          <t>20</t>
        </is>
      </c>
      <c r="G5" s="6">
        <f>(E5-D5)*F5</f>
        <v/>
      </c>
      <c r="H5" s="6">
        <f>TEXT((E5-D5)/D5,"0.0%")</f>
        <v/>
      </c>
      <c r="I5" s="5" t="inlineStr"/>
      <c r="J5" s="5" t="inlineStr"/>
    </row>
    <row r="6" ht="22" customHeight="1">
      <c r="A6" s="5" t="inlineStr">
        <is>
          <t>2024-01-15</t>
        </is>
      </c>
      <c r="B6" s="5" t="inlineStr">
        <is>
          <t>AAPL</t>
        </is>
      </c>
      <c r="C6" s="5" t="inlineStr"/>
      <c r="D6" s="5" t="inlineStr">
        <is>
          <t>175</t>
        </is>
      </c>
      <c r="E6" s="5" t="inlineStr">
        <is>
          <t>182</t>
        </is>
      </c>
      <c r="F6" s="5" t="inlineStr">
        <is>
          <t>20</t>
        </is>
      </c>
      <c r="G6" s="6">
        <f>(E6-D6)*F6</f>
        <v/>
      </c>
      <c r="H6" s="6">
        <f>TEXT((E6-D6)/D6,"0.0%")</f>
        <v/>
      </c>
      <c r="I6" s="5" t="inlineStr"/>
      <c r="J6" s="5" t="inlineStr"/>
    </row>
    <row r="7" ht="22" customHeight="1">
      <c r="A7" s="5" t="inlineStr">
        <is>
          <t>2024-01-15</t>
        </is>
      </c>
      <c r="B7" s="5" t="inlineStr">
        <is>
          <t>AAPL</t>
        </is>
      </c>
      <c r="C7" s="5" t="inlineStr"/>
      <c r="D7" s="5" t="inlineStr">
        <is>
          <t>175</t>
        </is>
      </c>
      <c r="E7" s="5" t="inlineStr">
        <is>
          <t>182</t>
        </is>
      </c>
      <c r="F7" s="5" t="inlineStr">
        <is>
          <t>20</t>
        </is>
      </c>
      <c r="G7" s="6">
        <f>(E7-D7)*F7</f>
        <v/>
      </c>
      <c r="H7" s="6">
        <f>TEXT((E7-D7)/D7,"0.0%")</f>
        <v/>
      </c>
      <c r="I7" s="5" t="inlineStr"/>
      <c r="J7" s="5" t="inlineStr"/>
    </row>
    <row r="8" ht="22" customHeight="1">
      <c r="A8" s="5" t="inlineStr">
        <is>
          <t>2024-01-15</t>
        </is>
      </c>
      <c r="B8" s="5" t="inlineStr">
        <is>
          <t>AAPL</t>
        </is>
      </c>
      <c r="C8" s="5" t="inlineStr"/>
      <c r="D8" s="5" t="inlineStr">
        <is>
          <t>175</t>
        </is>
      </c>
      <c r="E8" s="5" t="inlineStr">
        <is>
          <t>182</t>
        </is>
      </c>
      <c r="F8" s="5" t="inlineStr">
        <is>
          <t>20</t>
        </is>
      </c>
      <c r="G8" s="6">
        <f>(E8-D8)*F8</f>
        <v/>
      </c>
      <c r="H8" s="6">
        <f>TEXT((E8-D8)/D8,"0.0%")</f>
        <v/>
      </c>
      <c r="I8" s="5" t="inlineStr"/>
      <c r="J8" s="5" t="inlineStr"/>
    </row>
    <row r="9" ht="22" customHeight="1">
      <c r="A9" s="5" t="inlineStr">
        <is>
          <t>2024-01-15</t>
        </is>
      </c>
      <c r="B9" s="5" t="inlineStr">
        <is>
          <t>AAPL</t>
        </is>
      </c>
      <c r="C9" s="5" t="inlineStr"/>
      <c r="D9" s="5" t="inlineStr">
        <is>
          <t>175</t>
        </is>
      </c>
      <c r="E9" s="5" t="inlineStr">
        <is>
          <t>182</t>
        </is>
      </c>
      <c r="F9" s="5" t="inlineStr">
        <is>
          <t>20</t>
        </is>
      </c>
      <c r="G9" s="6">
        <f>(E9-D9)*F9</f>
        <v/>
      </c>
      <c r="H9" s="6">
        <f>TEXT((E9-D9)/D9,"0.0%")</f>
        <v/>
      </c>
      <c r="I9" s="5" t="inlineStr"/>
      <c r="J9" s="5" t="inlineStr"/>
    </row>
    <row r="10" ht="22" customHeight="1">
      <c r="A10" s="5" t="inlineStr">
        <is>
          <t>2024-01-15</t>
        </is>
      </c>
      <c r="B10" s="5" t="inlineStr">
        <is>
          <t>AAPL</t>
        </is>
      </c>
      <c r="C10" s="5" t="inlineStr"/>
      <c r="D10" s="5" t="inlineStr">
        <is>
          <t>175</t>
        </is>
      </c>
      <c r="E10" s="5" t="inlineStr">
        <is>
          <t>182</t>
        </is>
      </c>
      <c r="F10" s="5" t="inlineStr">
        <is>
          <t>20</t>
        </is>
      </c>
      <c r="G10" s="6">
        <f>(E10-D10)*F10</f>
        <v/>
      </c>
      <c r="H10" s="6">
        <f>TEXT((E10-D10)/D10,"0.0%")</f>
        <v/>
      </c>
      <c r="I10" s="5" t="inlineStr"/>
      <c r="J10" s="5" t="inlineStr"/>
    </row>
    <row r="11" ht="22" customHeight="1">
      <c r="A11" s="5" t="inlineStr">
        <is>
          <t>2024-01-15</t>
        </is>
      </c>
      <c r="B11" s="5" t="inlineStr">
        <is>
          <t>AAPL</t>
        </is>
      </c>
      <c r="C11" s="5" t="inlineStr"/>
      <c r="D11" s="5" t="inlineStr">
        <is>
          <t>175</t>
        </is>
      </c>
      <c r="E11" s="5" t="inlineStr">
        <is>
          <t>182</t>
        </is>
      </c>
      <c r="F11" s="5" t="inlineStr">
        <is>
          <t>20</t>
        </is>
      </c>
      <c r="G11" s="6">
        <f>(E11-D11)*F11</f>
        <v/>
      </c>
      <c r="H11" s="6">
        <f>TEXT((E11-D11)/D11,"0.0%")</f>
        <v/>
      </c>
      <c r="I11" s="5" t="inlineStr"/>
      <c r="J11" s="5" t="inlineStr"/>
    </row>
    <row r="12" ht="22" customHeight="1">
      <c r="A12" s="5" t="inlineStr">
        <is>
          <t>2024-01-15</t>
        </is>
      </c>
      <c r="B12" s="5" t="inlineStr">
        <is>
          <t>AAPL</t>
        </is>
      </c>
      <c r="C12" s="5" t="inlineStr"/>
      <c r="D12" s="5" t="inlineStr">
        <is>
          <t>175</t>
        </is>
      </c>
      <c r="E12" s="5" t="inlineStr">
        <is>
          <t>182</t>
        </is>
      </c>
      <c r="F12" s="5" t="inlineStr">
        <is>
          <t>20</t>
        </is>
      </c>
      <c r="G12" s="6">
        <f>(E12-D12)*F12</f>
        <v/>
      </c>
      <c r="H12" s="6">
        <f>TEXT((E12-D12)/D12,"0.0%")</f>
        <v/>
      </c>
      <c r="I12" s="5" t="inlineStr"/>
      <c r="J12" s="5" t="inlineStr"/>
    </row>
    <row r="13" ht="22" customHeight="1">
      <c r="A13" s="5" t="inlineStr">
        <is>
          <t>2024-01-15</t>
        </is>
      </c>
      <c r="B13" s="5" t="inlineStr">
        <is>
          <t>AAPL</t>
        </is>
      </c>
      <c r="C13" s="5" t="inlineStr"/>
      <c r="D13" s="5" t="inlineStr">
        <is>
          <t>175</t>
        </is>
      </c>
      <c r="E13" s="5" t="inlineStr">
        <is>
          <t>182</t>
        </is>
      </c>
      <c r="F13" s="5" t="inlineStr">
        <is>
          <t>20</t>
        </is>
      </c>
      <c r="G13" s="6">
        <f>(E13-D13)*F13</f>
        <v/>
      </c>
      <c r="H13" s="6">
        <f>TEXT((E13-D13)/D13,"0.0%")</f>
        <v/>
      </c>
      <c r="I13" s="5" t="inlineStr"/>
      <c r="J13" s="5" t="inlineStr"/>
    </row>
    <row r="14" ht="22" customHeight="1">
      <c r="A14" s="5" t="inlineStr">
        <is>
          <t>2024-01-15</t>
        </is>
      </c>
      <c r="B14" s="5" t="inlineStr">
        <is>
          <t>AAPL</t>
        </is>
      </c>
      <c r="C14" s="5" t="inlineStr"/>
      <c r="D14" s="5" t="inlineStr">
        <is>
          <t>175</t>
        </is>
      </c>
      <c r="E14" s="5" t="inlineStr">
        <is>
          <t>182</t>
        </is>
      </c>
      <c r="F14" s="5" t="inlineStr">
        <is>
          <t>20</t>
        </is>
      </c>
      <c r="G14" s="6">
        <f>(E14-D14)*F14</f>
        <v/>
      </c>
      <c r="H14" s="6">
        <f>TEXT((E14-D14)/D14,"0.0%")</f>
        <v/>
      </c>
      <c r="I14" s="5" t="inlineStr"/>
      <c r="J14" s="5" t="inlineStr"/>
    </row>
    <row r="15" ht="22" customHeight="1">
      <c r="A15" s="5" t="inlineStr">
        <is>
          <t>2024-01-15</t>
        </is>
      </c>
      <c r="B15" s="5" t="inlineStr">
        <is>
          <t>AAPL</t>
        </is>
      </c>
      <c r="C15" s="5" t="inlineStr"/>
      <c r="D15" s="5" t="inlineStr">
        <is>
          <t>175</t>
        </is>
      </c>
      <c r="E15" s="5" t="inlineStr">
        <is>
          <t>182</t>
        </is>
      </c>
      <c r="F15" s="5" t="inlineStr">
        <is>
          <t>20</t>
        </is>
      </c>
      <c r="G15" s="6">
        <f>(E15-D15)*F15</f>
        <v/>
      </c>
      <c r="H15" s="6">
        <f>TEXT((E15-D15)/D15,"0.0%")</f>
        <v/>
      </c>
      <c r="I15" s="5" t="inlineStr"/>
      <c r="J15" s="5" t="inlineStr"/>
    </row>
    <row r="16" ht="22" customHeight="1">
      <c r="A16" s="5" t="inlineStr">
        <is>
          <t>2024-01-15</t>
        </is>
      </c>
      <c r="B16" s="5" t="inlineStr">
        <is>
          <t>AAPL</t>
        </is>
      </c>
      <c r="C16" s="5" t="inlineStr"/>
      <c r="D16" s="5" t="inlineStr">
        <is>
          <t>175</t>
        </is>
      </c>
      <c r="E16" s="5" t="inlineStr">
        <is>
          <t>182</t>
        </is>
      </c>
      <c r="F16" s="5" t="inlineStr">
        <is>
          <t>20</t>
        </is>
      </c>
      <c r="G16" s="6">
        <f>(E16-D16)*F16</f>
        <v/>
      </c>
      <c r="H16" s="6">
        <f>TEXT((E16-D16)/D16,"0.0%")</f>
        <v/>
      </c>
      <c r="I16" s="5" t="inlineStr"/>
      <c r="J16" s="5" t="inlineStr"/>
    </row>
    <row r="17" ht="22" customHeight="1">
      <c r="A17" s="5" t="inlineStr">
        <is>
          <t>2024-01-15</t>
        </is>
      </c>
      <c r="B17" s="5" t="inlineStr">
        <is>
          <t>AAPL</t>
        </is>
      </c>
      <c r="C17" s="5" t="inlineStr"/>
      <c r="D17" s="5" t="inlineStr">
        <is>
          <t>175</t>
        </is>
      </c>
      <c r="E17" s="5" t="inlineStr">
        <is>
          <t>182</t>
        </is>
      </c>
      <c r="F17" s="5" t="inlineStr">
        <is>
          <t>20</t>
        </is>
      </c>
      <c r="G17" s="6">
        <f>(E17-D17)*F17</f>
        <v/>
      </c>
      <c r="H17" s="6">
        <f>TEXT((E17-D17)/D17,"0.0%")</f>
        <v/>
      </c>
      <c r="I17" s="5" t="inlineStr"/>
      <c r="J17" s="5" t="inlineStr"/>
    </row>
    <row r="18" ht="22" customHeight="1">
      <c r="A18" s="5" t="inlineStr">
        <is>
          <t>2024-01-15</t>
        </is>
      </c>
      <c r="B18" s="5" t="inlineStr">
        <is>
          <t>AAPL</t>
        </is>
      </c>
      <c r="C18" s="5" t="inlineStr"/>
      <c r="D18" s="5" t="inlineStr">
        <is>
          <t>175</t>
        </is>
      </c>
      <c r="E18" s="5" t="inlineStr">
        <is>
          <t>182</t>
        </is>
      </c>
      <c r="F18" s="5" t="inlineStr">
        <is>
          <t>20</t>
        </is>
      </c>
      <c r="G18" s="6">
        <f>(E18-D18)*F18</f>
        <v/>
      </c>
      <c r="H18" s="6">
        <f>TEXT((E18-D18)/D18,"0.0%")</f>
        <v/>
      </c>
      <c r="I18" s="5" t="inlineStr"/>
      <c r="J18" s="5" t="inlineStr"/>
    </row>
    <row r="19" ht="22" customHeight="1">
      <c r="A19" s="5" t="inlineStr">
        <is>
          <t>2024-01-15</t>
        </is>
      </c>
      <c r="B19" s="5" t="inlineStr">
        <is>
          <t>AAPL</t>
        </is>
      </c>
      <c r="C19" s="5" t="inlineStr"/>
      <c r="D19" s="5" t="inlineStr">
        <is>
          <t>175</t>
        </is>
      </c>
      <c r="E19" s="5" t="inlineStr">
        <is>
          <t>182</t>
        </is>
      </c>
      <c r="F19" s="5" t="inlineStr">
        <is>
          <t>20</t>
        </is>
      </c>
      <c r="G19" s="6">
        <f>(E19-D19)*F19</f>
        <v/>
      </c>
      <c r="H19" s="6">
        <f>TEXT((E19-D19)/D19,"0.0%")</f>
        <v/>
      </c>
      <c r="I19" s="5" t="inlineStr"/>
      <c r="J19" s="5" t="inlineStr"/>
    </row>
    <row r="20" ht="22" customHeight="1">
      <c r="A20" s="5" t="inlineStr">
        <is>
          <t>2024-01-15</t>
        </is>
      </c>
      <c r="B20" s="5" t="inlineStr">
        <is>
          <t>AAPL</t>
        </is>
      </c>
      <c r="C20" s="5" t="inlineStr"/>
      <c r="D20" s="5" t="inlineStr">
        <is>
          <t>175</t>
        </is>
      </c>
      <c r="E20" s="5" t="inlineStr">
        <is>
          <t>182</t>
        </is>
      </c>
      <c r="F20" s="5" t="inlineStr">
        <is>
          <t>20</t>
        </is>
      </c>
      <c r="G20" s="6">
        <f>(E20-D20)*F20</f>
        <v/>
      </c>
      <c r="H20" s="6">
        <f>TEXT((E20-D20)/D20,"0.0%")</f>
        <v/>
      </c>
      <c r="I20" s="5" t="inlineStr"/>
      <c r="J20" s="5" t="inlineStr"/>
    </row>
    <row r="21" ht="22" customHeight="1">
      <c r="A21" s="5" t="inlineStr">
        <is>
          <t>2024-01-15</t>
        </is>
      </c>
      <c r="B21" s="5" t="inlineStr">
        <is>
          <t>AAPL</t>
        </is>
      </c>
      <c r="C21" s="5" t="inlineStr"/>
      <c r="D21" s="5" t="inlineStr">
        <is>
          <t>175</t>
        </is>
      </c>
      <c r="E21" s="5" t="inlineStr">
        <is>
          <t>182</t>
        </is>
      </c>
      <c r="F21" s="5" t="inlineStr">
        <is>
          <t>20</t>
        </is>
      </c>
      <c r="G21" s="6">
        <f>(E21-D21)*F21</f>
        <v/>
      </c>
      <c r="H21" s="6">
        <f>TEXT((E21-D21)/D21,"0.0%")</f>
        <v/>
      </c>
      <c r="I21" s="5" t="inlineStr"/>
      <c r="J21" s="5" t="inlineStr"/>
    </row>
    <row r="22" ht="22" customHeight="1">
      <c r="A22" s="5" t="inlineStr">
        <is>
          <t>2024-01-15</t>
        </is>
      </c>
      <c r="B22" s="5" t="inlineStr">
        <is>
          <t>AAPL</t>
        </is>
      </c>
      <c r="C22" s="5" t="inlineStr"/>
      <c r="D22" s="5" t="inlineStr">
        <is>
          <t>175</t>
        </is>
      </c>
      <c r="E22" s="5" t="inlineStr">
        <is>
          <t>182</t>
        </is>
      </c>
      <c r="F22" s="5" t="inlineStr">
        <is>
          <t>20</t>
        </is>
      </c>
      <c r="G22" s="6">
        <f>(E22-D22)*F22</f>
        <v/>
      </c>
      <c r="H22" s="6">
        <f>TEXT((E22-D22)/D22,"0.0%")</f>
        <v/>
      </c>
      <c r="I22" s="5" t="inlineStr"/>
      <c r="J22" s="5" t="inlineStr"/>
    </row>
    <row r="23" ht="22" customHeight="1">
      <c r="A23" s="5" t="inlineStr">
        <is>
          <t>2024-01-15</t>
        </is>
      </c>
      <c r="B23" s="5" t="inlineStr">
        <is>
          <t>AAPL</t>
        </is>
      </c>
      <c r="C23" s="5" t="inlineStr"/>
      <c r="D23" s="5" t="inlineStr">
        <is>
          <t>175</t>
        </is>
      </c>
      <c r="E23" s="5" t="inlineStr">
        <is>
          <t>182</t>
        </is>
      </c>
      <c r="F23" s="5" t="inlineStr">
        <is>
          <t>20</t>
        </is>
      </c>
      <c r="G23" s="6">
        <f>(E23-D23)*F23</f>
        <v/>
      </c>
      <c r="H23" s="6">
        <f>TEXT((E23-D23)/D23,"0.0%")</f>
        <v/>
      </c>
      <c r="I23" s="5" t="inlineStr"/>
      <c r="J23" s="5" t="inlineStr"/>
    </row>
    <row r="24" ht="22" customHeight="1">
      <c r="A24" s="5" t="inlineStr">
        <is>
          <t>2024-01-15</t>
        </is>
      </c>
      <c r="B24" s="5" t="inlineStr">
        <is>
          <t>AAPL</t>
        </is>
      </c>
      <c r="C24" s="5" t="inlineStr"/>
      <c r="D24" s="5" t="inlineStr">
        <is>
          <t>175</t>
        </is>
      </c>
      <c r="E24" s="5" t="inlineStr">
        <is>
          <t>182</t>
        </is>
      </c>
      <c r="F24" s="5" t="inlineStr">
        <is>
          <t>20</t>
        </is>
      </c>
      <c r="G24" s="6">
        <f>(E24-D24)*F24</f>
        <v/>
      </c>
      <c r="H24" s="6">
        <f>TEXT((E24-D24)/D24,"0.0%")</f>
        <v/>
      </c>
      <c r="I24" s="5" t="inlineStr"/>
      <c r="J24" s="5" t="inlineStr"/>
    </row>
    <row r="25" ht="22" customHeight="1">
      <c r="A25" s="5" t="inlineStr">
        <is>
          <t>2024-01-15</t>
        </is>
      </c>
      <c r="B25" s="5" t="inlineStr">
        <is>
          <t>AAPL</t>
        </is>
      </c>
      <c r="C25" s="5" t="inlineStr"/>
      <c r="D25" s="5" t="inlineStr">
        <is>
          <t>175</t>
        </is>
      </c>
      <c r="E25" s="5" t="inlineStr">
        <is>
          <t>182</t>
        </is>
      </c>
      <c r="F25" s="5" t="inlineStr">
        <is>
          <t>20</t>
        </is>
      </c>
      <c r="G25" s="6">
        <f>(E25-D25)*F25</f>
        <v/>
      </c>
      <c r="H25" s="6">
        <f>TEXT((E25-D25)/D25,"0.0%")</f>
        <v/>
      </c>
      <c r="I25" s="5" t="inlineStr"/>
      <c r="J25" s="5" t="inlineStr"/>
    </row>
    <row r="26" ht="22" customHeight="1">
      <c r="A26" s="5" t="inlineStr">
        <is>
          <t>2024-01-15</t>
        </is>
      </c>
      <c r="B26" s="5" t="inlineStr">
        <is>
          <t>AAPL</t>
        </is>
      </c>
      <c r="C26" s="5" t="inlineStr"/>
      <c r="D26" s="5" t="inlineStr">
        <is>
          <t>175</t>
        </is>
      </c>
      <c r="E26" s="5" t="inlineStr">
        <is>
          <t>182</t>
        </is>
      </c>
      <c r="F26" s="5" t="inlineStr">
        <is>
          <t>20</t>
        </is>
      </c>
      <c r="G26" s="6">
        <f>(E26-D26)*F26</f>
        <v/>
      </c>
      <c r="H26" s="6">
        <f>TEXT((E26-D26)/D26,"0.0%")</f>
        <v/>
      </c>
      <c r="I26" s="5" t="inlineStr"/>
      <c r="J26" s="5" t="inlineStr"/>
    </row>
  </sheetData>
  <dataValidations count="3">
    <dataValidation sqref="C2 C3 C4 C5 C6 C7 C8 C9 C10 C11 C12 C13 C14 C15 C16 C17 C18 C19 C20 C21 C22 C23 C24 C25 C26" showDropDown="0" showInputMessage="0" showErrorMessage="0" allowBlank="1" type="list">
      <formula1>"Long","Short"</formula1>
    </dataValidation>
    <dataValidation sqref="I2 I3 I4 I5 I6 I7 I8 I9 I10 I11 I12 I13 I14 I15 I16 I17 I18 I19 I20 I21 I22 I23 I24 I25 I26" showDropDown="0" showInputMessage="0" showErrorMessage="0" allowBlank="1" type="list">
      <formula1>"Win","Loss","Break Even"</formula1>
    </dataValidation>
    <dataValidation sqref="J2 J3 J4 J5 J6 J7 J8 J9 J10 J11 J12 J13 J14 J15 J16 J17 J18 J19 J20 J21 J22 J23 J24 J25 J26" showDropDown="0" showInputMessage="0" showErrorMessage="0" allowBlank="1" type="list">
      <formula1>"Breakout","Pullback","Reversal","Earnings","Gap Up","Momentum","Other"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2C55E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14" customWidth="1" min="5" max="5"/>
    <col width="12" customWidth="1" min="6" max="6"/>
    <col width="34" customWidth="1" min="7" max="7"/>
  </cols>
  <sheetData>
    <row r="1">
      <c r="A1" s="4" t="inlineStr">
        <is>
          <t>Week</t>
        </is>
      </c>
      <c r="B1" s="4" t="inlineStr">
        <is>
          <t>Trades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Net P&amp;L $</t>
        </is>
      </c>
      <c r="F1" s="4" t="inlineStr">
        <is>
          <t>Win Rate</t>
        </is>
      </c>
      <c r="G1" s="4" t="inlineStr">
        <is>
          <t>Lessons</t>
        </is>
      </c>
    </row>
    <row r="2" ht="22" customHeight="1">
      <c r="A2" s="5" t="inlineStr">
        <is>
          <t>Week 3 - Jan</t>
        </is>
      </c>
      <c r="B2" s="5" t="inlineStr">
        <is>
          <t>8</t>
        </is>
      </c>
      <c r="C2" s="5" t="inlineStr">
        <is>
          <t>5</t>
        </is>
      </c>
      <c r="D2" s="5" t="inlineStr">
        <is>
          <t>3</t>
        </is>
      </c>
      <c r="E2" s="5" t="inlineStr">
        <is>
          <t>480</t>
        </is>
      </c>
      <c r="F2" s="6">
        <f>TEXT(C2/B2,"0%")</f>
        <v/>
      </c>
      <c r="G2" s="5" t="inlineStr">
        <is>
          <t>Cut losses faster on earnings trades</t>
        </is>
      </c>
    </row>
    <row r="3" ht="22" customHeight="1">
      <c r="A3" s="5" t="inlineStr">
        <is>
          <t>Week 3 - Jan</t>
        </is>
      </c>
      <c r="B3" s="5" t="inlineStr">
        <is>
          <t>8</t>
        </is>
      </c>
      <c r="C3" s="5" t="inlineStr">
        <is>
          <t>5</t>
        </is>
      </c>
      <c r="D3" s="5" t="inlineStr">
        <is>
          <t>3</t>
        </is>
      </c>
      <c r="E3" s="5" t="inlineStr">
        <is>
          <t>480</t>
        </is>
      </c>
      <c r="F3" s="6">
        <f>TEXT(C3/B3,"0%")</f>
        <v/>
      </c>
      <c r="G3" s="5" t="inlineStr">
        <is>
          <t>Cut losses faster on earnings trades</t>
        </is>
      </c>
    </row>
    <row r="4" ht="22" customHeight="1">
      <c r="A4" s="5" t="inlineStr">
        <is>
          <t>Week 3 - Jan</t>
        </is>
      </c>
      <c r="B4" s="5" t="inlineStr">
        <is>
          <t>8</t>
        </is>
      </c>
      <c r="C4" s="5" t="inlineStr">
        <is>
          <t>5</t>
        </is>
      </c>
      <c r="D4" s="5" t="inlineStr">
        <is>
          <t>3</t>
        </is>
      </c>
      <c r="E4" s="5" t="inlineStr">
        <is>
          <t>480</t>
        </is>
      </c>
      <c r="F4" s="6">
        <f>TEXT(C4/B4,"0%")</f>
        <v/>
      </c>
      <c r="G4" s="5" t="inlineStr">
        <is>
          <t>Cut losses faster on earnings trades</t>
        </is>
      </c>
    </row>
    <row r="5" ht="22" customHeight="1">
      <c r="A5" s="5" t="inlineStr">
        <is>
          <t>Week 3 - Jan</t>
        </is>
      </c>
      <c r="B5" s="5" t="inlineStr">
        <is>
          <t>8</t>
        </is>
      </c>
      <c r="C5" s="5" t="inlineStr">
        <is>
          <t>5</t>
        </is>
      </c>
      <c r="D5" s="5" t="inlineStr">
        <is>
          <t>3</t>
        </is>
      </c>
      <c r="E5" s="5" t="inlineStr">
        <is>
          <t>480</t>
        </is>
      </c>
      <c r="F5" s="6">
        <f>TEXT(C5/B5,"0%")</f>
        <v/>
      </c>
      <c r="G5" s="5" t="inlineStr">
        <is>
          <t>Cut losses faster on earnings trades</t>
        </is>
      </c>
    </row>
    <row r="6" ht="22" customHeight="1">
      <c r="A6" s="5" t="inlineStr">
        <is>
          <t>Week 3 - Jan</t>
        </is>
      </c>
      <c r="B6" s="5" t="inlineStr">
        <is>
          <t>8</t>
        </is>
      </c>
      <c r="C6" s="5" t="inlineStr">
        <is>
          <t>5</t>
        </is>
      </c>
      <c r="D6" s="5" t="inlineStr">
        <is>
          <t>3</t>
        </is>
      </c>
      <c r="E6" s="5" t="inlineStr">
        <is>
          <t>480</t>
        </is>
      </c>
      <c r="F6" s="6">
        <f>TEXT(C6/B6,"0%")</f>
        <v/>
      </c>
      <c r="G6" s="5" t="inlineStr">
        <is>
          <t>Cut losses faster on earnings trades</t>
        </is>
      </c>
    </row>
    <row r="7" ht="22" customHeight="1">
      <c r="A7" s="5" t="inlineStr">
        <is>
          <t>Week 3 - Jan</t>
        </is>
      </c>
      <c r="B7" s="5" t="inlineStr">
        <is>
          <t>8</t>
        </is>
      </c>
      <c r="C7" s="5" t="inlineStr">
        <is>
          <t>5</t>
        </is>
      </c>
      <c r="D7" s="5" t="inlineStr">
        <is>
          <t>3</t>
        </is>
      </c>
      <c r="E7" s="5" t="inlineStr">
        <is>
          <t>480</t>
        </is>
      </c>
      <c r="F7" s="6">
        <f>TEXT(C7/B7,"0%")</f>
        <v/>
      </c>
      <c r="G7" s="5" t="inlineStr">
        <is>
          <t>Cut losses faster on earnings trades</t>
        </is>
      </c>
    </row>
    <row r="8" ht="22" customHeight="1">
      <c r="A8" s="5" t="inlineStr">
        <is>
          <t>Week 3 - Jan</t>
        </is>
      </c>
      <c r="B8" s="5" t="inlineStr">
        <is>
          <t>8</t>
        </is>
      </c>
      <c r="C8" s="5" t="inlineStr">
        <is>
          <t>5</t>
        </is>
      </c>
      <c r="D8" s="5" t="inlineStr">
        <is>
          <t>3</t>
        </is>
      </c>
      <c r="E8" s="5" t="inlineStr">
        <is>
          <t>480</t>
        </is>
      </c>
      <c r="F8" s="6">
        <f>TEXT(C8/B8,"0%")</f>
        <v/>
      </c>
      <c r="G8" s="5" t="inlineStr">
        <is>
          <t>Cut losses faster on earnings trades</t>
        </is>
      </c>
    </row>
    <row r="9" ht="22" customHeight="1">
      <c r="A9" s="5" t="inlineStr">
        <is>
          <t>Week 3 - Jan</t>
        </is>
      </c>
      <c r="B9" s="5" t="inlineStr">
        <is>
          <t>8</t>
        </is>
      </c>
      <c r="C9" s="5" t="inlineStr">
        <is>
          <t>5</t>
        </is>
      </c>
      <c r="D9" s="5" t="inlineStr">
        <is>
          <t>3</t>
        </is>
      </c>
      <c r="E9" s="5" t="inlineStr">
        <is>
          <t>480</t>
        </is>
      </c>
      <c r="F9" s="6">
        <f>TEXT(C9/B9,"0%")</f>
        <v/>
      </c>
      <c r="G9" s="5" t="inlineStr">
        <is>
          <t>Cut losses faster on earnings trades</t>
        </is>
      </c>
    </row>
    <row r="10" ht="22" customHeight="1">
      <c r="A10" s="5" t="inlineStr">
        <is>
          <t>Week 3 - Jan</t>
        </is>
      </c>
      <c r="B10" s="5" t="inlineStr">
        <is>
          <t>8</t>
        </is>
      </c>
      <c r="C10" s="5" t="inlineStr">
        <is>
          <t>5</t>
        </is>
      </c>
      <c r="D10" s="5" t="inlineStr">
        <is>
          <t>3</t>
        </is>
      </c>
      <c r="E10" s="5" t="inlineStr">
        <is>
          <t>480</t>
        </is>
      </c>
      <c r="F10" s="6">
        <f>TEXT(C10/B10,"0%")</f>
        <v/>
      </c>
      <c r="G10" s="5" t="inlineStr">
        <is>
          <t>Cut losses faster on earnings trades</t>
        </is>
      </c>
    </row>
    <row r="11" ht="22" customHeight="1">
      <c r="A11" s="5" t="inlineStr">
        <is>
          <t>Week 3 - Jan</t>
        </is>
      </c>
      <c r="B11" s="5" t="inlineStr">
        <is>
          <t>8</t>
        </is>
      </c>
      <c r="C11" s="5" t="inlineStr">
        <is>
          <t>5</t>
        </is>
      </c>
      <c r="D11" s="5" t="inlineStr">
        <is>
          <t>3</t>
        </is>
      </c>
      <c r="E11" s="5" t="inlineStr">
        <is>
          <t>480</t>
        </is>
      </c>
      <c r="F11" s="6">
        <f>TEXT(C11/B11,"0%")</f>
        <v/>
      </c>
      <c r="G11" s="5" t="inlineStr">
        <is>
          <t>Cut losses faster on earnings trades</t>
        </is>
      </c>
    </row>
    <row r="12" ht="22" customHeight="1">
      <c r="A12" s="5" t="inlineStr">
        <is>
          <t>Week 3 - Jan</t>
        </is>
      </c>
      <c r="B12" s="5" t="inlineStr">
        <is>
          <t>8</t>
        </is>
      </c>
      <c r="C12" s="5" t="inlineStr">
        <is>
          <t>5</t>
        </is>
      </c>
      <c r="D12" s="5" t="inlineStr">
        <is>
          <t>3</t>
        </is>
      </c>
      <c r="E12" s="5" t="inlineStr">
        <is>
          <t>480</t>
        </is>
      </c>
      <c r="F12" s="6">
        <f>TEXT(C12/B12,"0%")</f>
        <v/>
      </c>
      <c r="G12" s="5" t="inlineStr">
        <is>
          <t>Cut losses faster on earnings trades</t>
        </is>
      </c>
    </row>
    <row r="13" ht="22" customHeight="1">
      <c r="A13" s="5" t="inlineStr">
        <is>
          <t>Week 3 - Jan</t>
        </is>
      </c>
      <c r="B13" s="5" t="inlineStr">
        <is>
          <t>8</t>
        </is>
      </c>
      <c r="C13" s="5" t="inlineStr">
        <is>
          <t>5</t>
        </is>
      </c>
      <c r="D13" s="5" t="inlineStr">
        <is>
          <t>3</t>
        </is>
      </c>
      <c r="E13" s="5" t="inlineStr">
        <is>
          <t>480</t>
        </is>
      </c>
      <c r="F13" s="6">
        <f>TEXT(C13/B13,"0%")</f>
        <v/>
      </c>
      <c r="G13" s="5" t="inlineStr">
        <is>
          <t>Cut losses faster on earnings trades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CA8A04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2" customWidth="1" min="4" max="4"/>
    <col width="14" customWidth="1" min="5" max="5"/>
    <col width="14" customWidth="1" min="6" max="6"/>
  </cols>
  <sheetData>
    <row r="1">
      <c r="A1" s="4" t="inlineStr">
        <is>
          <t>Setup</t>
        </is>
      </c>
      <c r="B1" s="4" t="inlineStr">
        <is>
          <t>Total Trades</t>
        </is>
      </c>
      <c r="C1" s="4" t="inlineStr">
        <is>
          <t>Wins</t>
        </is>
      </c>
      <c r="D1" s="4" t="inlineStr">
        <is>
          <t>Win Rate</t>
        </is>
      </c>
      <c r="E1" s="4" t="inlineStr">
        <is>
          <t>Avg P&amp;L $</t>
        </is>
      </c>
      <c r="F1" s="4" t="inlineStr">
        <is>
          <t>Best Trade $</t>
        </is>
      </c>
    </row>
    <row r="2" ht="22" customHeight="1">
      <c r="A2" s="5" t="inlineStr">
        <is>
          <t>Breakout</t>
        </is>
      </c>
      <c r="B2" s="5" t="inlineStr">
        <is>
          <t>24</t>
        </is>
      </c>
      <c r="C2" s="5" t="inlineStr">
        <is>
          <t>16</t>
        </is>
      </c>
      <c r="D2" s="6">
        <f>TEXT(C2/B2,"0%")</f>
        <v/>
      </c>
      <c r="E2" s="5" t="inlineStr">
        <is>
          <t>85</t>
        </is>
      </c>
      <c r="F2" s="5" t="inlineStr">
        <is>
          <t>540</t>
        </is>
      </c>
    </row>
    <row r="3" ht="22" customHeight="1">
      <c r="A3" s="5" t="inlineStr">
        <is>
          <t>Breakout</t>
        </is>
      </c>
      <c r="B3" s="5" t="inlineStr">
        <is>
          <t>24</t>
        </is>
      </c>
      <c r="C3" s="5" t="inlineStr">
        <is>
          <t>16</t>
        </is>
      </c>
      <c r="D3" s="6">
        <f>TEXT(C3/B3,"0%")</f>
        <v/>
      </c>
      <c r="E3" s="5" t="inlineStr">
        <is>
          <t>85</t>
        </is>
      </c>
      <c r="F3" s="5" t="inlineStr">
        <is>
          <t>540</t>
        </is>
      </c>
    </row>
    <row r="4" ht="22" customHeight="1">
      <c r="A4" s="5" t="inlineStr">
        <is>
          <t>Breakout</t>
        </is>
      </c>
      <c r="B4" s="5" t="inlineStr">
        <is>
          <t>24</t>
        </is>
      </c>
      <c r="C4" s="5" t="inlineStr">
        <is>
          <t>16</t>
        </is>
      </c>
      <c r="D4" s="6">
        <f>TEXT(C4/B4,"0%")</f>
        <v/>
      </c>
      <c r="E4" s="5" t="inlineStr">
        <is>
          <t>85</t>
        </is>
      </c>
      <c r="F4" s="5" t="inlineStr">
        <is>
          <t>540</t>
        </is>
      </c>
    </row>
    <row r="5" ht="22" customHeight="1">
      <c r="A5" s="5" t="inlineStr">
        <is>
          <t>Breakout</t>
        </is>
      </c>
      <c r="B5" s="5" t="inlineStr">
        <is>
          <t>24</t>
        </is>
      </c>
      <c r="C5" s="5" t="inlineStr">
        <is>
          <t>16</t>
        </is>
      </c>
      <c r="D5" s="6">
        <f>TEXT(C5/B5,"0%")</f>
        <v/>
      </c>
      <c r="E5" s="5" t="inlineStr">
        <is>
          <t>85</t>
        </is>
      </c>
      <c r="F5" s="5" t="inlineStr">
        <is>
          <t>540</t>
        </is>
      </c>
    </row>
    <row r="6" ht="22" customHeight="1">
      <c r="A6" s="5" t="inlineStr">
        <is>
          <t>Breakout</t>
        </is>
      </c>
      <c r="B6" s="5" t="inlineStr">
        <is>
          <t>24</t>
        </is>
      </c>
      <c r="C6" s="5" t="inlineStr">
        <is>
          <t>16</t>
        </is>
      </c>
      <c r="D6" s="6">
        <f>TEXT(C6/B6,"0%")</f>
        <v/>
      </c>
      <c r="E6" s="5" t="inlineStr">
        <is>
          <t>85</t>
        </is>
      </c>
      <c r="F6" s="5" t="inlineStr">
        <is>
          <t>540</t>
        </is>
      </c>
    </row>
    <row r="7" ht="22" customHeight="1">
      <c r="A7" s="5" t="inlineStr">
        <is>
          <t>Breakout</t>
        </is>
      </c>
      <c r="B7" s="5" t="inlineStr">
        <is>
          <t>24</t>
        </is>
      </c>
      <c r="C7" s="5" t="inlineStr">
        <is>
          <t>16</t>
        </is>
      </c>
      <c r="D7" s="6">
        <f>TEXT(C7/B7,"0%")</f>
        <v/>
      </c>
      <c r="E7" s="5" t="inlineStr">
        <is>
          <t>85</t>
        </is>
      </c>
      <c r="F7" s="5" t="inlineStr">
        <is>
          <t>540</t>
        </is>
      </c>
    </row>
    <row r="8" ht="22" customHeight="1">
      <c r="A8" s="5" t="inlineStr">
        <is>
          <t>Breakout</t>
        </is>
      </c>
      <c r="B8" s="5" t="inlineStr">
        <is>
          <t>24</t>
        </is>
      </c>
      <c r="C8" s="5" t="inlineStr">
        <is>
          <t>16</t>
        </is>
      </c>
      <c r="D8" s="6">
        <f>TEXT(C8/B8,"0%")</f>
        <v/>
      </c>
      <c r="E8" s="5" t="inlineStr">
        <is>
          <t>85</t>
        </is>
      </c>
      <c r="F8" s="5" t="inlineStr">
        <is>
          <t>540</t>
        </is>
      </c>
    </row>
    <row r="9" ht="22" customHeight="1">
      <c r="A9" s="5" t="inlineStr">
        <is>
          <t>Breakout</t>
        </is>
      </c>
      <c r="B9" s="5" t="inlineStr">
        <is>
          <t>24</t>
        </is>
      </c>
      <c r="C9" s="5" t="inlineStr">
        <is>
          <t>16</t>
        </is>
      </c>
      <c r="D9" s="6">
        <f>TEXT(C9/B9,"0%")</f>
        <v/>
      </c>
      <c r="E9" s="5" t="inlineStr">
        <is>
          <t>85</t>
        </is>
      </c>
      <c r="F9" s="5" t="inlineStr">
        <is>
          <t>540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DC2626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Reports — Auto-Generated</t>
        </is>
      </c>
    </row>
    <row r="3">
      <c r="A3" s="8" t="inlineStr">
        <is>
          <t>Trading Performance</t>
        </is>
      </c>
    </row>
    <row r="4">
      <c r="A4" s="9" t="inlineStr">
        <is>
          <t>Total Trades</t>
        </is>
      </c>
      <c r="B4" s="6">
        <f>COUNTA(Trades!A:A)-1</f>
        <v/>
      </c>
    </row>
    <row r="5">
      <c r="A5" s="9" t="inlineStr">
        <is>
          <t>Total Wins</t>
        </is>
      </c>
      <c r="B5" s="6">
        <f>COUNTIF(Trades!I:I,"Win")</f>
        <v/>
      </c>
    </row>
    <row r="6">
      <c r="A6" s="9" t="inlineStr">
        <is>
          <t>Net P&amp;L</t>
        </is>
      </c>
      <c r="B6" s="6">
        <f>SUM(Trades!G:G)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2026-06-16T07:19:34Z</dcterms:created>
  <dcterms:modified xsi:type="dcterms:W3CDTF">2026-06-16T07:19:34Z</dcterms:modified>
</cp:coreProperties>
</file>