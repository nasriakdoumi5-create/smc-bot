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rades" sheetId="2" state="visible" r:id="rId2"/>
    <sheet name="Dashboard" sheetId="3" state="visible" r:id="rId3"/>
    <sheet name="Weekly Review" sheetId="4" state="visible" r:id="rId4"/>
    <sheet name="Setup Analysis" sheetId="5" state="visible" r:id="rId5"/>
    <sheet name="Annual P&amp;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15803D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52E16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52E16"/>
      </patternFill>
    </fill>
    <fill>
      <patternFill patternType="solid">
        <fgColor rgb="00FFF7F0"/>
      </patternFill>
    </fill>
    <fill>
      <patternFill patternType="solid">
        <fgColor rgb="0015803D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📈  STOCK TRADING JOURNAL &amp; P&amp;L</t>
        </is>
      </c>
    </row>
    <row r="3"/>
    <row r="4">
      <c r="B4" s="2" t="inlineStr">
        <is>
          <t>Trade Log, Win Rate &amp; Performance Google Sheets</t>
        </is>
      </c>
    </row>
    <row r="6">
      <c r="B6" s="3" t="inlineStr">
        <is>
          <t>STEP 1 — Fill in “Trades”</t>
        </is>
      </c>
    </row>
    <row r="7" ht="28" customHeight="1">
      <c r="B7" s="4" t="inlineStr">
        <is>
          <t>All trades: entry, exit, size, P&amp;L, and rationale.</t>
        </is>
      </c>
    </row>
    <row r="9">
      <c r="B9" s="3" t="inlineStr">
        <is>
          <t>STEP 2 — Fill in “Weekly Review”</t>
        </is>
      </c>
    </row>
    <row r="10" ht="28" customHeight="1">
      <c r="B10" s="4" t="inlineStr">
        <is>
          <t>Weekly trading performance summary.</t>
        </is>
      </c>
    </row>
    <row r="12">
      <c r="B12" s="3" t="inlineStr">
        <is>
          <t>STEP 3 — Fill in “Setup Analysis”</t>
        </is>
      </c>
    </row>
    <row r="13" ht="28" customHeight="1">
      <c r="B13" s="4" t="inlineStr">
        <is>
          <t>Win rate and average P&amp;L by trade setup type.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20" customWidth="1" min="10" max="10"/>
  </cols>
  <sheetData>
    <row r="1">
      <c r="A1" s="6" t="inlineStr">
        <is>
          <t>Date</t>
        </is>
      </c>
      <c r="B1" s="6" t="inlineStr">
        <is>
          <t>Ticker</t>
        </is>
      </c>
      <c r="C1" s="6" t="inlineStr">
        <is>
          <t>Direction</t>
        </is>
      </c>
      <c r="D1" s="6" t="inlineStr">
        <is>
          <t>Entry $</t>
        </is>
      </c>
      <c r="E1" s="6" t="inlineStr">
        <is>
          <t>Exit $</t>
        </is>
      </c>
      <c r="F1" s="6" t="inlineStr">
        <is>
          <t>Shares</t>
        </is>
      </c>
      <c r="G1" s="6" t="inlineStr">
        <is>
          <t>P&amp;L $</t>
        </is>
      </c>
      <c r="H1" s="6" t="inlineStr">
        <is>
          <t>P&amp;L %</t>
        </is>
      </c>
      <c r="I1" s="6" t="inlineStr">
        <is>
          <t>Result</t>
        </is>
      </c>
      <c r="J1" s="6" t="inlineStr">
        <is>
          <t>Setup</t>
        </is>
      </c>
    </row>
    <row r="2">
      <c r="A2" s="7" t="n">
        <v>46174</v>
      </c>
      <c r="B2" s="8" t="inlineStr">
        <is>
          <t>AAPL</t>
        </is>
      </c>
      <c r="C2" s="8" t="inlineStr">
        <is>
          <t>Long</t>
        </is>
      </c>
      <c r="D2" s="8" t="n">
        <v>175</v>
      </c>
      <c r="E2" s="8" t="n">
        <v>182</v>
      </c>
      <c r="F2" s="8" t="n">
        <v>20</v>
      </c>
      <c r="G2" s="8">
        <f>(E2-D2)*F2</f>
        <v/>
      </c>
      <c r="H2" s="8">
        <f>TEXT((E2-D2)/D2,"0.0%")</f>
        <v/>
      </c>
      <c r="I2" s="8" t="inlineStr">
        <is>
          <t>Win</t>
        </is>
      </c>
      <c r="J2" s="8" t="inlineStr">
        <is>
          <t>Breakout</t>
        </is>
      </c>
    </row>
    <row r="3">
      <c r="A3" s="9" t="n">
        <v>46180</v>
      </c>
      <c r="B3" s="10" t="inlineStr">
        <is>
          <t>AAPL</t>
        </is>
      </c>
      <c r="C3" s="10" t="inlineStr">
        <is>
          <t>Short</t>
        </is>
      </c>
      <c r="D3" s="10" t="n">
        <v>122</v>
      </c>
      <c r="E3" s="10" t="n">
        <v>127</v>
      </c>
      <c r="F3" s="10" t="n">
        <v>14</v>
      </c>
      <c r="G3" s="10">
        <f>(E3-D3)*F3</f>
        <v/>
      </c>
      <c r="H3" s="10">
        <f>TEXT((E3-D3)/D3,"0.0%")</f>
        <v/>
      </c>
      <c r="I3" s="10" t="inlineStr">
        <is>
          <t>Loss</t>
        </is>
      </c>
      <c r="J3" s="10" t="inlineStr">
        <is>
          <t>Pullback</t>
        </is>
      </c>
    </row>
    <row r="4">
      <c r="A4" s="7" t="n">
        <v>46186</v>
      </c>
      <c r="B4" s="8" t="inlineStr"/>
      <c r="C4" s="8" t="inlineStr">
        <is>
          <t>Long</t>
        </is>
      </c>
      <c r="D4" s="8" t="n">
        <v>228</v>
      </c>
      <c r="E4" s="8" t="n">
        <v>237</v>
      </c>
      <c r="F4" s="8" t="n">
        <v>26</v>
      </c>
      <c r="G4" s="8">
        <f>(E4-D4)*F4</f>
        <v/>
      </c>
      <c r="H4" s="8">
        <f>TEXT((E4-D4)/D4,"0.0%")</f>
        <v/>
      </c>
      <c r="I4" s="8" t="inlineStr">
        <is>
          <t>Break Even</t>
        </is>
      </c>
      <c r="J4" s="8" t="inlineStr">
        <is>
          <t>Reversal</t>
        </is>
      </c>
    </row>
    <row r="5">
      <c r="A5" s="9" t="n">
        <v>46189</v>
      </c>
      <c r="B5" s="10" t="inlineStr">
        <is>
          <t>AAPL</t>
        </is>
      </c>
      <c r="C5" s="10" t="inlineStr">
        <is>
          <t>Short</t>
        </is>
      </c>
      <c r="D5" s="10" t="n">
        <v>149</v>
      </c>
      <c r="E5" s="10" t="n">
        <v>155</v>
      </c>
      <c r="F5" s="10" t="n">
        <v>17</v>
      </c>
      <c r="G5" s="10">
        <f>(E5-D5)*F5</f>
        <v/>
      </c>
      <c r="H5" s="10">
        <f>TEXT((E5-D5)/D5,"0.0%")</f>
        <v/>
      </c>
      <c r="I5" s="10" t="inlineStr">
        <is>
          <t>Win</t>
        </is>
      </c>
      <c r="J5" s="10" t="inlineStr">
        <is>
          <t>Earnings</t>
        </is>
      </c>
    </row>
    <row r="6">
      <c r="A6" s="7" t="n">
        <v>46195</v>
      </c>
      <c r="B6" s="8" t="inlineStr">
        <is>
          <t>AAPL</t>
        </is>
      </c>
      <c r="C6" s="8" t="inlineStr">
        <is>
          <t>Long</t>
        </is>
      </c>
      <c r="D6" s="8" t="n">
        <v>201</v>
      </c>
      <c r="E6" s="8" t="n">
        <v>209</v>
      </c>
      <c r="F6" s="8" t="n">
        <v>23</v>
      </c>
      <c r="G6" s="8">
        <f>(E6-D6)*F6</f>
        <v/>
      </c>
      <c r="H6" s="8">
        <f>TEXT((E6-D6)/D6,"0.0%")</f>
        <v/>
      </c>
      <c r="I6" s="8" t="inlineStr">
        <is>
          <t>Loss</t>
        </is>
      </c>
      <c r="J6" s="8" t="inlineStr">
        <is>
          <t>Gap Up</t>
        </is>
      </c>
    </row>
    <row r="7">
      <c r="A7" s="9" t="n">
        <v>46201</v>
      </c>
      <c r="B7" s="10" t="inlineStr"/>
      <c r="C7" s="10" t="inlineStr">
        <is>
          <t>Short</t>
        </is>
      </c>
      <c r="D7" s="10" t="n">
        <v>105</v>
      </c>
      <c r="E7" s="10" t="n">
        <v>109</v>
      </c>
      <c r="F7" s="10" t="n">
        <v>12</v>
      </c>
      <c r="G7" s="10">
        <f>(E7-D7)*F7</f>
        <v/>
      </c>
      <c r="H7" s="10">
        <f>TEXT((E7-D7)/D7,"0.0%")</f>
        <v/>
      </c>
      <c r="I7" s="10" t="inlineStr">
        <is>
          <t>Break Even</t>
        </is>
      </c>
      <c r="J7" s="10" t="inlineStr">
        <is>
          <t>Momentum</t>
        </is>
      </c>
    </row>
    <row r="8">
      <c r="A8" s="7" t="n">
        <v>46176</v>
      </c>
      <c r="B8" s="8" t="inlineStr">
        <is>
          <t>AAPL</t>
        </is>
      </c>
      <c r="C8" s="8" t="inlineStr">
        <is>
          <t>Long</t>
        </is>
      </c>
      <c r="D8" s="8" t="n">
        <v>254</v>
      </c>
      <c r="E8" s="8" t="n">
        <v>264</v>
      </c>
      <c r="F8" s="8" t="n">
        <v>29</v>
      </c>
      <c r="G8" s="8">
        <f>(E8-D8)*F8</f>
        <v/>
      </c>
      <c r="H8" s="8">
        <f>TEXT((E8-D8)/D8,"0.0%")</f>
        <v/>
      </c>
      <c r="I8" s="8" t="inlineStr">
        <is>
          <t>Win</t>
        </is>
      </c>
      <c r="J8" s="8" t="inlineStr">
        <is>
          <t>Other</t>
        </is>
      </c>
    </row>
    <row r="9">
      <c r="A9" s="9" t="n">
        <v>46182</v>
      </c>
      <c r="B9" s="10" t="inlineStr">
        <is>
          <t>AAPL</t>
        </is>
      </c>
      <c r="C9" s="10" t="inlineStr">
        <is>
          <t>Short</t>
        </is>
      </c>
      <c r="D9" s="10" t="n">
        <v>166</v>
      </c>
      <c r="E9" s="10" t="n">
        <v>173</v>
      </c>
      <c r="F9" s="10" t="n">
        <v>19</v>
      </c>
      <c r="G9" s="10">
        <f>(E9-D9)*F9</f>
        <v/>
      </c>
      <c r="H9" s="10">
        <f>TEXT((E9-D9)/D9,"0.0%")</f>
        <v/>
      </c>
      <c r="I9" s="10" t="inlineStr">
        <is>
          <t>Loss</t>
        </is>
      </c>
      <c r="J9" s="10" t="inlineStr">
        <is>
          <t>Breakout</t>
        </is>
      </c>
    </row>
    <row r="10">
      <c r="A10" s="7" t="n">
        <v>46188</v>
      </c>
      <c r="B10" s="8" t="inlineStr"/>
      <c r="C10" s="8" t="inlineStr">
        <is>
          <t>Long</t>
        </is>
      </c>
      <c r="D10" s="8" t="n">
        <v>219</v>
      </c>
      <c r="E10" s="8" t="n">
        <v>228</v>
      </c>
      <c r="F10" s="8" t="n">
        <v>25</v>
      </c>
      <c r="G10" s="8">
        <f>(E10-D10)*F10</f>
        <v/>
      </c>
      <c r="H10" s="8">
        <f>TEXT((E10-D10)/D10,"0.0%")</f>
        <v/>
      </c>
      <c r="I10" s="8" t="inlineStr">
        <is>
          <t>Break Even</t>
        </is>
      </c>
      <c r="J10" s="8" t="inlineStr">
        <is>
          <t>Pullback</t>
        </is>
      </c>
    </row>
    <row r="11">
      <c r="A11" s="9" t="n">
        <v>46191</v>
      </c>
      <c r="B11" s="10" t="inlineStr">
        <is>
          <t>AAPL</t>
        </is>
      </c>
      <c r="C11" s="10" t="inlineStr">
        <is>
          <t>Short</t>
        </is>
      </c>
      <c r="D11" s="10" t="n">
        <v>140</v>
      </c>
      <c r="E11" s="10" t="n">
        <v>146</v>
      </c>
      <c r="F11" s="10" t="n">
        <v>16</v>
      </c>
      <c r="G11" s="10">
        <f>(E11-D11)*F11</f>
        <v/>
      </c>
      <c r="H11" s="10">
        <f>TEXT((E11-D11)/D11,"0.0%")</f>
        <v/>
      </c>
      <c r="I11" s="10" t="inlineStr">
        <is>
          <t>Win</t>
        </is>
      </c>
      <c r="J11" s="10" t="inlineStr">
        <is>
          <t>Reversal</t>
        </is>
      </c>
    </row>
    <row r="12">
      <c r="A12" s="7" t="n">
        <v>46197</v>
      </c>
      <c r="B12" s="8" t="inlineStr">
        <is>
          <t>AAPL</t>
        </is>
      </c>
      <c r="C12" s="8" t="inlineStr">
        <is>
          <t>Long</t>
        </is>
      </c>
      <c r="D12" s="8" t="n">
        <v>193</v>
      </c>
      <c r="E12" s="8" t="n">
        <v>200</v>
      </c>
      <c r="F12" s="8" t="n">
        <v>22</v>
      </c>
      <c r="G12" s="8">
        <f>(E12-D12)*F12</f>
        <v/>
      </c>
      <c r="H12" s="8">
        <f>TEXT((E12-D12)/D12,"0.0%")</f>
        <v/>
      </c>
      <c r="I12" s="8" t="inlineStr">
        <is>
          <t>Loss</t>
        </is>
      </c>
      <c r="J12" s="8" t="inlineStr">
        <is>
          <t>Earnings</t>
        </is>
      </c>
    </row>
    <row r="13">
      <c r="A13" s="9" t="n">
        <v>46175</v>
      </c>
      <c r="B13" s="10" t="inlineStr"/>
      <c r="C13" s="10" t="inlineStr">
        <is>
          <t>Short</t>
        </is>
      </c>
      <c r="D13" s="10" t="n">
        <v>131</v>
      </c>
      <c r="E13" s="10" t="n">
        <v>136</v>
      </c>
      <c r="F13" s="10" t="n">
        <v>15</v>
      </c>
      <c r="G13" s="10">
        <f>(E13-D13)*F13</f>
        <v/>
      </c>
      <c r="H13" s="10">
        <f>TEXT((E13-D13)/D13,"0.0%")</f>
        <v/>
      </c>
      <c r="I13" s="10" t="inlineStr">
        <is>
          <t>Break Even</t>
        </is>
      </c>
      <c r="J13" s="10" t="inlineStr">
        <is>
          <t>Gap Up</t>
        </is>
      </c>
    </row>
  </sheetData>
  <dataValidations count="3">
    <dataValidation sqref="C2:C500" showDropDown="0" showInputMessage="0" showErrorMessage="0" allowBlank="1" type="list">
      <formula1>"Long,Short"</formula1>
    </dataValidation>
    <dataValidation sqref="I2:I500" showDropDown="0" showInputMessage="0" showErrorMessage="0" allowBlank="1" type="list">
      <formula1>"Win,Loss,Break Even"</formula1>
    </dataValidation>
    <dataValidation sqref="J2:J500" showDropDown="0" showInputMessage="0" showErrorMessage="0" allowBlank="1" type="list">
      <formula1>"Breakout,Pullback,Reversal,Earnings,Gap Up,Momentum,Other"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STOCK TRADING JOURNAL &amp; P&amp;L — DASHBOARD</t>
        </is>
      </c>
    </row>
    <row r="4">
      <c r="B4" s="12" t="inlineStr">
        <is>
          <t>TOTAL TRADES</t>
        </is>
      </c>
      <c r="D4" s="13" t="inlineStr">
        <is>
          <t>WIN RATE %</t>
        </is>
      </c>
      <c r="F4" s="14" t="inlineStr">
        <is>
          <t>NET P&amp;L $</t>
        </is>
      </c>
      <c r="H4" s="15" t="inlineStr">
        <is>
          <t>AVG WIN $</t>
        </is>
      </c>
    </row>
    <row r="5" ht="26" customHeight="1">
      <c r="B5" s="16">
        <f>COUNTA(Trades!A:A)-1</f>
        <v/>
      </c>
      <c r="D5" s="17">
        <f>TEXT(COUNTIF(Trades!I:I,"Win")/COUNTA(Trades!A:A),"0.0%")</f>
        <v/>
      </c>
      <c r="F5" s="18">
        <f>SUM(Trades!H:H)</f>
        <v/>
      </c>
      <c r="H5" s="19">
        <f>AVERAGEIF(Trades!I:I,"Win",Trades!H:H)</f>
        <v/>
      </c>
    </row>
    <row r="8">
      <c r="B8" s="20" t="inlineStr">
        <is>
          <t>WHAT'S INSIDE</t>
        </is>
      </c>
    </row>
    <row r="9">
      <c r="B9" s="21" t="inlineStr">
        <is>
          <t>📋  Trades — All trades: entry, exit, size, P&amp;L, and rationale.</t>
        </is>
      </c>
    </row>
    <row r="10">
      <c r="B10" s="21" t="inlineStr">
        <is>
          <t>📅  Weekly Review — Weekly trading performance summary.</t>
        </is>
      </c>
    </row>
    <row r="11">
      <c r="B11" s="21" t="inlineStr">
        <is>
          <t>🔍  Setup Analysis — Win rate and average P&amp;L by trade setup type.</t>
        </is>
      </c>
    </row>
    <row r="12">
      <c r="B12" s="21" t="inlineStr">
        <is>
          <t>📊  Annual P&amp;L — Annual trading income for tax reporting.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6" t="inlineStr">
        <is>
          <t>Week</t>
        </is>
      </c>
      <c r="B1" s="6" t="inlineStr">
        <is>
          <t>Trades</t>
        </is>
      </c>
      <c r="C1" s="6" t="inlineStr">
        <is>
          <t>Wins</t>
        </is>
      </c>
      <c r="D1" s="6" t="inlineStr">
        <is>
          <t>Losses</t>
        </is>
      </c>
      <c r="E1" s="6" t="inlineStr">
        <is>
          <t>Net P&amp;L $</t>
        </is>
      </c>
      <c r="F1" s="6" t="inlineStr">
        <is>
          <t>Win Rate</t>
        </is>
      </c>
      <c r="G1" s="6" t="inlineStr">
        <is>
          <t>Lessons</t>
        </is>
      </c>
    </row>
    <row r="2">
      <c r="A2" s="8" t="inlineStr">
        <is>
          <t>Week 3 - Jan</t>
        </is>
      </c>
      <c r="B2" s="8" t="n">
        <v>8</v>
      </c>
      <c r="C2" s="8" t="n">
        <v>5</v>
      </c>
      <c r="D2" s="8" t="n">
        <v>3</v>
      </c>
      <c r="E2" s="8" t="n">
        <v>480</v>
      </c>
      <c r="F2" s="8">
        <f>TEXT(C2/B2,"0%")</f>
        <v/>
      </c>
      <c r="G2" s="8" t="inlineStr">
        <is>
          <t>Cut losses faster on earnings trades</t>
        </is>
      </c>
    </row>
    <row r="3">
      <c r="A3" s="10" t="inlineStr">
        <is>
          <t>Week 3 - Jan</t>
        </is>
      </c>
      <c r="B3" s="10" t="n">
        <v>5.6</v>
      </c>
      <c r="C3" s="10" t="n">
        <v>3.5</v>
      </c>
      <c r="D3" s="10" t="n">
        <v>2.1</v>
      </c>
      <c r="E3" s="10" t="n">
        <v>336</v>
      </c>
      <c r="F3" s="10">
        <f>TEXT(C3/B3,"0%")</f>
        <v/>
      </c>
      <c r="G3" s="10" t="inlineStr">
        <is>
          <t>Cut losses faster on earnings trades</t>
        </is>
      </c>
    </row>
    <row r="4">
      <c r="A4" s="8" t="inlineStr"/>
      <c r="B4" s="8" t="n">
        <v>10.4</v>
      </c>
      <c r="C4" s="8" t="n">
        <v>6.5</v>
      </c>
      <c r="D4" s="8" t="n">
        <v>3.9</v>
      </c>
      <c r="E4" s="8" t="n">
        <v>624</v>
      </c>
      <c r="F4" s="8">
        <f>TEXT(C4/B4,"0%")</f>
        <v/>
      </c>
      <c r="G4" s="8" t="inlineStr"/>
    </row>
    <row r="5">
      <c r="A5" s="10" t="inlineStr">
        <is>
          <t>Week 3 - Jan</t>
        </is>
      </c>
      <c r="B5" s="10" t="n">
        <v>6.8</v>
      </c>
      <c r="C5" s="10" t="n">
        <v>4.25</v>
      </c>
      <c r="D5" s="10" t="n">
        <v>2.55</v>
      </c>
      <c r="E5" s="10" t="n">
        <v>408</v>
      </c>
      <c r="F5" s="10">
        <f>TEXT(C5/B5,"0%")</f>
        <v/>
      </c>
      <c r="G5" s="10" t="inlineStr">
        <is>
          <t>Cut losses faster on earnings trades</t>
        </is>
      </c>
    </row>
    <row r="6">
      <c r="A6" s="8" t="inlineStr">
        <is>
          <t>Week 3 - Jan</t>
        </is>
      </c>
      <c r="B6" s="8" t="n">
        <v>9.199999999999999</v>
      </c>
      <c r="C6" s="8" t="n">
        <v>5.75</v>
      </c>
      <c r="D6" s="8" t="n">
        <v>3.45</v>
      </c>
      <c r="E6" s="8" t="n">
        <v>552</v>
      </c>
      <c r="F6" s="8">
        <f>TEXT(C6/B6,"0%")</f>
        <v/>
      </c>
      <c r="G6" s="8" t="inlineStr">
        <is>
          <t>Cut losses faster on earnings trades</t>
        </is>
      </c>
    </row>
    <row r="7">
      <c r="A7" s="10" t="inlineStr"/>
      <c r="B7" s="10" t="n">
        <v>4.8</v>
      </c>
      <c r="C7" s="10" t="n">
        <v>3</v>
      </c>
      <c r="D7" s="10" t="n">
        <v>1.8</v>
      </c>
      <c r="E7" s="10" t="n">
        <v>288</v>
      </c>
      <c r="F7" s="10">
        <f>TEXT(C7/B7,"0%")</f>
        <v/>
      </c>
      <c r="G7" s="10" t="inlineStr"/>
    </row>
    <row r="8">
      <c r="A8" s="8" t="inlineStr">
        <is>
          <t>Week 3 - Jan</t>
        </is>
      </c>
      <c r="B8" s="8" t="n">
        <v>11.6</v>
      </c>
      <c r="C8" s="8" t="n">
        <v>7.25</v>
      </c>
      <c r="D8" s="8" t="n">
        <v>4.35</v>
      </c>
      <c r="E8" s="8" t="n">
        <v>696</v>
      </c>
      <c r="F8" s="8">
        <f>TEXT(C8/B8,"0%")</f>
        <v/>
      </c>
      <c r="G8" s="8" t="inlineStr">
        <is>
          <t>Cut losses faster on earnings trades</t>
        </is>
      </c>
    </row>
    <row r="9">
      <c r="A9" s="10" t="inlineStr">
        <is>
          <t>Week 3 - Jan</t>
        </is>
      </c>
      <c r="B9" s="10" t="n">
        <v>7.6</v>
      </c>
      <c r="C9" s="10" t="n">
        <v>4.75</v>
      </c>
      <c r="D9" s="10" t="n">
        <v>2.85</v>
      </c>
      <c r="E9" s="10" t="n">
        <v>456</v>
      </c>
      <c r="F9" s="10">
        <f>TEXT(C9/B9,"0%")</f>
        <v/>
      </c>
      <c r="G9" s="10" t="inlineStr">
        <is>
          <t>Cut losses faster on earnings trades</t>
        </is>
      </c>
    </row>
    <row r="10">
      <c r="A10" s="8" t="inlineStr"/>
      <c r="B10" s="8" t="n">
        <v>10</v>
      </c>
      <c r="C10" s="8" t="n">
        <v>6.25</v>
      </c>
      <c r="D10" s="8" t="n">
        <v>3.75</v>
      </c>
      <c r="E10" s="8" t="n">
        <v>600</v>
      </c>
      <c r="F10" s="8">
        <f>TEXT(C10/B10,"0%")</f>
        <v/>
      </c>
      <c r="G10" s="8" t="inlineStr"/>
    </row>
    <row r="11">
      <c r="A11" s="10" t="inlineStr">
        <is>
          <t>Week 3 - Jan</t>
        </is>
      </c>
      <c r="B11" s="10" t="n">
        <v>6.4</v>
      </c>
      <c r="C11" s="10" t="n">
        <v>4</v>
      </c>
      <c r="D11" s="10" t="n">
        <v>2.4</v>
      </c>
      <c r="E11" s="10" t="n">
        <v>384</v>
      </c>
      <c r="F11" s="10">
        <f>TEXT(C11/B11,"0%")</f>
        <v/>
      </c>
      <c r="G11" s="10" t="inlineStr">
        <is>
          <t>Cut losses faster on earnings trades</t>
        </is>
      </c>
    </row>
    <row r="12">
      <c r="A12" s="8" t="inlineStr">
        <is>
          <t>Week 3 - Jan</t>
        </is>
      </c>
      <c r="B12" s="8" t="n">
        <v>8.800000000000001</v>
      </c>
      <c r="C12" s="8" t="n">
        <v>5.5</v>
      </c>
      <c r="D12" s="8" t="n">
        <v>3.3</v>
      </c>
      <c r="E12" s="8" t="n">
        <v>528</v>
      </c>
      <c r="F12" s="8">
        <f>TEXT(C12/B12,"0%")</f>
        <v/>
      </c>
      <c r="G12" s="8" t="inlineStr">
        <is>
          <t>Cut losses faster on earnings trades</t>
        </is>
      </c>
    </row>
    <row r="13">
      <c r="A13" s="10" t="inlineStr"/>
      <c r="B13" s="10" t="n">
        <v>6</v>
      </c>
      <c r="C13" s="10" t="n">
        <v>3.75</v>
      </c>
      <c r="D13" s="10" t="n">
        <v>2.25</v>
      </c>
      <c r="E13" s="10" t="n">
        <v>360</v>
      </c>
      <c r="F13" s="10">
        <f>TEXT(C13/B13,"0%")</f>
        <v/>
      </c>
      <c r="G13" s="1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Setup</t>
        </is>
      </c>
      <c r="B1" s="6" t="inlineStr">
        <is>
          <t>Total Trades</t>
        </is>
      </c>
      <c r="C1" s="6" t="inlineStr">
        <is>
          <t>Wins</t>
        </is>
      </c>
      <c r="D1" s="6" t="inlineStr">
        <is>
          <t>Win Rate</t>
        </is>
      </c>
      <c r="E1" s="6" t="inlineStr">
        <is>
          <t>Avg P&amp;L $</t>
        </is>
      </c>
      <c r="F1" s="6" t="inlineStr">
        <is>
          <t>Best Trade $</t>
        </is>
      </c>
    </row>
    <row r="2">
      <c r="A2" s="8" t="inlineStr">
        <is>
          <t>Breakout</t>
        </is>
      </c>
      <c r="B2" s="22" t="n">
        <v>24</v>
      </c>
      <c r="C2" s="8" t="n">
        <v>16</v>
      </c>
      <c r="D2" s="8">
        <f>TEXT(C2/B2,"0%")</f>
        <v/>
      </c>
      <c r="E2" s="8" t="n">
        <v>85</v>
      </c>
      <c r="F2" s="8" t="n">
        <v>540</v>
      </c>
    </row>
    <row r="3">
      <c r="A3" s="10" t="inlineStr">
        <is>
          <t>Breakout</t>
        </is>
      </c>
      <c r="B3" s="23" t="n">
        <v>16.8</v>
      </c>
      <c r="C3" s="10" t="n">
        <v>11.2</v>
      </c>
      <c r="D3" s="10">
        <f>TEXT(C3/B3,"0%")</f>
        <v/>
      </c>
      <c r="E3" s="10" t="n">
        <v>59.5</v>
      </c>
      <c r="F3" s="10" t="n">
        <v>378</v>
      </c>
    </row>
    <row r="4">
      <c r="A4" s="8" t="inlineStr"/>
      <c r="B4" s="22" t="n">
        <v>31.2</v>
      </c>
      <c r="C4" s="8" t="n">
        <v>20.8</v>
      </c>
      <c r="D4" s="8">
        <f>TEXT(C4/B4,"0%")</f>
        <v/>
      </c>
      <c r="E4" s="8" t="n">
        <v>110.5</v>
      </c>
      <c r="F4" s="8" t="n">
        <v>702</v>
      </c>
    </row>
    <row r="5">
      <c r="A5" s="10" t="inlineStr">
        <is>
          <t>Breakout</t>
        </is>
      </c>
      <c r="B5" s="23" t="n">
        <v>20.4</v>
      </c>
      <c r="C5" s="10" t="n">
        <v>13.6</v>
      </c>
      <c r="D5" s="10">
        <f>TEXT(C5/B5,"0%")</f>
        <v/>
      </c>
      <c r="E5" s="10" t="n">
        <v>72.25</v>
      </c>
      <c r="F5" s="10" t="n">
        <v>459</v>
      </c>
    </row>
    <row r="6">
      <c r="A6" s="8" t="inlineStr">
        <is>
          <t>Breakout</t>
        </is>
      </c>
      <c r="B6" s="22" t="n">
        <v>27.6</v>
      </c>
      <c r="C6" s="8" t="n">
        <v>18.4</v>
      </c>
      <c r="D6" s="8">
        <f>TEXT(C6/B6,"0%")</f>
        <v/>
      </c>
      <c r="E6" s="8" t="n">
        <v>97.75</v>
      </c>
      <c r="F6" s="8" t="n">
        <v>621</v>
      </c>
    </row>
    <row r="7">
      <c r="A7" s="10" t="inlineStr"/>
      <c r="B7" s="23" t="n">
        <v>14.4</v>
      </c>
      <c r="C7" s="10" t="n">
        <v>9.6</v>
      </c>
      <c r="D7" s="10">
        <f>TEXT(C7/B7,"0%")</f>
        <v/>
      </c>
      <c r="E7" s="10" t="n">
        <v>51</v>
      </c>
      <c r="F7" s="10" t="n">
        <v>324</v>
      </c>
    </row>
    <row r="8">
      <c r="A8" s="8" t="inlineStr">
        <is>
          <t>Breakout</t>
        </is>
      </c>
      <c r="B8" s="22" t="n">
        <v>34.8</v>
      </c>
      <c r="C8" s="8" t="n">
        <v>23.2</v>
      </c>
      <c r="D8" s="8">
        <f>TEXT(C8/B8,"0%")</f>
        <v/>
      </c>
      <c r="E8" s="8" t="n">
        <v>123.25</v>
      </c>
      <c r="F8" s="8" t="n">
        <v>783</v>
      </c>
    </row>
    <row r="9">
      <c r="A9" s="10" t="inlineStr">
        <is>
          <t>Breakout</t>
        </is>
      </c>
      <c r="B9" s="23" t="n">
        <v>22.8</v>
      </c>
      <c r="C9" s="10" t="n">
        <v>15.2</v>
      </c>
      <c r="D9" s="10">
        <f>TEXT(C9/B9,"0%")</f>
        <v/>
      </c>
      <c r="E9" s="10" t="n">
        <v>80.75</v>
      </c>
      <c r="F9" s="10" t="n">
        <v>513</v>
      </c>
    </row>
    <row r="10">
      <c r="A10" s="8" t="inlineStr"/>
      <c r="B10" s="22" t="n">
        <v>30</v>
      </c>
      <c r="C10" s="8" t="n">
        <v>20</v>
      </c>
      <c r="D10" s="8">
        <f>TEXT(C10/B10,"0%")</f>
        <v/>
      </c>
      <c r="E10" s="8" t="n">
        <v>106.25</v>
      </c>
      <c r="F10" s="8" t="n">
        <v>675</v>
      </c>
    </row>
    <row r="11">
      <c r="A11" s="10" t="inlineStr">
        <is>
          <t>Breakout</t>
        </is>
      </c>
      <c r="B11" s="23" t="n">
        <v>19.2</v>
      </c>
      <c r="C11" s="10" t="n">
        <v>12.8</v>
      </c>
      <c r="D11" s="10">
        <f>TEXT(C11/B11,"0%")</f>
        <v/>
      </c>
      <c r="E11" s="10" t="n">
        <v>68</v>
      </c>
      <c r="F11" s="10" t="n">
        <v>432</v>
      </c>
    </row>
    <row r="12">
      <c r="A12" s="8" t="inlineStr">
        <is>
          <t>Breakout</t>
        </is>
      </c>
      <c r="B12" s="22" t="n">
        <v>26.4</v>
      </c>
      <c r="C12" s="8" t="n">
        <v>17.6</v>
      </c>
      <c r="D12" s="8">
        <f>TEXT(C12/B12,"0%")</f>
        <v/>
      </c>
      <c r="E12" s="8" t="n">
        <v>93.5</v>
      </c>
      <c r="F12" s="8" t="n">
        <v>594</v>
      </c>
    </row>
    <row r="13">
      <c r="A13" s="10" t="inlineStr"/>
      <c r="B13" s="23" t="n">
        <v>18</v>
      </c>
      <c r="C13" s="10" t="n">
        <v>12</v>
      </c>
      <c r="D13" s="10">
        <f>TEXT(C13/B13,"0%")</f>
        <v/>
      </c>
      <c r="E13" s="10" t="n">
        <v>63.75</v>
      </c>
      <c r="F13" s="10" t="n">
        <v>405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ANNUAL P&amp;L</t>
        </is>
      </c>
    </row>
    <row r="4">
      <c r="B4" s="3" t="inlineStr">
        <is>
          <t>Trading Performance</t>
        </is>
      </c>
    </row>
    <row r="5">
      <c r="B5" s="10" t="inlineStr">
        <is>
          <t>Total Trades</t>
        </is>
      </c>
      <c r="C5" s="25">
        <f>COUNTA(Trades!A:A)-1</f>
        <v/>
      </c>
    </row>
    <row r="6">
      <c r="B6" s="8" t="inlineStr">
        <is>
          <t>Total Wins</t>
        </is>
      </c>
      <c r="C6" s="26">
        <f>COUNTIF(Trades!I:I,"Win")</f>
        <v/>
      </c>
    </row>
    <row r="7">
      <c r="B7" s="10" t="inlineStr">
        <is>
          <t>Net P&amp;L</t>
        </is>
      </c>
      <c r="C7" s="27">
        <f>SUM(Trades!G:G)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