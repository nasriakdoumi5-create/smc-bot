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reators" sheetId="2" state="visible" r:id="rId2"/>
    <sheet name="Dashboard" sheetId="3" state="visible" r:id="rId3"/>
    <sheet name="Campaigns" sheetId="4" state="visible" r:id="rId4"/>
    <sheet name="Approvals" sheetId="5" state="visible" r:id="rId5"/>
    <sheet name="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3B0764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EC4899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3B0764"/>
      </patternFill>
    </fill>
    <fill>
      <patternFill patternType="solid">
        <fgColor rgb="00FFF7F0"/>
      </patternFill>
    </fill>
    <fill>
      <patternFill patternType="solid">
        <fgColor rgb="00EC4899"/>
      </patternFill>
    </fill>
    <fill>
      <patternFill patternType="solid">
        <fgColor rgb="004ADE80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📲  INFLUENCER MANAGEMENT TRACKER</t>
        </is>
      </c>
    </row>
    <row r="3"/>
    <row r="4">
      <c r="B4" s="2" t="inlineStr">
        <is>
          <t>Campaigns, Creators &amp; ROI Manager Google Sheets</t>
        </is>
      </c>
    </row>
    <row r="6">
      <c r="B6" s="3" t="inlineStr">
        <is>
          <t>STEP 1 — Fill in “Creators”</t>
        </is>
      </c>
    </row>
    <row r="7" ht="28" customHeight="1">
      <c r="B7" s="4" t="inlineStr">
        <is>
          <t>Influencer directory with platform, followers, and rates.</t>
        </is>
      </c>
    </row>
    <row r="9">
      <c r="B9" s="3" t="inlineStr">
        <is>
          <t>STEP 2 — Fill in “Campaigns”</t>
        </is>
      </c>
    </row>
    <row r="10" ht="28" customHeight="1">
      <c r="B10" s="4" t="inlineStr">
        <is>
          <t>Campaigns with deliverables, timelines, and results.</t>
        </is>
      </c>
    </row>
    <row r="12">
      <c r="B12" s="3" t="inlineStr">
        <is>
          <t>STEP 3 — Fill in “Approvals”</t>
        </is>
      </c>
    </row>
    <row r="13" ht="28" customHeight="1">
      <c r="B13" s="4" t="inlineStr">
        <is>
          <t>Content approval log per deliverable.</t>
        </is>
      </c>
    </row>
    <row r="15">
      <c r="B15" s="3" t="inlineStr">
        <is>
          <t>STEP 4 — Fill in “Performance”</t>
        </is>
      </c>
    </row>
    <row r="16" ht="28" customHeight="1">
      <c r="B16" s="4" t="inlineStr">
        <is>
          <t>Creator performance scorecard by campaign.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26" customWidth="1" min="8" max="8"/>
  </cols>
  <sheetData>
    <row r="1">
      <c r="A1" s="6" t="inlineStr">
        <is>
          <t>Creator Name</t>
        </is>
      </c>
      <c r="B1" s="6" t="inlineStr">
        <is>
          <t>Platform</t>
        </is>
      </c>
      <c r="C1" s="6" t="inlineStr">
        <is>
          <t>Followers</t>
        </is>
      </c>
      <c r="D1" s="6" t="inlineStr">
        <is>
          <t>Niche</t>
        </is>
      </c>
      <c r="E1" s="6" t="inlineStr">
        <is>
          <t>Eng Rate %</t>
        </is>
      </c>
      <c r="F1" s="6" t="inlineStr">
        <is>
          <t>Rate/Post $</t>
        </is>
      </c>
      <c r="G1" s="6" t="inlineStr">
        <is>
          <t>Status</t>
        </is>
      </c>
      <c r="H1" s="6" t="inlineStr">
        <is>
          <t>Contact</t>
        </is>
      </c>
    </row>
    <row r="2">
      <c r="A2" s="7" t="inlineStr">
        <is>
          <t>alex@mail.com</t>
        </is>
      </c>
      <c r="B2" s="7" t="inlineStr">
        <is>
          <t>Instagram</t>
        </is>
      </c>
      <c r="C2" s="7" t="n">
        <v>125000</v>
      </c>
      <c r="D2" s="7" t="inlineStr">
        <is>
          <t>Beauty</t>
        </is>
      </c>
      <c r="E2" s="7" t="inlineStr">
        <is>
          <t>4.2%</t>
        </is>
      </c>
      <c r="F2" s="7" t="n">
        <v>1200</v>
      </c>
      <c r="G2" s="7" t="inlineStr">
        <is>
          <t>Active</t>
        </is>
      </c>
      <c r="H2" s="7" t="inlineStr">
        <is>
          <t>alex@mail.com</t>
        </is>
      </c>
    </row>
    <row r="3">
      <c r="A3" s="8" t="inlineStr">
        <is>
          <t>sara@mail.com</t>
        </is>
      </c>
      <c r="B3" s="8" t="inlineStr">
        <is>
          <t>TikTok</t>
        </is>
      </c>
      <c r="C3" s="8" t="n">
        <v>87500</v>
      </c>
      <c r="D3" s="8" t="inlineStr">
        <is>
          <t>Fashion</t>
        </is>
      </c>
      <c r="E3" s="8" t="inlineStr">
        <is>
          <t>4.2%</t>
        </is>
      </c>
      <c r="F3" s="8" t="n">
        <v>840</v>
      </c>
      <c r="G3" s="8" t="inlineStr">
        <is>
          <t>Prospective</t>
        </is>
      </c>
      <c r="H3" s="8" t="inlineStr">
        <is>
          <t>sara@mail.com</t>
        </is>
      </c>
    </row>
    <row r="4">
      <c r="A4" s="7" t="inlineStr">
        <is>
          <t>omar@mail.com</t>
        </is>
      </c>
      <c r="B4" s="7" t="inlineStr">
        <is>
          <t>YouTube</t>
        </is>
      </c>
      <c r="C4" s="7" t="n">
        <v>162500</v>
      </c>
      <c r="D4" s="7" t="inlineStr">
        <is>
          <t>Fitness</t>
        </is>
      </c>
      <c r="E4" s="7" t="inlineStr"/>
      <c r="F4" s="7" t="n">
        <v>1560</v>
      </c>
      <c r="G4" s="7" t="inlineStr">
        <is>
          <t>Paused</t>
        </is>
      </c>
      <c r="H4" s="7" t="inlineStr">
        <is>
          <t>omar@mail.com</t>
        </is>
      </c>
    </row>
    <row r="5">
      <c r="A5" s="8" t="inlineStr">
        <is>
          <t>emma@mail.com</t>
        </is>
      </c>
      <c r="B5" s="8" t="inlineStr">
        <is>
          <t>Pinterest</t>
        </is>
      </c>
      <c r="C5" s="8" t="n">
        <v>106250</v>
      </c>
      <c r="D5" s="8" t="inlineStr">
        <is>
          <t>Food</t>
        </is>
      </c>
      <c r="E5" s="8" t="inlineStr">
        <is>
          <t>4.2%</t>
        </is>
      </c>
      <c r="F5" s="8" t="n">
        <v>1020</v>
      </c>
      <c r="G5" s="8" t="inlineStr">
        <is>
          <t>Blacklist</t>
        </is>
      </c>
      <c r="H5" s="8" t="inlineStr">
        <is>
          <t>emma@mail.com</t>
        </is>
      </c>
    </row>
    <row r="6">
      <c r="A6" s="7" t="inlineStr">
        <is>
          <t>liam@mail.com</t>
        </is>
      </c>
      <c r="B6" s="7" t="inlineStr">
        <is>
          <t>Twitter</t>
        </is>
      </c>
      <c r="C6" s="7" t="n">
        <v>143750</v>
      </c>
      <c r="D6" s="7" t="inlineStr">
        <is>
          <t>Tech</t>
        </is>
      </c>
      <c r="E6" s="7" t="inlineStr">
        <is>
          <t>4.2%</t>
        </is>
      </c>
      <c r="F6" s="7" t="n">
        <v>1380</v>
      </c>
      <c r="G6" s="7" t="inlineStr">
        <is>
          <t>Active</t>
        </is>
      </c>
      <c r="H6" s="7" t="inlineStr">
        <is>
          <t>liam@mail.com</t>
        </is>
      </c>
    </row>
    <row r="7">
      <c r="A7" s="8" t="inlineStr">
        <is>
          <t>nadia@mail.com</t>
        </is>
      </c>
      <c r="B7" s="8" t="inlineStr">
        <is>
          <t>Blog</t>
        </is>
      </c>
      <c r="C7" s="8" t="n">
        <v>75000</v>
      </c>
      <c r="D7" s="8" t="inlineStr">
        <is>
          <t>Parenting</t>
        </is>
      </c>
      <c r="E7" s="8" t="inlineStr"/>
      <c r="F7" s="8" t="n">
        <v>720</v>
      </c>
      <c r="G7" s="8" t="inlineStr">
        <is>
          <t>Prospective</t>
        </is>
      </c>
      <c r="H7" s="8" t="inlineStr">
        <is>
          <t>nadia@mail.com</t>
        </is>
      </c>
    </row>
    <row r="8">
      <c r="A8" s="7" t="inlineStr">
        <is>
          <t>tom@mail.com</t>
        </is>
      </c>
      <c r="B8" s="7" t="inlineStr">
        <is>
          <t>Multiple</t>
        </is>
      </c>
      <c r="C8" s="7" t="n">
        <v>181250</v>
      </c>
      <c r="D8" s="7" t="inlineStr">
        <is>
          <t>Finance</t>
        </is>
      </c>
      <c r="E8" s="7" t="inlineStr">
        <is>
          <t>4.2%</t>
        </is>
      </c>
      <c r="F8" s="7" t="n">
        <v>1740</v>
      </c>
      <c r="G8" s="7" t="inlineStr">
        <is>
          <t>Paused</t>
        </is>
      </c>
      <c r="H8" s="7" t="inlineStr">
        <is>
          <t>tom@mail.com</t>
        </is>
      </c>
    </row>
    <row r="9">
      <c r="A9" s="8" t="inlineStr">
        <is>
          <t>julia@mail.com</t>
        </is>
      </c>
      <c r="B9" s="8" t="inlineStr">
        <is>
          <t>Instagram</t>
        </is>
      </c>
      <c r="C9" s="8" t="n">
        <v>118750</v>
      </c>
      <c r="D9" s="8" t="inlineStr">
        <is>
          <t>Travel</t>
        </is>
      </c>
      <c r="E9" s="8" t="inlineStr">
        <is>
          <t>4.2%</t>
        </is>
      </c>
      <c r="F9" s="8" t="n">
        <v>1140</v>
      </c>
      <c r="G9" s="8" t="inlineStr">
        <is>
          <t>Blacklist</t>
        </is>
      </c>
      <c r="H9" s="8" t="inlineStr">
        <is>
          <t>julia@mail.com</t>
        </is>
      </c>
    </row>
    <row r="10">
      <c r="A10" s="7" t="inlineStr">
        <is>
          <t>karim@mail.com</t>
        </is>
      </c>
      <c r="B10" s="7" t="inlineStr">
        <is>
          <t>TikTok</t>
        </is>
      </c>
      <c r="C10" s="7" t="n">
        <v>156250</v>
      </c>
      <c r="D10" s="7" t="inlineStr">
        <is>
          <t>Other</t>
        </is>
      </c>
      <c r="E10" s="7" t="inlineStr"/>
      <c r="F10" s="7" t="n">
        <v>1500</v>
      </c>
      <c r="G10" s="7" t="inlineStr">
        <is>
          <t>Active</t>
        </is>
      </c>
      <c r="H10" s="7" t="inlineStr">
        <is>
          <t>karim@mail.com</t>
        </is>
      </c>
    </row>
    <row r="11">
      <c r="A11" s="8" t="inlineStr">
        <is>
          <t>anna@mail.com</t>
        </is>
      </c>
      <c r="B11" s="8" t="inlineStr">
        <is>
          <t>YouTube</t>
        </is>
      </c>
      <c r="C11" s="8" t="n">
        <v>100000</v>
      </c>
      <c r="D11" s="8" t="inlineStr">
        <is>
          <t>Beauty</t>
        </is>
      </c>
      <c r="E11" s="8" t="inlineStr">
        <is>
          <t>4.2%</t>
        </is>
      </c>
      <c r="F11" s="8" t="n">
        <v>960</v>
      </c>
      <c r="G11" s="8" t="inlineStr">
        <is>
          <t>Prospective</t>
        </is>
      </c>
      <c r="H11" s="8" t="inlineStr">
        <is>
          <t>anna@mail.com</t>
        </is>
      </c>
    </row>
    <row r="12">
      <c r="A12" s="7" t="inlineStr">
        <is>
          <t>david@mail.com</t>
        </is>
      </c>
      <c r="B12" s="7" t="inlineStr">
        <is>
          <t>Pinterest</t>
        </is>
      </c>
      <c r="C12" s="7" t="n">
        <v>137500</v>
      </c>
      <c r="D12" s="7" t="inlineStr">
        <is>
          <t>Fashion</t>
        </is>
      </c>
      <c r="E12" s="7" t="inlineStr">
        <is>
          <t>4.2%</t>
        </is>
      </c>
      <c r="F12" s="7" t="n">
        <v>1320</v>
      </c>
      <c r="G12" s="7" t="inlineStr">
        <is>
          <t>Paused</t>
        </is>
      </c>
      <c r="H12" s="7" t="inlineStr">
        <is>
          <t>david@mail.com</t>
        </is>
      </c>
    </row>
    <row r="13">
      <c r="A13" s="8" t="inlineStr">
        <is>
          <t>lea@mail.com</t>
        </is>
      </c>
      <c r="B13" s="8" t="inlineStr">
        <is>
          <t>Twitter</t>
        </is>
      </c>
      <c r="C13" s="8" t="n">
        <v>93750</v>
      </c>
      <c r="D13" s="8" t="inlineStr">
        <is>
          <t>Fitness</t>
        </is>
      </c>
      <c r="E13" s="8" t="inlineStr"/>
      <c r="F13" s="8" t="n">
        <v>900</v>
      </c>
      <c r="G13" s="8" t="inlineStr">
        <is>
          <t>Blacklist</t>
        </is>
      </c>
      <c r="H13" s="8" t="inlineStr">
        <is>
          <t>lea@mail.com</t>
        </is>
      </c>
    </row>
  </sheetData>
  <dataValidations count="3">
    <dataValidation sqref="B2:B500" showDropDown="0" showInputMessage="0" showErrorMessage="0" allowBlank="1" type="list">
      <formula1>"Instagram,TikTok,YouTube,Pinterest,Twitter,Blog,Multiple"</formula1>
    </dataValidation>
    <dataValidation sqref="D2:D500" showDropDown="0" showInputMessage="0" showErrorMessage="0" allowBlank="1" type="list">
      <formula1>"Beauty,Fashion,Fitness,Food,Tech,Parenting,Finance,Travel,Other"</formula1>
    </dataValidation>
    <dataValidation sqref="G2:G500" showDropDown="0" showInputMessage="0" showErrorMessage="0" allowBlank="1" type="list">
      <formula1>"Active,Prospective,Paused,Blacklist"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INFLUENCER MANAGEMENT TRACKER — DASHBOARD</t>
        </is>
      </c>
    </row>
    <row r="4">
      <c r="B4" s="10" t="inlineStr">
        <is>
          <t>ACTIVE CREATORS</t>
        </is>
      </c>
      <c r="D4" s="11" t="inlineStr">
        <is>
          <t>TOTAL REACH</t>
        </is>
      </c>
      <c r="F4" s="12" t="inlineStr">
        <is>
          <t>TOTAL SPEND $</t>
        </is>
      </c>
      <c r="H4" s="13" t="inlineStr">
        <is>
          <t>AVG ENGAGEMENT %</t>
        </is>
      </c>
    </row>
    <row r="5" ht="26" customHeight="1">
      <c r="B5" s="14">
        <f>COUNTIF(Creators!G:G,"Active")</f>
        <v/>
      </c>
      <c r="D5" s="15">
        <f>SUM(Creators!C:C)</f>
        <v/>
      </c>
      <c r="F5" s="16">
        <f>SUM(Campaigns!G:G)</f>
        <v/>
      </c>
      <c r="H5" s="17">
        <f>AVERAGE(Creators!E:E)</f>
        <v/>
      </c>
    </row>
    <row r="8">
      <c r="B8" s="18" t="inlineStr">
        <is>
          <t>WHAT'S INSIDE</t>
        </is>
      </c>
    </row>
    <row r="9">
      <c r="B9" s="19" t="inlineStr">
        <is>
          <t>⭐  Creators — Influencer directory with platform, followers, and rates.</t>
        </is>
      </c>
    </row>
    <row r="10">
      <c r="B10" s="19" t="inlineStr">
        <is>
          <t>📣  Campaigns — Campaigns with deliverables, timelines, and results.</t>
        </is>
      </c>
    </row>
    <row r="11">
      <c r="B11" s="19" t="inlineStr">
        <is>
          <t>✅  Approvals — Content approval log per deliverable.</t>
        </is>
      </c>
    </row>
    <row r="12">
      <c r="B12" s="19" t="inlineStr">
        <is>
          <t>📊  Performance — Creator performance scorecard by campaign.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</cols>
  <sheetData>
    <row r="1">
      <c r="A1" s="6" t="inlineStr">
        <is>
          <t>Campaign</t>
        </is>
      </c>
      <c r="B1" s="6" t="inlineStr">
        <is>
          <t>Creator</t>
        </is>
      </c>
      <c r="C1" s="6" t="inlineStr">
        <is>
          <t>Deliverable</t>
        </is>
      </c>
      <c r="D1" s="6" t="inlineStr">
        <is>
          <t>Go Live Date</t>
        </is>
      </c>
      <c r="E1" s="6" t="inlineStr">
        <is>
          <t>Content Due</t>
        </is>
      </c>
      <c r="F1" s="6" t="inlineStr">
        <is>
          <t>Revenue Driven $</t>
        </is>
      </c>
      <c r="G1" s="6" t="inlineStr">
        <is>
          <t>Fee Paid $</t>
        </is>
      </c>
      <c r="H1" s="6" t="inlineStr">
        <is>
          <t>ROI</t>
        </is>
      </c>
      <c r="I1" s="6" t="inlineStr">
        <is>
          <t>Status</t>
        </is>
      </c>
    </row>
    <row r="2">
      <c r="A2" s="7" t="inlineStr">
        <is>
          <t>Summer Glow Launch</t>
        </is>
      </c>
      <c r="B2" s="7" t="inlineStr">
        <is>
          <t>alex@mail.com</t>
        </is>
      </c>
      <c r="C2" s="7" t="inlineStr">
        <is>
          <t>IG Post</t>
        </is>
      </c>
      <c r="D2" s="20" t="n">
        <v>46174</v>
      </c>
      <c r="E2" s="20" t="n">
        <v>46174</v>
      </c>
      <c r="F2" s="21" t="n">
        <v>8500</v>
      </c>
      <c r="G2" s="21" t="n">
        <v>1200</v>
      </c>
      <c r="H2" s="7">
        <f>F2/G2</f>
        <v/>
      </c>
      <c r="I2" s="7" t="inlineStr">
        <is>
          <t>Brief Sent</t>
        </is>
      </c>
    </row>
    <row r="3">
      <c r="A3" s="8" t="inlineStr">
        <is>
          <t>Summer Glow Launch</t>
        </is>
      </c>
      <c r="B3" s="8" t="inlineStr">
        <is>
          <t>sara@mail.com</t>
        </is>
      </c>
      <c r="C3" s="8" t="inlineStr">
        <is>
          <t>IG Reel</t>
        </is>
      </c>
      <c r="D3" s="22" t="n">
        <v>46180</v>
      </c>
      <c r="E3" s="22" t="n">
        <v>46180</v>
      </c>
      <c r="F3" s="23" t="n">
        <v>5950</v>
      </c>
      <c r="G3" s="23" t="n">
        <v>840</v>
      </c>
      <c r="H3" s="8">
        <f>F3/G3</f>
        <v/>
      </c>
      <c r="I3" s="8" t="inlineStr">
        <is>
          <t>Content Due</t>
        </is>
      </c>
    </row>
    <row r="4">
      <c r="A4" s="7" t="inlineStr"/>
      <c r="B4" s="7" t="inlineStr">
        <is>
          <t>omar@mail.com</t>
        </is>
      </c>
      <c r="C4" s="7" t="inlineStr">
        <is>
          <t>Story</t>
        </is>
      </c>
      <c r="D4" s="20" t="n">
        <v>46186</v>
      </c>
      <c r="E4" s="20" t="n">
        <v>46186</v>
      </c>
      <c r="F4" s="21" t="n">
        <v>11050</v>
      </c>
      <c r="G4" s="21" t="n">
        <v>1560</v>
      </c>
      <c r="H4" s="7">
        <f>F4/G4</f>
        <v/>
      </c>
      <c r="I4" s="7" t="inlineStr">
        <is>
          <t>Approval</t>
        </is>
      </c>
    </row>
    <row r="5">
      <c r="A5" s="8" t="inlineStr">
        <is>
          <t>Summer Glow Launch</t>
        </is>
      </c>
      <c r="B5" s="8" t="inlineStr">
        <is>
          <t>emma@mail.com</t>
        </is>
      </c>
      <c r="C5" s="8" t="inlineStr">
        <is>
          <t>TikTok</t>
        </is>
      </c>
      <c r="D5" s="22" t="n">
        <v>46189</v>
      </c>
      <c r="E5" s="22" t="n">
        <v>46189</v>
      </c>
      <c r="F5" s="23" t="n">
        <v>7225</v>
      </c>
      <c r="G5" s="23" t="n">
        <v>1020</v>
      </c>
      <c r="H5" s="8">
        <f>F5/G5</f>
        <v/>
      </c>
      <c r="I5" s="8" t="inlineStr">
        <is>
          <t>Live</t>
        </is>
      </c>
    </row>
    <row r="6">
      <c r="A6" s="7" t="inlineStr">
        <is>
          <t>Summer Glow Launch</t>
        </is>
      </c>
      <c r="B6" s="7" t="inlineStr">
        <is>
          <t>liam@mail.com</t>
        </is>
      </c>
      <c r="C6" s="7" t="inlineStr">
        <is>
          <t>YouTube</t>
        </is>
      </c>
      <c r="D6" s="20" t="n">
        <v>46195</v>
      </c>
      <c r="E6" s="20" t="n">
        <v>46195</v>
      </c>
      <c r="F6" s="21" t="n">
        <v>9775</v>
      </c>
      <c r="G6" s="21" t="n">
        <v>1380</v>
      </c>
      <c r="H6" s="7">
        <f>F6/G6</f>
        <v/>
      </c>
      <c r="I6" s="7" t="inlineStr">
        <is>
          <t>Complete</t>
        </is>
      </c>
    </row>
    <row r="7">
      <c r="A7" s="8" t="inlineStr"/>
      <c r="B7" s="8" t="inlineStr">
        <is>
          <t>nadia@mail.com</t>
        </is>
      </c>
      <c r="C7" s="8" t="inlineStr">
        <is>
          <t>Blog Post</t>
        </is>
      </c>
      <c r="D7" s="22" t="n">
        <v>46201</v>
      </c>
      <c r="E7" s="22" t="n">
        <v>46201</v>
      </c>
      <c r="F7" s="23" t="n">
        <v>5100</v>
      </c>
      <c r="G7" s="23" t="n">
        <v>720</v>
      </c>
      <c r="H7" s="8">
        <f>F7/G7</f>
        <v/>
      </c>
      <c r="I7" s="8" t="inlineStr">
        <is>
          <t>Cancelled</t>
        </is>
      </c>
    </row>
    <row r="8">
      <c r="A8" s="7" t="inlineStr">
        <is>
          <t>Summer Glow Launch</t>
        </is>
      </c>
      <c r="B8" s="7" t="inlineStr">
        <is>
          <t>tom@mail.com</t>
        </is>
      </c>
      <c r="C8" s="7" t="inlineStr">
        <is>
          <t>Bundle</t>
        </is>
      </c>
      <c r="D8" s="20" t="n">
        <v>46176</v>
      </c>
      <c r="E8" s="20" t="n">
        <v>46176</v>
      </c>
      <c r="F8" s="21" t="n">
        <v>12325</v>
      </c>
      <c r="G8" s="21" t="n">
        <v>1740</v>
      </c>
      <c r="H8" s="7">
        <f>F8/G8</f>
        <v/>
      </c>
      <c r="I8" s="7" t="inlineStr">
        <is>
          <t>Brief Sent</t>
        </is>
      </c>
    </row>
    <row r="9">
      <c r="A9" s="8" t="inlineStr">
        <is>
          <t>Summer Glow Launch</t>
        </is>
      </c>
      <c r="B9" s="8" t="inlineStr">
        <is>
          <t>julia@mail.com</t>
        </is>
      </c>
      <c r="C9" s="8" t="inlineStr">
        <is>
          <t>IG Post</t>
        </is>
      </c>
      <c r="D9" s="22" t="n">
        <v>46182</v>
      </c>
      <c r="E9" s="22" t="n">
        <v>46182</v>
      </c>
      <c r="F9" s="23" t="n">
        <v>8075</v>
      </c>
      <c r="G9" s="23" t="n">
        <v>1140</v>
      </c>
      <c r="H9" s="8">
        <f>F9/G9</f>
        <v/>
      </c>
      <c r="I9" s="8" t="inlineStr">
        <is>
          <t>Content Due</t>
        </is>
      </c>
    </row>
    <row r="10">
      <c r="A10" s="7" t="inlineStr"/>
      <c r="B10" s="7" t="inlineStr">
        <is>
          <t>karim@mail.com</t>
        </is>
      </c>
      <c r="C10" s="7" t="inlineStr">
        <is>
          <t>IG Reel</t>
        </is>
      </c>
      <c r="D10" s="20" t="n">
        <v>46188</v>
      </c>
      <c r="E10" s="20" t="n">
        <v>46188</v>
      </c>
      <c r="F10" s="21" t="n">
        <v>10625</v>
      </c>
      <c r="G10" s="21" t="n">
        <v>1500</v>
      </c>
      <c r="H10" s="7">
        <f>F10/G10</f>
        <v/>
      </c>
      <c r="I10" s="7" t="inlineStr">
        <is>
          <t>Approval</t>
        </is>
      </c>
    </row>
    <row r="11">
      <c r="A11" s="8" t="inlineStr">
        <is>
          <t>Summer Glow Launch</t>
        </is>
      </c>
      <c r="B11" s="8" t="inlineStr">
        <is>
          <t>anna@mail.com</t>
        </is>
      </c>
      <c r="C11" s="8" t="inlineStr">
        <is>
          <t>Story</t>
        </is>
      </c>
      <c r="D11" s="22" t="n">
        <v>46191</v>
      </c>
      <c r="E11" s="22" t="n">
        <v>46191</v>
      </c>
      <c r="F11" s="23" t="n">
        <v>6800</v>
      </c>
      <c r="G11" s="23" t="n">
        <v>960</v>
      </c>
      <c r="H11" s="8">
        <f>F11/G11</f>
        <v/>
      </c>
      <c r="I11" s="8" t="inlineStr">
        <is>
          <t>Live</t>
        </is>
      </c>
    </row>
    <row r="12">
      <c r="A12" s="7" t="inlineStr">
        <is>
          <t>Summer Glow Launch</t>
        </is>
      </c>
      <c r="B12" s="7" t="inlineStr">
        <is>
          <t>david@mail.com</t>
        </is>
      </c>
      <c r="C12" s="7" t="inlineStr">
        <is>
          <t>TikTok</t>
        </is>
      </c>
      <c r="D12" s="20" t="n">
        <v>46197</v>
      </c>
      <c r="E12" s="20" t="n">
        <v>46197</v>
      </c>
      <c r="F12" s="21" t="n">
        <v>9350</v>
      </c>
      <c r="G12" s="21" t="n">
        <v>1320</v>
      </c>
      <c r="H12" s="7">
        <f>F12/G12</f>
        <v/>
      </c>
      <c r="I12" s="7" t="inlineStr">
        <is>
          <t>Complete</t>
        </is>
      </c>
    </row>
    <row r="13">
      <c r="A13" s="8" t="inlineStr"/>
      <c r="B13" s="8" t="inlineStr">
        <is>
          <t>lea@mail.com</t>
        </is>
      </c>
      <c r="C13" s="8" t="inlineStr">
        <is>
          <t>YouTube</t>
        </is>
      </c>
      <c r="D13" s="22" t="n">
        <v>46175</v>
      </c>
      <c r="E13" s="22" t="n">
        <v>46175</v>
      </c>
      <c r="F13" s="23" t="n">
        <v>6375</v>
      </c>
      <c r="G13" s="23" t="n">
        <v>900</v>
      </c>
      <c r="H13" s="8">
        <f>F13/G13</f>
        <v/>
      </c>
      <c r="I13" s="8" t="inlineStr">
        <is>
          <t>Cancelled</t>
        </is>
      </c>
    </row>
  </sheetData>
  <dataValidations count="2">
    <dataValidation sqref="C2:C500" showDropDown="0" showInputMessage="0" showErrorMessage="0" allowBlank="1" type="list">
      <formula1>"IG Post,IG Reel,Story,TikTok,YouTube,Blog Post,Bundle"</formula1>
    </dataValidation>
    <dataValidation sqref="I2:I500" showDropDown="0" showInputMessage="0" showErrorMessage="0" allowBlank="1" type="list">
      <formula1>"Brief Sent,Content Due,Approval,Live,Complete,Cancelled"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4" customWidth="1" min="4" max="4"/>
    <col width="14" customWidth="1" min="5" max="5"/>
    <col width="18" customWidth="1" min="6" max="6"/>
  </cols>
  <sheetData>
    <row r="1">
      <c r="A1" s="6" t="inlineStr">
        <is>
          <t>Campaign</t>
        </is>
      </c>
      <c r="B1" s="6" t="inlineStr">
        <is>
          <t>Creator</t>
        </is>
      </c>
      <c r="C1" s="6" t="inlineStr">
        <is>
          <t>Content Type</t>
        </is>
      </c>
      <c r="D1" s="6" t="inlineStr">
        <is>
          <t>Draft Received</t>
        </is>
      </c>
      <c r="E1" s="6" t="inlineStr">
        <is>
          <t>Feedback Sent</t>
        </is>
      </c>
      <c r="F1" s="6" t="inlineStr">
        <is>
          <t>Approval Status</t>
        </is>
      </c>
    </row>
    <row r="2">
      <c r="A2" s="7" t="inlineStr">
        <is>
          <t>Summer Glow Launch</t>
        </is>
      </c>
      <c r="B2" s="7" t="inlineStr">
        <is>
          <t>alex@mail.com</t>
        </is>
      </c>
      <c r="C2" s="7" t="inlineStr">
        <is>
          <t>IG Reel</t>
        </is>
      </c>
      <c r="D2" s="20" t="n">
        <v>46174</v>
      </c>
      <c r="E2" s="20" t="n">
        <v>46174</v>
      </c>
      <c r="F2" s="7" t="inlineStr">
        <is>
          <t>Awaiting Draft</t>
        </is>
      </c>
    </row>
    <row r="3">
      <c r="A3" s="8" t="inlineStr">
        <is>
          <t>Summer Glow Launch</t>
        </is>
      </c>
      <c r="B3" s="8" t="inlineStr">
        <is>
          <t>sara@mail.com</t>
        </is>
      </c>
      <c r="C3" s="8" t="inlineStr">
        <is>
          <t>IG Reel</t>
        </is>
      </c>
      <c r="D3" s="22" t="n">
        <v>46180</v>
      </c>
      <c r="E3" s="22" t="n">
        <v>46180</v>
      </c>
      <c r="F3" s="8" t="inlineStr">
        <is>
          <t>In Review</t>
        </is>
      </c>
    </row>
    <row r="4">
      <c r="A4" s="7" t="inlineStr"/>
      <c r="B4" s="7" t="inlineStr">
        <is>
          <t>omar@mail.com</t>
        </is>
      </c>
      <c r="C4" s="7" t="inlineStr"/>
      <c r="D4" s="20" t="n">
        <v>46186</v>
      </c>
      <c r="E4" s="20" t="n">
        <v>46186</v>
      </c>
      <c r="F4" s="7" t="inlineStr">
        <is>
          <t>Approved</t>
        </is>
      </c>
    </row>
    <row r="5">
      <c r="A5" s="8" t="inlineStr">
        <is>
          <t>Summer Glow Launch</t>
        </is>
      </c>
      <c r="B5" s="8" t="inlineStr">
        <is>
          <t>emma@mail.com</t>
        </is>
      </c>
      <c r="C5" s="8" t="inlineStr">
        <is>
          <t>IG Reel</t>
        </is>
      </c>
      <c r="D5" s="22" t="n">
        <v>46189</v>
      </c>
      <c r="E5" s="22" t="n">
        <v>46189</v>
      </c>
      <c r="F5" s="8" t="inlineStr">
        <is>
          <t>Revision Needed</t>
        </is>
      </c>
    </row>
    <row r="6">
      <c r="A6" s="7" t="inlineStr">
        <is>
          <t>Summer Glow Launch</t>
        </is>
      </c>
      <c r="B6" s="7" t="inlineStr">
        <is>
          <t>liam@mail.com</t>
        </is>
      </c>
      <c r="C6" s="7" t="inlineStr">
        <is>
          <t>IG Reel</t>
        </is>
      </c>
      <c r="D6" s="20" t="n">
        <v>46195</v>
      </c>
      <c r="E6" s="20" t="n">
        <v>46195</v>
      </c>
      <c r="F6" s="7" t="inlineStr">
        <is>
          <t>Rejected</t>
        </is>
      </c>
    </row>
    <row r="7">
      <c r="A7" s="8" t="inlineStr"/>
      <c r="B7" s="8" t="inlineStr">
        <is>
          <t>nadia@mail.com</t>
        </is>
      </c>
      <c r="C7" s="8" t="inlineStr"/>
      <c r="D7" s="22" t="n">
        <v>46201</v>
      </c>
      <c r="E7" s="22" t="n">
        <v>46201</v>
      </c>
      <c r="F7" s="8" t="inlineStr">
        <is>
          <t>Awaiting Draft</t>
        </is>
      </c>
    </row>
    <row r="8">
      <c r="A8" s="7" t="inlineStr">
        <is>
          <t>Summer Glow Launch</t>
        </is>
      </c>
      <c r="B8" s="7" t="inlineStr">
        <is>
          <t>tom@mail.com</t>
        </is>
      </c>
      <c r="C8" s="7" t="inlineStr">
        <is>
          <t>IG Reel</t>
        </is>
      </c>
      <c r="D8" s="20" t="n">
        <v>46176</v>
      </c>
      <c r="E8" s="20" t="n">
        <v>46176</v>
      </c>
      <c r="F8" s="7" t="inlineStr">
        <is>
          <t>In Review</t>
        </is>
      </c>
    </row>
    <row r="9">
      <c r="A9" s="8" t="inlineStr">
        <is>
          <t>Summer Glow Launch</t>
        </is>
      </c>
      <c r="B9" s="8" t="inlineStr">
        <is>
          <t>julia@mail.com</t>
        </is>
      </c>
      <c r="C9" s="8" t="inlineStr">
        <is>
          <t>IG Reel</t>
        </is>
      </c>
      <c r="D9" s="22" t="n">
        <v>46182</v>
      </c>
      <c r="E9" s="22" t="n">
        <v>46182</v>
      </c>
      <c r="F9" s="8" t="inlineStr">
        <is>
          <t>Approved</t>
        </is>
      </c>
    </row>
    <row r="10">
      <c r="A10" s="7" t="inlineStr"/>
      <c r="B10" s="7" t="inlineStr">
        <is>
          <t>karim@mail.com</t>
        </is>
      </c>
      <c r="C10" s="7" t="inlineStr"/>
      <c r="D10" s="20" t="n">
        <v>46188</v>
      </c>
      <c r="E10" s="20" t="n">
        <v>46188</v>
      </c>
      <c r="F10" s="7" t="inlineStr">
        <is>
          <t>Revision Needed</t>
        </is>
      </c>
    </row>
    <row r="11">
      <c r="A11" s="8" t="inlineStr">
        <is>
          <t>Summer Glow Launch</t>
        </is>
      </c>
      <c r="B11" s="8" t="inlineStr">
        <is>
          <t>anna@mail.com</t>
        </is>
      </c>
      <c r="C11" s="8" t="inlineStr">
        <is>
          <t>IG Reel</t>
        </is>
      </c>
      <c r="D11" s="22" t="n">
        <v>46191</v>
      </c>
      <c r="E11" s="22" t="n">
        <v>46191</v>
      </c>
      <c r="F11" s="8" t="inlineStr">
        <is>
          <t>Rejected</t>
        </is>
      </c>
    </row>
    <row r="12">
      <c r="A12" s="7" t="inlineStr">
        <is>
          <t>Summer Glow Launch</t>
        </is>
      </c>
      <c r="B12" s="7" t="inlineStr">
        <is>
          <t>david@mail.com</t>
        </is>
      </c>
      <c r="C12" s="7" t="inlineStr">
        <is>
          <t>IG Reel</t>
        </is>
      </c>
      <c r="D12" s="20" t="n">
        <v>46197</v>
      </c>
      <c r="E12" s="20" t="n">
        <v>46197</v>
      </c>
      <c r="F12" s="7" t="inlineStr">
        <is>
          <t>Awaiting Draft</t>
        </is>
      </c>
    </row>
    <row r="13">
      <c r="A13" s="8" t="inlineStr"/>
      <c r="B13" s="8" t="inlineStr">
        <is>
          <t>lea@mail.com</t>
        </is>
      </c>
      <c r="C13" s="8" t="inlineStr"/>
      <c r="D13" s="22" t="n">
        <v>46175</v>
      </c>
      <c r="E13" s="22" t="n">
        <v>46175</v>
      </c>
      <c r="F13" s="8" t="inlineStr">
        <is>
          <t>In Review</t>
        </is>
      </c>
    </row>
  </sheetData>
  <dataValidations count="1">
    <dataValidation sqref="F2:F500" showDropDown="0" showInputMessage="0" showErrorMessage="0" allowBlank="1" type="list">
      <formula1>"Awaiting Draft,In Review,Approved,Revision Needed,Rejected"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6" t="inlineStr">
        <is>
          <t>Creator</t>
        </is>
      </c>
      <c r="B1" s="6" t="inlineStr">
        <is>
          <t>Campaigns Run</t>
        </is>
      </c>
      <c r="C1" s="6" t="inlineStr">
        <is>
          <t>Avg ROI</t>
        </is>
      </c>
      <c r="D1" s="6" t="inlineStr">
        <is>
          <t>Avg Eng %</t>
        </is>
      </c>
      <c r="E1" s="6" t="inlineStr">
        <is>
          <t>On-Time %</t>
        </is>
      </c>
      <c r="F1" s="6" t="inlineStr">
        <is>
          <t>Score (1-5)</t>
        </is>
      </c>
      <c r="G1" s="6" t="inlineStr">
        <is>
          <t>Tier</t>
        </is>
      </c>
    </row>
    <row r="2">
      <c r="A2" s="7" t="inlineStr">
        <is>
          <t>alex@mail.com</t>
        </is>
      </c>
      <c r="B2" s="7" t="n">
        <v>4</v>
      </c>
      <c r="C2" s="7" t="inlineStr">
        <is>
          <t>6.8x</t>
        </is>
      </c>
      <c r="D2" s="7" t="inlineStr">
        <is>
          <t>4.2%</t>
        </is>
      </c>
      <c r="E2" s="7" t="inlineStr">
        <is>
          <t>100%</t>
        </is>
      </c>
      <c r="F2" s="7" t="n">
        <v>4.8</v>
      </c>
      <c r="G2" s="7" t="inlineStr">
        <is>
          <t>A-List</t>
        </is>
      </c>
    </row>
    <row r="3">
      <c r="A3" s="8" t="inlineStr">
        <is>
          <t>sara@mail.com</t>
        </is>
      </c>
      <c r="B3" s="8" t="n">
        <v>2.8</v>
      </c>
      <c r="C3" s="8" t="inlineStr">
        <is>
          <t>6.8x</t>
        </is>
      </c>
      <c r="D3" s="8" t="inlineStr">
        <is>
          <t>4.2%</t>
        </is>
      </c>
      <c r="E3" s="8" t="inlineStr">
        <is>
          <t>100%</t>
        </is>
      </c>
      <c r="F3" s="8" t="n">
        <v>3.36</v>
      </c>
      <c r="G3" s="8" t="inlineStr">
        <is>
          <t>Core</t>
        </is>
      </c>
    </row>
    <row r="4">
      <c r="A4" s="7" t="inlineStr">
        <is>
          <t>omar@mail.com</t>
        </is>
      </c>
      <c r="B4" s="7" t="n">
        <v>5.2</v>
      </c>
      <c r="C4" s="7" t="inlineStr"/>
      <c r="D4" s="7" t="inlineStr"/>
      <c r="E4" s="7" t="inlineStr"/>
      <c r="F4" s="7" t="n">
        <v>6.24</v>
      </c>
      <c r="G4" s="7" t="inlineStr">
        <is>
          <t>Occasional</t>
        </is>
      </c>
    </row>
    <row r="5">
      <c r="A5" s="8" t="inlineStr">
        <is>
          <t>emma@mail.com</t>
        </is>
      </c>
      <c r="B5" s="8" t="n">
        <v>3.4</v>
      </c>
      <c r="C5" s="8" t="inlineStr">
        <is>
          <t>6.8x</t>
        </is>
      </c>
      <c r="D5" s="8" t="inlineStr">
        <is>
          <t>4.2%</t>
        </is>
      </c>
      <c r="E5" s="8" t="inlineStr">
        <is>
          <t>100%</t>
        </is>
      </c>
      <c r="F5" s="8" t="n">
        <v>4.08</v>
      </c>
      <c r="G5" s="8" t="inlineStr">
        <is>
          <t>Inactive</t>
        </is>
      </c>
    </row>
    <row r="6">
      <c r="A6" s="7" t="inlineStr">
        <is>
          <t>liam@mail.com</t>
        </is>
      </c>
      <c r="B6" s="7" t="n">
        <v>4.6</v>
      </c>
      <c r="C6" s="7" t="inlineStr">
        <is>
          <t>6.8x</t>
        </is>
      </c>
      <c r="D6" s="7" t="inlineStr">
        <is>
          <t>4.2%</t>
        </is>
      </c>
      <c r="E6" s="7" t="inlineStr">
        <is>
          <t>100%</t>
        </is>
      </c>
      <c r="F6" s="7" t="n">
        <v>5.52</v>
      </c>
      <c r="G6" s="7" t="inlineStr">
        <is>
          <t>A-List</t>
        </is>
      </c>
    </row>
    <row r="7">
      <c r="A7" s="8" t="inlineStr">
        <is>
          <t>nadia@mail.com</t>
        </is>
      </c>
      <c r="B7" s="8" t="n">
        <v>2.4</v>
      </c>
      <c r="C7" s="8" t="inlineStr"/>
      <c r="D7" s="8" t="inlineStr"/>
      <c r="E7" s="8" t="inlineStr"/>
      <c r="F7" s="8" t="n">
        <v>2.88</v>
      </c>
      <c r="G7" s="8" t="inlineStr">
        <is>
          <t>Core</t>
        </is>
      </c>
    </row>
    <row r="8">
      <c r="A8" s="7" t="inlineStr">
        <is>
          <t>tom@mail.com</t>
        </is>
      </c>
      <c r="B8" s="7" t="n">
        <v>5.8</v>
      </c>
      <c r="C8" s="7" t="inlineStr">
        <is>
          <t>6.8x</t>
        </is>
      </c>
      <c r="D8" s="7" t="inlineStr">
        <is>
          <t>4.2%</t>
        </is>
      </c>
      <c r="E8" s="7" t="inlineStr">
        <is>
          <t>100%</t>
        </is>
      </c>
      <c r="F8" s="7" t="n">
        <v>6.96</v>
      </c>
      <c r="G8" s="7" t="inlineStr">
        <is>
          <t>Occasional</t>
        </is>
      </c>
    </row>
    <row r="9">
      <c r="A9" s="8" t="inlineStr">
        <is>
          <t>julia@mail.com</t>
        </is>
      </c>
      <c r="B9" s="8" t="n">
        <v>3.8</v>
      </c>
      <c r="C9" s="8" t="inlineStr">
        <is>
          <t>6.8x</t>
        </is>
      </c>
      <c r="D9" s="8" t="inlineStr">
        <is>
          <t>4.2%</t>
        </is>
      </c>
      <c r="E9" s="8" t="inlineStr">
        <is>
          <t>100%</t>
        </is>
      </c>
      <c r="F9" s="8" t="n">
        <v>4.56</v>
      </c>
      <c r="G9" s="8" t="inlineStr">
        <is>
          <t>Inactive</t>
        </is>
      </c>
    </row>
    <row r="10">
      <c r="A10" s="7" t="inlineStr">
        <is>
          <t>karim@mail.com</t>
        </is>
      </c>
      <c r="B10" s="7" t="n">
        <v>5</v>
      </c>
      <c r="C10" s="7" t="inlineStr"/>
      <c r="D10" s="7" t="inlineStr"/>
      <c r="E10" s="7" t="inlineStr"/>
      <c r="F10" s="7" t="n">
        <v>6</v>
      </c>
      <c r="G10" s="7" t="inlineStr">
        <is>
          <t>A-List</t>
        </is>
      </c>
    </row>
    <row r="11">
      <c r="A11" s="8" t="inlineStr">
        <is>
          <t>anna@mail.com</t>
        </is>
      </c>
      <c r="B11" s="8" t="n">
        <v>3.2</v>
      </c>
      <c r="C11" s="8" t="inlineStr">
        <is>
          <t>6.8x</t>
        </is>
      </c>
      <c r="D11" s="8" t="inlineStr">
        <is>
          <t>4.2%</t>
        </is>
      </c>
      <c r="E11" s="8" t="inlineStr">
        <is>
          <t>100%</t>
        </is>
      </c>
      <c r="F11" s="8" t="n">
        <v>3.84</v>
      </c>
      <c r="G11" s="8" t="inlineStr">
        <is>
          <t>Core</t>
        </is>
      </c>
    </row>
    <row r="12">
      <c r="A12" s="7" t="inlineStr">
        <is>
          <t>david@mail.com</t>
        </is>
      </c>
      <c r="B12" s="7" t="n">
        <v>4.4</v>
      </c>
      <c r="C12" s="7" t="inlineStr">
        <is>
          <t>6.8x</t>
        </is>
      </c>
      <c r="D12" s="7" t="inlineStr">
        <is>
          <t>4.2%</t>
        </is>
      </c>
      <c r="E12" s="7" t="inlineStr">
        <is>
          <t>100%</t>
        </is>
      </c>
      <c r="F12" s="7" t="n">
        <v>5.28</v>
      </c>
      <c r="G12" s="7" t="inlineStr">
        <is>
          <t>Occasional</t>
        </is>
      </c>
    </row>
    <row r="13">
      <c r="A13" s="8" t="inlineStr">
        <is>
          <t>lea@mail.com</t>
        </is>
      </c>
      <c r="B13" s="8" t="n">
        <v>3</v>
      </c>
      <c r="C13" s="8" t="inlineStr"/>
      <c r="D13" s="8" t="inlineStr"/>
      <c r="E13" s="8" t="inlineStr"/>
      <c r="F13" s="8" t="n">
        <v>3.6</v>
      </c>
      <c r="G13" s="8" t="inlineStr">
        <is>
          <t>Inactive</t>
        </is>
      </c>
    </row>
  </sheetData>
  <dataValidations count="1">
    <dataValidation sqref="G2:G500" showDropDown="0" showInputMessage="0" showErrorMessage="0" allowBlank="1" type="list">
      <formula1>"A-List,Core,Occasional,Inactive"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2026-07-16T21:44:40Z</dcterms:created>
  <dcterms:modified xsi:type="dcterms:W3CDTF">2026-07-16T21:44:40Z</dcterms:modified>
</cp:coreProperties>
</file>