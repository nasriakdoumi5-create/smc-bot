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ssignments" sheetId="2" state="visible" r:id="rId2"/>
    <sheet name="Dashboard" sheetId="3" state="visible" r:id="rId3"/>
    <sheet name="Grades" sheetId="4" state="visible" r:id="rId4"/>
    <sheet name="Exams" sheetId="5" state="visible" r:id="rId5"/>
    <sheet name="Study Schedule" sheetId="6" state="visible" r:id="rId6"/>
    <sheet name="Go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1B4B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7C3AED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F7F0"/>
      </patternFill>
    </fill>
    <fill>
      <patternFill patternType="solid">
        <fgColor rgb="007C3AED"/>
      </patternFill>
    </fill>
    <fill>
      <patternFill patternType="solid">
        <fgColor rgb="0010B981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📚  ULTIMATE STUDENT PLANNER</t>
        </is>
      </c>
    </row>
    <row r="3"/>
    <row r="4">
      <c r="B4" s="2" t="inlineStr">
        <is>
          <t>Semester, Grades &amp; Study Schedule Google Sheets</t>
        </is>
      </c>
    </row>
    <row r="6">
      <c r="B6" s="3" t="inlineStr">
        <is>
          <t>STEP 1 — Fill in “Assignments”</t>
        </is>
      </c>
    </row>
    <row r="7" ht="28" customHeight="1">
      <c r="B7" s="4" t="inlineStr">
        <is>
          <t>Track all assignments with due dates, status, and grades.</t>
        </is>
      </c>
    </row>
    <row r="9">
      <c r="B9" s="3" t="inlineStr">
        <is>
          <t>STEP 2 — Fill in “Grades”</t>
        </is>
      </c>
    </row>
    <row r="10" ht="28" customHeight="1">
      <c r="B10" s="4" t="inlineStr">
        <is>
          <t>Grade book: all subjects with weighted averages and GPA.</t>
        </is>
      </c>
    </row>
    <row r="12">
      <c r="B12" s="3" t="inlineStr">
        <is>
          <t>STEP 3 — Fill in “Exams”</t>
        </is>
      </c>
    </row>
    <row r="13" ht="28" customHeight="1">
      <c r="B13" s="4" t="inlineStr">
        <is>
          <t>Exam schedule with countdown, topics to study, and results.</t>
        </is>
      </c>
    </row>
    <row r="15">
      <c r="B15" s="3" t="inlineStr">
        <is>
          <t>STEP 4 — Fill in “Study Schedule”</t>
        </is>
      </c>
    </row>
    <row r="16" ht="28" customHeight="1">
      <c r="B16" s="4" t="inlineStr">
        <is>
          <t>Weekly study sessions with subject, hours, and productivity rating.</t>
        </is>
      </c>
    </row>
    <row r="18">
      <c r="B18" s="3" t="inlineStr">
        <is>
          <t>STEP 5 — Fill in “Goals”</t>
        </is>
      </c>
    </row>
    <row r="19" ht="28" customHeight="1">
      <c r="B19" s="4" t="inlineStr">
        <is>
          <t>Semester goals with deadlines and progress tracking.</t>
        </is>
      </c>
    </row>
    <row r="21">
      <c r="B21" s="3" t="inlineStr">
        <is>
          <t>Then open the Dashboard — everything calculates automatically.</t>
        </is>
      </c>
    </row>
    <row r="23">
      <c r="B23" s="5" t="inlineStr">
        <is>
          <t>TIP: Delete the sample rows once you've seen how it works.</t>
        </is>
      </c>
    </row>
    <row r="25">
      <c r="B25" s="5" t="inlineStr">
        <is>
          <t>TIP: On Google Sheets? File → Make a copy first, then edit your copy.</t>
        </is>
      </c>
    </row>
    <row r="27">
      <c r="B27" s="5" t="inlineStr">
        <is>
          <t>TIP: Columns with dropdowns keep your data clean — use them.</t>
        </is>
      </c>
    </row>
    <row r="29">
      <c r="B29" s="5" t="inlineStr">
        <is>
          <t>Need help? Message NasriTools on Etsy — I reply fast. 🧡</t>
        </is>
      </c>
    </row>
  </sheetData>
  <mergeCells count="17">
    <mergeCell ref="B4:F4"/>
    <mergeCell ref="B21:F21"/>
    <mergeCell ref="B12:F12"/>
    <mergeCell ref="B7:F7"/>
    <mergeCell ref="B27:F27"/>
    <mergeCell ref="B6:F6"/>
    <mergeCell ref="B29:F29"/>
    <mergeCell ref="B16:F16"/>
    <mergeCell ref="B15:F15"/>
    <mergeCell ref="B2:F3"/>
    <mergeCell ref="B10:F10"/>
    <mergeCell ref="B18:F18"/>
    <mergeCell ref="B25:F25"/>
    <mergeCell ref="B19:F19"/>
    <mergeCell ref="B23:F23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6" customWidth="1" min="4" max="4"/>
    <col width="10" customWidth="1" min="5" max="5"/>
    <col width="24" customWidth="1" min="6" max="6"/>
  </cols>
  <sheetData>
    <row r="1">
      <c r="A1" s="6" t="inlineStr">
        <is>
          <t>Assignment</t>
        </is>
      </c>
      <c r="B1" s="6" t="inlineStr">
        <is>
          <t>Subject</t>
        </is>
      </c>
      <c r="C1" s="6" t="inlineStr">
        <is>
          <t>Due Date</t>
        </is>
      </c>
      <c r="D1" s="6" t="inlineStr">
        <is>
          <t>Status</t>
        </is>
      </c>
      <c r="E1" s="6" t="inlineStr">
        <is>
          <t>Grade</t>
        </is>
      </c>
      <c r="F1" s="6" t="inlineStr">
        <is>
          <t>Notes</t>
        </is>
      </c>
    </row>
    <row r="2">
      <c r="A2" s="7" t="inlineStr">
        <is>
          <t>Essay: Chapter 5</t>
        </is>
      </c>
      <c r="B2" s="7" t="inlineStr">
        <is>
          <t>English</t>
        </is>
      </c>
      <c r="C2" s="8" t="n">
        <v>46174</v>
      </c>
      <c r="D2" s="7" t="inlineStr">
        <is>
          <t>Pending</t>
        </is>
      </c>
      <c r="E2" s="7" t="n">
        <v>85</v>
      </c>
      <c r="F2" s="7" t="inlineStr"/>
    </row>
    <row r="3">
      <c r="A3" s="9" t="inlineStr">
        <is>
          <t>Essay: Chapter 6</t>
        </is>
      </c>
      <c r="B3" s="9" t="inlineStr">
        <is>
          <t>English</t>
        </is>
      </c>
      <c r="C3" s="10" t="n">
        <v>46180</v>
      </c>
      <c r="D3" s="9" t="inlineStr">
        <is>
          <t>In Progress</t>
        </is>
      </c>
      <c r="E3" s="9" t="n">
        <v>59.5</v>
      </c>
      <c r="F3" s="9" t="inlineStr">
        <is>
          <t>Paid</t>
        </is>
      </c>
    </row>
    <row r="4">
      <c r="A4" s="7" t="inlineStr">
        <is>
          <t>Essay: Chapter 7</t>
        </is>
      </c>
      <c r="B4" s="7" t="inlineStr"/>
      <c r="C4" s="8" t="n">
        <v>46186</v>
      </c>
      <c r="D4" s="7" t="inlineStr">
        <is>
          <t>Submitted</t>
        </is>
      </c>
      <c r="E4" s="7" t="n">
        <v>110.5</v>
      </c>
      <c r="F4" s="7" t="inlineStr">
        <is>
          <t>Urgent</t>
        </is>
      </c>
    </row>
    <row r="5">
      <c r="A5" s="9" t="inlineStr">
        <is>
          <t>Essay: Chapter 8</t>
        </is>
      </c>
      <c r="B5" s="9" t="inlineStr">
        <is>
          <t>English</t>
        </is>
      </c>
      <c r="C5" s="10" t="n">
        <v>46189</v>
      </c>
      <c r="D5" s="9" t="inlineStr">
        <is>
          <t>Graded</t>
        </is>
      </c>
      <c r="E5" s="9" t="n">
        <v>72.25</v>
      </c>
      <c r="F5" s="9" t="inlineStr">
        <is>
          <t>Follow up Friday</t>
        </is>
      </c>
    </row>
    <row r="6">
      <c r="A6" s="7" t="inlineStr">
        <is>
          <t>Essay: Chapter 9</t>
        </is>
      </c>
      <c r="B6" s="7" t="inlineStr">
        <is>
          <t>English</t>
        </is>
      </c>
      <c r="C6" s="8" t="n">
        <v>46195</v>
      </c>
      <c r="D6" s="7" t="inlineStr">
        <is>
          <t>Late</t>
        </is>
      </c>
      <c r="E6" s="7" t="n">
        <v>97.75</v>
      </c>
      <c r="F6" s="7" t="inlineStr"/>
    </row>
    <row r="7">
      <c r="A7" s="9" t="inlineStr">
        <is>
          <t>Essay: Chapter 10</t>
        </is>
      </c>
      <c r="B7" s="9" t="inlineStr"/>
      <c r="C7" s="10" t="n">
        <v>46201</v>
      </c>
      <c r="D7" s="9" t="inlineStr">
        <is>
          <t>Pending</t>
        </is>
      </c>
      <c r="E7" s="9" t="n">
        <v>51</v>
      </c>
      <c r="F7" s="9" t="inlineStr">
        <is>
          <t>Monthly</t>
        </is>
      </c>
    </row>
    <row r="8">
      <c r="A8" s="7" t="inlineStr">
        <is>
          <t>Essay: Chapter 11</t>
        </is>
      </c>
      <c r="B8" s="7" t="inlineStr">
        <is>
          <t>English</t>
        </is>
      </c>
      <c r="C8" s="8" t="n">
        <v>46176</v>
      </c>
      <c r="D8" s="7" t="inlineStr">
        <is>
          <t>In Progress</t>
        </is>
      </c>
      <c r="E8" s="7" t="n">
        <v>123.25</v>
      </c>
      <c r="F8" s="7" t="inlineStr">
        <is>
          <t>Confirmed</t>
        </is>
      </c>
    </row>
    <row r="9">
      <c r="A9" s="9" t="inlineStr">
        <is>
          <t>Essay: Chapter 12</t>
        </is>
      </c>
      <c r="B9" s="9" t="inlineStr">
        <is>
          <t>English</t>
        </is>
      </c>
      <c r="C9" s="10" t="n">
        <v>46182</v>
      </c>
      <c r="D9" s="9" t="inlineStr">
        <is>
          <t>Submitted</t>
        </is>
      </c>
      <c r="E9" s="9" t="n">
        <v>80.75</v>
      </c>
      <c r="F9" s="9" t="inlineStr"/>
    </row>
    <row r="10">
      <c r="A10" s="7" t="inlineStr">
        <is>
          <t>Essay: Chapter 13</t>
        </is>
      </c>
      <c r="B10" s="7" t="inlineStr"/>
      <c r="C10" s="8" t="n">
        <v>46188</v>
      </c>
      <c r="D10" s="7" t="inlineStr">
        <is>
          <t>Graded</t>
        </is>
      </c>
      <c r="E10" s="7" t="n">
        <v>106.25</v>
      </c>
      <c r="F10" s="7" t="inlineStr">
        <is>
          <t>Waiting reply</t>
        </is>
      </c>
    </row>
    <row r="11">
      <c r="A11" s="9" t="inlineStr">
        <is>
          <t>Essay: Chapter 14</t>
        </is>
      </c>
      <c r="B11" s="9" t="inlineStr">
        <is>
          <t>English</t>
        </is>
      </c>
      <c r="C11" s="10" t="n">
        <v>46191</v>
      </c>
      <c r="D11" s="9" t="inlineStr">
        <is>
          <t>Late</t>
        </is>
      </c>
      <c r="E11" s="9" t="n">
        <v>68</v>
      </c>
      <c r="F11" s="9" t="inlineStr">
        <is>
          <t>Done early</t>
        </is>
      </c>
    </row>
    <row r="12">
      <c r="A12" s="7" t="inlineStr">
        <is>
          <t>Essay: Chapter 15</t>
        </is>
      </c>
      <c r="B12" s="7" t="inlineStr">
        <is>
          <t>English</t>
        </is>
      </c>
      <c r="C12" s="8" t="n">
        <v>46197</v>
      </c>
      <c r="D12" s="7" t="inlineStr">
        <is>
          <t>Pending</t>
        </is>
      </c>
      <c r="E12" s="7" t="n">
        <v>93.5</v>
      </c>
      <c r="F12" s="7" t="inlineStr"/>
    </row>
    <row r="13">
      <c r="A13" s="9" t="inlineStr">
        <is>
          <t>Essay: Chapter 16</t>
        </is>
      </c>
      <c r="B13" s="9" t="inlineStr"/>
      <c r="C13" s="10" t="n">
        <v>46175</v>
      </c>
      <c r="D13" s="9" t="inlineStr">
        <is>
          <t>In Progress</t>
        </is>
      </c>
      <c r="E13" s="9" t="n">
        <v>63.75</v>
      </c>
      <c r="F13" s="9" t="inlineStr">
        <is>
          <t>Recheck</t>
        </is>
      </c>
    </row>
  </sheetData>
  <dataValidations count="1">
    <dataValidation sqref="D2:D500" showDropDown="0" showInputMessage="0" showErrorMessage="0" allowBlank="1" type="list">
      <formula1>"Pending,In Progress,Submitted,Graded,Late"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ULTIMATE STUDENT PLANNER — DASHBOARD</t>
        </is>
      </c>
    </row>
    <row r="4">
      <c r="B4" s="12" t="inlineStr">
        <is>
          <t>CURRENT GPA</t>
        </is>
      </c>
      <c r="D4" s="13" t="inlineStr">
        <is>
          <t>ASSIGNMENTS DUE</t>
        </is>
      </c>
      <c r="F4" s="14" t="inlineStr">
        <is>
          <t>STUDY HOURS</t>
        </is>
      </c>
      <c r="H4" s="15" t="inlineStr">
        <is>
          <t>EXAMS LEFT</t>
        </is>
      </c>
    </row>
    <row r="5" ht="26" customHeight="1">
      <c r="B5" s="16">
        <f>AVERAGE(Grades!D:D)</f>
        <v/>
      </c>
      <c r="D5" s="17">
        <f>COUNTIF(Assignments!D:D,"Pending")</f>
        <v/>
      </c>
      <c r="F5" s="18">
        <f>SUM(Study!C:C)</f>
        <v/>
      </c>
      <c r="H5" s="19">
        <f>COUNTIF(Exams!D:D,"Upcoming")</f>
        <v/>
      </c>
    </row>
    <row r="8">
      <c r="B8" s="20" t="inlineStr">
        <is>
          <t>WHAT'S INSIDE</t>
        </is>
      </c>
    </row>
    <row r="9">
      <c r="B9" s="21" t="inlineStr">
        <is>
          <t>📝  Assignments — Track all assignments with due dates, status, and grades.</t>
        </is>
      </c>
    </row>
    <row r="10">
      <c r="B10" s="21" t="inlineStr">
        <is>
          <t>🎯  Grades — Grade book: all subjects with weighted averages and GPA.</t>
        </is>
      </c>
    </row>
    <row r="11">
      <c r="B11" s="21" t="inlineStr">
        <is>
          <t>📅  Exams — Exam schedule with countdown, topics to study, and results.</t>
        </is>
      </c>
    </row>
    <row r="12">
      <c r="B12" s="21" t="inlineStr">
        <is>
          <t>⏰  Study Schedule — Weekly study sessions with subject, hours, and productivity rating.</t>
        </is>
      </c>
    </row>
    <row r="13">
      <c r="B13" s="21" t="inlineStr">
        <is>
          <t>🏆  Goals — Semester goals with deadlines and progress tracking.</t>
        </is>
      </c>
    </row>
    <row r="15">
      <c r="B15" s="5" t="inlineStr">
        <is>
          <t>Numbers update automatically as you fill the other tabs. Start with sample data deleted.</t>
        </is>
      </c>
    </row>
  </sheetData>
  <mergeCells count="15">
    <mergeCell ref="B9:I9"/>
    <mergeCell ref="F4:G4"/>
    <mergeCell ref="B12:I12"/>
    <mergeCell ref="B13:I13"/>
    <mergeCell ref="B15:I15"/>
    <mergeCell ref="B11:I11"/>
    <mergeCell ref="B5:C5"/>
    <mergeCell ref="B2:I2"/>
    <mergeCell ref="F5:G5"/>
    <mergeCell ref="D5:E5"/>
    <mergeCell ref="B10:I10"/>
    <mergeCell ref="H5:I5"/>
    <mergeCell ref="D4:E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6" t="inlineStr">
        <is>
          <t>Subject</t>
        </is>
      </c>
      <c r="B1" s="6" t="inlineStr">
        <is>
          <t>Credits</t>
        </is>
      </c>
      <c r="C1" s="6" t="inlineStr">
        <is>
          <t>Midterm</t>
        </is>
      </c>
      <c r="D1" s="6" t="inlineStr">
        <is>
          <t>Final</t>
        </is>
      </c>
      <c r="E1" s="6" t="inlineStr">
        <is>
          <t>GPA Points</t>
        </is>
      </c>
      <c r="F1" s="6" t="inlineStr">
        <is>
          <t>Letter</t>
        </is>
      </c>
    </row>
    <row r="2">
      <c r="A2" s="7" t="inlineStr">
        <is>
          <t>Mathematics</t>
        </is>
      </c>
      <c r="B2" s="7" t="n">
        <v>3</v>
      </c>
      <c r="C2" s="7" t="n">
        <v>78</v>
      </c>
      <c r="D2" s="7" t="n">
        <v>82</v>
      </c>
      <c r="E2" s="7">
        <f>IF(E2&gt;=90,4,IF(E2&gt;=80,3,IF(E2&gt;=70,2,1)))</f>
        <v/>
      </c>
      <c r="F2" s="7">
        <f>IF(E2&gt;=90,"A",IF(E2&gt;=80,"B",IF(E2&gt;=70,"C","D")))</f>
        <v/>
      </c>
    </row>
    <row r="3">
      <c r="A3" s="9" t="inlineStr">
        <is>
          <t>Mathematics</t>
        </is>
      </c>
      <c r="B3" s="9" t="n">
        <v>2.1</v>
      </c>
      <c r="C3" s="9" t="n">
        <v>54.6</v>
      </c>
      <c r="D3" s="9" t="n">
        <v>57.4</v>
      </c>
      <c r="E3" s="9">
        <f>IF(E3&gt;=90,4,IF(E3&gt;=80,3,IF(E3&gt;=70,2,1)))</f>
        <v/>
      </c>
      <c r="F3" s="9">
        <f>IF(E3&gt;=90,"A",IF(E3&gt;=80,"B",IF(E3&gt;=70,"C","D")))</f>
        <v/>
      </c>
    </row>
    <row r="4">
      <c r="A4" s="7" t="inlineStr"/>
      <c r="B4" s="7" t="n">
        <v>3.9</v>
      </c>
      <c r="C4" s="7" t="n">
        <v>101.4</v>
      </c>
      <c r="D4" s="7" t="n">
        <v>106.6</v>
      </c>
      <c r="E4" s="7">
        <f>IF(E4&gt;=90,4,IF(E4&gt;=80,3,IF(E4&gt;=70,2,1)))</f>
        <v/>
      </c>
      <c r="F4" s="7">
        <f>IF(E4&gt;=90,"A",IF(E4&gt;=80,"B",IF(E4&gt;=70,"C","D")))</f>
        <v/>
      </c>
    </row>
    <row r="5">
      <c r="A5" s="9" t="inlineStr">
        <is>
          <t>Mathematics</t>
        </is>
      </c>
      <c r="B5" s="9" t="n">
        <v>2.55</v>
      </c>
      <c r="C5" s="9" t="n">
        <v>66.3</v>
      </c>
      <c r="D5" s="9" t="n">
        <v>69.7</v>
      </c>
      <c r="E5" s="9">
        <f>IF(E5&gt;=90,4,IF(E5&gt;=80,3,IF(E5&gt;=70,2,1)))</f>
        <v/>
      </c>
      <c r="F5" s="9">
        <f>IF(E5&gt;=90,"A",IF(E5&gt;=80,"B",IF(E5&gt;=70,"C","D")))</f>
        <v/>
      </c>
    </row>
    <row r="6">
      <c r="A6" s="7" t="inlineStr">
        <is>
          <t>Mathematics</t>
        </is>
      </c>
      <c r="B6" s="7" t="n">
        <v>3.45</v>
      </c>
      <c r="C6" s="7" t="n">
        <v>89.7</v>
      </c>
      <c r="D6" s="7" t="n">
        <v>94.3</v>
      </c>
      <c r="E6" s="7">
        <f>IF(E6&gt;=90,4,IF(E6&gt;=80,3,IF(E6&gt;=70,2,1)))</f>
        <v/>
      </c>
      <c r="F6" s="7">
        <f>IF(E6&gt;=90,"A",IF(E6&gt;=80,"B",IF(E6&gt;=70,"C","D")))</f>
        <v/>
      </c>
    </row>
    <row r="7">
      <c r="A7" s="9" t="inlineStr"/>
      <c r="B7" s="9" t="n">
        <v>1.8</v>
      </c>
      <c r="C7" s="9" t="n">
        <v>46.8</v>
      </c>
      <c r="D7" s="9" t="n">
        <v>49.2</v>
      </c>
      <c r="E7" s="9">
        <f>IF(E7&gt;=90,4,IF(E7&gt;=80,3,IF(E7&gt;=70,2,1)))</f>
        <v/>
      </c>
      <c r="F7" s="9">
        <f>IF(E7&gt;=90,"A",IF(E7&gt;=80,"B",IF(E7&gt;=70,"C","D")))</f>
        <v/>
      </c>
    </row>
    <row r="8">
      <c r="A8" s="7" t="inlineStr">
        <is>
          <t>Mathematics</t>
        </is>
      </c>
      <c r="B8" s="7" t="n">
        <v>4.35</v>
      </c>
      <c r="C8" s="7" t="n">
        <v>113.1</v>
      </c>
      <c r="D8" s="7" t="n">
        <v>118.9</v>
      </c>
      <c r="E8" s="7">
        <f>IF(E8&gt;=90,4,IF(E8&gt;=80,3,IF(E8&gt;=70,2,1)))</f>
        <v/>
      </c>
      <c r="F8" s="7">
        <f>IF(E8&gt;=90,"A",IF(E8&gt;=80,"B",IF(E8&gt;=70,"C","D")))</f>
        <v/>
      </c>
    </row>
    <row r="9">
      <c r="A9" s="9" t="inlineStr">
        <is>
          <t>Mathematics</t>
        </is>
      </c>
      <c r="B9" s="9" t="n">
        <v>2.85</v>
      </c>
      <c r="C9" s="9" t="n">
        <v>74.09999999999999</v>
      </c>
      <c r="D9" s="9" t="n">
        <v>77.90000000000001</v>
      </c>
      <c r="E9" s="9">
        <f>IF(E9&gt;=90,4,IF(E9&gt;=80,3,IF(E9&gt;=70,2,1)))</f>
        <v/>
      </c>
      <c r="F9" s="9">
        <f>IF(E9&gt;=90,"A",IF(E9&gt;=80,"B",IF(E9&gt;=70,"C","D")))</f>
        <v/>
      </c>
    </row>
    <row r="10">
      <c r="A10" s="7" t="inlineStr"/>
      <c r="B10" s="7" t="n">
        <v>3.75</v>
      </c>
      <c r="C10" s="7" t="n">
        <v>97.5</v>
      </c>
      <c r="D10" s="7" t="n">
        <v>102.5</v>
      </c>
      <c r="E10" s="7">
        <f>IF(E10&gt;=90,4,IF(E10&gt;=80,3,IF(E10&gt;=70,2,1)))</f>
        <v/>
      </c>
      <c r="F10" s="7">
        <f>IF(E10&gt;=90,"A",IF(E10&gt;=80,"B",IF(E10&gt;=70,"C","D")))</f>
        <v/>
      </c>
    </row>
    <row r="11">
      <c r="A11" s="9" t="inlineStr">
        <is>
          <t>Mathematics</t>
        </is>
      </c>
      <c r="B11" s="9" t="n">
        <v>2.4</v>
      </c>
      <c r="C11" s="9" t="n">
        <v>62.4</v>
      </c>
      <c r="D11" s="9" t="n">
        <v>65.59999999999999</v>
      </c>
      <c r="E11" s="9">
        <f>IF(E11&gt;=90,4,IF(E11&gt;=80,3,IF(E11&gt;=70,2,1)))</f>
        <v/>
      </c>
      <c r="F11" s="9">
        <f>IF(E11&gt;=90,"A",IF(E11&gt;=80,"B",IF(E11&gt;=70,"C","D")))</f>
        <v/>
      </c>
    </row>
    <row r="12">
      <c r="A12" s="7" t="inlineStr">
        <is>
          <t>Mathematics</t>
        </is>
      </c>
      <c r="B12" s="7" t="n">
        <v>3.3</v>
      </c>
      <c r="C12" s="7" t="n">
        <v>85.8</v>
      </c>
      <c r="D12" s="7" t="n">
        <v>90.2</v>
      </c>
      <c r="E12" s="7">
        <f>IF(E12&gt;=90,4,IF(E12&gt;=80,3,IF(E12&gt;=70,2,1)))</f>
        <v/>
      </c>
      <c r="F12" s="7">
        <f>IF(E12&gt;=90,"A",IF(E12&gt;=80,"B",IF(E12&gt;=70,"C","D")))</f>
        <v/>
      </c>
    </row>
    <row r="13">
      <c r="A13" s="9" t="inlineStr"/>
      <c r="B13" s="9" t="n">
        <v>2.25</v>
      </c>
      <c r="C13" s="9" t="n">
        <v>58.5</v>
      </c>
      <c r="D13" s="9" t="n">
        <v>61.5</v>
      </c>
      <c r="E13" s="9">
        <f>IF(E13&gt;=90,4,IF(E13&gt;=80,3,IF(E13&gt;=70,2,1)))</f>
        <v/>
      </c>
      <c r="F13" s="9">
        <f>IF(E13&gt;=90,"A",IF(E13&gt;=80,"B",IF(E13&gt;=70,"C","D")))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12" customWidth="1" min="5" max="5"/>
    <col width="30" customWidth="1" min="6" max="6"/>
  </cols>
  <sheetData>
    <row r="1">
      <c r="A1" s="6" t="inlineStr">
        <is>
          <t>Exam</t>
        </is>
      </c>
      <c r="B1" s="6" t="inlineStr">
        <is>
          <t>Subject</t>
        </is>
      </c>
      <c r="C1" s="6" t="inlineStr">
        <is>
          <t>Date</t>
        </is>
      </c>
      <c r="D1" s="6" t="inlineStr">
        <is>
          <t>Status</t>
        </is>
      </c>
      <c r="E1" s="6" t="inlineStr">
        <is>
          <t>Score</t>
        </is>
      </c>
      <c r="F1" s="6" t="inlineStr">
        <is>
          <t>Topics</t>
        </is>
      </c>
    </row>
    <row r="2">
      <c r="A2" s="7" t="inlineStr">
        <is>
          <t>Midterm — Math</t>
        </is>
      </c>
      <c r="B2" s="7" t="inlineStr">
        <is>
          <t>Mathematics</t>
        </is>
      </c>
      <c r="C2" s="8" t="n">
        <v>46174</v>
      </c>
      <c r="D2" s="7" t="inlineStr">
        <is>
          <t>Upcoming</t>
        </is>
      </c>
      <c r="E2" s="7" t="n">
        <v>88</v>
      </c>
      <c r="F2" s="7" t="inlineStr">
        <is>
          <t>Kickoff meeting</t>
        </is>
      </c>
    </row>
    <row r="3">
      <c r="A3" s="9" t="inlineStr">
        <is>
          <t>Midterm — Math</t>
        </is>
      </c>
      <c r="B3" s="9" t="inlineStr">
        <is>
          <t>Mathematics</t>
        </is>
      </c>
      <c r="C3" s="10" t="n">
        <v>46180</v>
      </c>
      <c r="D3" s="9" t="inlineStr">
        <is>
          <t>Studying</t>
        </is>
      </c>
      <c r="E3" s="9" t="n">
        <v>61.6</v>
      </c>
      <c r="F3" s="9" t="inlineStr">
        <is>
          <t>Send proposal</t>
        </is>
      </c>
    </row>
    <row r="4">
      <c r="A4" s="7" t="inlineStr"/>
      <c r="B4" s="7" t="inlineStr"/>
      <c r="C4" s="8" t="n">
        <v>46186</v>
      </c>
      <c r="D4" s="7" t="inlineStr">
        <is>
          <t>Done</t>
        </is>
      </c>
      <c r="E4" s="7" t="n">
        <v>114.4</v>
      </c>
      <c r="F4" s="7" t="inlineStr">
        <is>
          <t>Review feedback</t>
        </is>
      </c>
    </row>
    <row r="5">
      <c r="A5" s="9" t="inlineStr">
        <is>
          <t>Midterm — Math</t>
        </is>
      </c>
      <c r="B5" s="9" t="inlineStr">
        <is>
          <t>Mathematics</t>
        </is>
      </c>
      <c r="C5" s="10" t="n">
        <v>46189</v>
      </c>
      <c r="D5" s="9" t="inlineStr">
        <is>
          <t>Results In</t>
        </is>
      </c>
      <c r="E5" s="9" t="n">
        <v>74.8</v>
      </c>
      <c r="F5" s="9" t="inlineStr">
        <is>
          <t>Update website copy</t>
        </is>
      </c>
    </row>
    <row r="6">
      <c r="A6" s="7" t="inlineStr">
        <is>
          <t>Midterm — Math</t>
        </is>
      </c>
      <c r="B6" s="7" t="inlineStr">
        <is>
          <t>Mathematics</t>
        </is>
      </c>
      <c r="C6" s="8" t="n">
        <v>46195</v>
      </c>
      <c r="D6" s="7" t="inlineStr">
        <is>
          <t>Upcoming</t>
        </is>
      </c>
      <c r="E6" s="7" t="n">
        <v>101.2</v>
      </c>
      <c r="F6" s="7" t="inlineStr">
        <is>
          <t>Prepare invoice</t>
        </is>
      </c>
    </row>
    <row r="7">
      <c r="A7" s="9" t="inlineStr"/>
      <c r="B7" s="9" t="inlineStr"/>
      <c r="C7" s="10" t="n">
        <v>46201</v>
      </c>
      <c r="D7" s="9" t="inlineStr">
        <is>
          <t>Studying</t>
        </is>
      </c>
      <c r="E7" s="9" t="n">
        <v>52.8</v>
      </c>
      <c r="F7" s="9" t="inlineStr">
        <is>
          <t>Client call</t>
        </is>
      </c>
    </row>
    <row r="8">
      <c r="A8" s="7" t="inlineStr">
        <is>
          <t>Midterm — Math</t>
        </is>
      </c>
      <c r="B8" s="7" t="inlineStr">
        <is>
          <t>Mathematics</t>
        </is>
      </c>
      <c r="C8" s="8" t="n">
        <v>46176</v>
      </c>
      <c r="D8" s="7" t="inlineStr">
        <is>
          <t>Done</t>
        </is>
      </c>
      <c r="E8" s="7" t="n">
        <v>127.6</v>
      </c>
      <c r="F8" s="7" t="inlineStr">
        <is>
          <t>Design first draft</t>
        </is>
      </c>
    </row>
    <row r="9">
      <c r="A9" s="9" t="inlineStr">
        <is>
          <t>Midterm — Math</t>
        </is>
      </c>
      <c r="B9" s="9" t="inlineStr">
        <is>
          <t>Mathematics</t>
        </is>
      </c>
      <c r="C9" s="10" t="n">
        <v>46182</v>
      </c>
      <c r="D9" s="9" t="inlineStr">
        <is>
          <t>Results In</t>
        </is>
      </c>
      <c r="E9" s="9" t="n">
        <v>83.59999999999999</v>
      </c>
      <c r="F9" s="9" t="inlineStr">
        <is>
          <t>Fix reported bug</t>
        </is>
      </c>
    </row>
    <row r="10">
      <c r="A10" s="7" t="inlineStr"/>
      <c r="B10" s="7" t="inlineStr"/>
      <c r="C10" s="8" t="n">
        <v>46188</v>
      </c>
      <c r="D10" s="7" t="inlineStr">
        <is>
          <t>Upcoming</t>
        </is>
      </c>
      <c r="E10" s="7" t="n">
        <v>110</v>
      </c>
      <c r="F10" s="7" t="inlineStr">
        <is>
          <t>Weekly report</t>
        </is>
      </c>
    </row>
    <row r="11">
      <c r="A11" s="9" t="inlineStr">
        <is>
          <t>Midterm — Math</t>
        </is>
      </c>
      <c r="B11" s="9" t="inlineStr">
        <is>
          <t>Mathematics</t>
        </is>
      </c>
      <c r="C11" s="10" t="n">
        <v>46191</v>
      </c>
      <c r="D11" s="9" t="inlineStr">
        <is>
          <t>Studying</t>
        </is>
      </c>
      <c r="E11" s="9" t="n">
        <v>70.40000000000001</v>
      </c>
      <c r="F11" s="9" t="inlineStr">
        <is>
          <t>Plan next sprint</t>
        </is>
      </c>
    </row>
    <row r="12">
      <c r="A12" s="7" t="inlineStr">
        <is>
          <t>Midterm — Math</t>
        </is>
      </c>
      <c r="B12" s="7" t="inlineStr">
        <is>
          <t>Mathematics</t>
        </is>
      </c>
      <c r="C12" s="8" t="n">
        <v>46197</v>
      </c>
      <c r="D12" s="7" t="inlineStr">
        <is>
          <t>Done</t>
        </is>
      </c>
      <c r="E12" s="7" t="n">
        <v>96.8</v>
      </c>
      <c r="F12" s="7" t="inlineStr">
        <is>
          <t>Publish blog post</t>
        </is>
      </c>
    </row>
    <row r="13">
      <c r="A13" s="9" t="inlineStr"/>
      <c r="B13" s="9" t="inlineStr"/>
      <c r="C13" s="10" t="n">
        <v>46175</v>
      </c>
      <c r="D13" s="9" t="inlineStr">
        <is>
          <t>Results In</t>
        </is>
      </c>
      <c r="E13" s="9" t="n">
        <v>66</v>
      </c>
      <c r="F13" s="9" t="inlineStr">
        <is>
          <t>Team sync</t>
        </is>
      </c>
    </row>
  </sheetData>
  <dataValidations count="1">
    <dataValidation sqref="D2:D500" showDropDown="0" showInputMessage="0" showErrorMessage="0" allowBlank="1" type="list">
      <formula1>"Upcoming,Studying,Done,Results 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8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Subject</t>
        </is>
      </c>
      <c r="C1" s="6" t="inlineStr">
        <is>
          <t>Hours</t>
        </is>
      </c>
      <c r="D1" s="6" t="inlineStr">
        <is>
          <t>Topic</t>
        </is>
      </c>
      <c r="E1" s="6" t="inlineStr">
        <is>
          <t>Rating</t>
        </is>
      </c>
    </row>
    <row r="2">
      <c r="A2" s="8" t="n">
        <v>46174</v>
      </c>
      <c r="B2" s="7" t="inlineStr">
        <is>
          <t>Physics</t>
        </is>
      </c>
      <c r="C2" s="7" t="n">
        <v>2</v>
      </c>
      <c r="D2" s="7" t="inlineStr">
        <is>
          <t>Kickoff meeting</t>
        </is>
      </c>
      <c r="E2" s="7" t="inlineStr">
        <is>
          <t>⭐⭐⭐⭐⭐</t>
        </is>
      </c>
    </row>
    <row r="3">
      <c r="A3" s="10" t="n">
        <v>46180</v>
      </c>
      <c r="B3" s="9" t="inlineStr">
        <is>
          <t>Physics</t>
        </is>
      </c>
      <c r="C3" s="9" t="n">
        <v>1.4</v>
      </c>
      <c r="D3" s="9" t="inlineStr">
        <is>
          <t>Send proposal</t>
        </is>
      </c>
      <c r="E3" s="9" t="inlineStr">
        <is>
          <t>⭐⭐⭐⭐</t>
        </is>
      </c>
    </row>
    <row r="4">
      <c r="A4" s="8" t="n">
        <v>46186</v>
      </c>
      <c r="B4" s="7" t="inlineStr"/>
      <c r="C4" s="7" t="n">
        <v>2.6</v>
      </c>
      <c r="D4" s="7" t="inlineStr">
        <is>
          <t>Review feedback</t>
        </is>
      </c>
      <c r="E4" s="7" t="inlineStr">
        <is>
          <t>⭐⭐⭐</t>
        </is>
      </c>
    </row>
    <row r="5">
      <c r="A5" s="10" t="n">
        <v>46189</v>
      </c>
      <c r="B5" s="9" t="inlineStr">
        <is>
          <t>Physics</t>
        </is>
      </c>
      <c r="C5" s="9" t="n">
        <v>1.7</v>
      </c>
      <c r="D5" s="9" t="inlineStr">
        <is>
          <t>Update website copy</t>
        </is>
      </c>
      <c r="E5" s="9" t="inlineStr">
        <is>
          <t>⭐⭐</t>
        </is>
      </c>
    </row>
    <row r="6">
      <c r="A6" s="8" t="n">
        <v>46195</v>
      </c>
      <c r="B6" s="7" t="inlineStr">
        <is>
          <t>Physics</t>
        </is>
      </c>
      <c r="C6" s="7" t="n">
        <v>2.3</v>
      </c>
      <c r="D6" s="7" t="inlineStr">
        <is>
          <t>Prepare invoice</t>
        </is>
      </c>
      <c r="E6" s="7" t="inlineStr">
        <is>
          <t>⭐</t>
        </is>
      </c>
    </row>
    <row r="7">
      <c r="A7" s="10" t="n">
        <v>46201</v>
      </c>
      <c r="B7" s="9" t="inlineStr"/>
      <c r="C7" s="9" t="n">
        <v>1.2</v>
      </c>
      <c r="D7" s="9" t="inlineStr">
        <is>
          <t>Client call</t>
        </is>
      </c>
      <c r="E7" s="9" t="inlineStr">
        <is>
          <t>⭐⭐⭐⭐⭐</t>
        </is>
      </c>
    </row>
    <row r="8">
      <c r="A8" s="8" t="n">
        <v>46176</v>
      </c>
      <c r="B8" s="7" t="inlineStr">
        <is>
          <t>Physics</t>
        </is>
      </c>
      <c r="C8" s="7" t="n">
        <v>2.9</v>
      </c>
      <c r="D8" s="7" t="inlineStr">
        <is>
          <t>Design first draft</t>
        </is>
      </c>
      <c r="E8" s="7" t="inlineStr">
        <is>
          <t>⭐⭐⭐⭐</t>
        </is>
      </c>
    </row>
    <row r="9">
      <c r="A9" s="10" t="n">
        <v>46182</v>
      </c>
      <c r="B9" s="9" t="inlineStr">
        <is>
          <t>Physics</t>
        </is>
      </c>
      <c r="C9" s="9" t="n">
        <v>1.9</v>
      </c>
      <c r="D9" s="9" t="inlineStr">
        <is>
          <t>Fix reported bug</t>
        </is>
      </c>
      <c r="E9" s="9" t="inlineStr">
        <is>
          <t>⭐⭐⭐</t>
        </is>
      </c>
    </row>
    <row r="10">
      <c r="A10" s="8" t="n">
        <v>46188</v>
      </c>
      <c r="B10" s="7" t="inlineStr"/>
      <c r="C10" s="7" t="n">
        <v>2.5</v>
      </c>
      <c r="D10" s="7" t="inlineStr">
        <is>
          <t>Weekly report</t>
        </is>
      </c>
      <c r="E10" s="7" t="inlineStr">
        <is>
          <t>⭐⭐</t>
        </is>
      </c>
    </row>
    <row r="11">
      <c r="A11" s="10" t="n">
        <v>46191</v>
      </c>
      <c r="B11" s="9" t="inlineStr">
        <is>
          <t>Physics</t>
        </is>
      </c>
      <c r="C11" s="9" t="n">
        <v>1.6</v>
      </c>
      <c r="D11" s="9" t="inlineStr">
        <is>
          <t>Plan next sprint</t>
        </is>
      </c>
      <c r="E11" s="9" t="inlineStr">
        <is>
          <t>⭐</t>
        </is>
      </c>
    </row>
    <row r="12">
      <c r="A12" s="8" t="n">
        <v>46197</v>
      </c>
      <c r="B12" s="7" t="inlineStr">
        <is>
          <t>Physics</t>
        </is>
      </c>
      <c r="C12" s="7" t="n">
        <v>2.2</v>
      </c>
      <c r="D12" s="7" t="inlineStr">
        <is>
          <t>Publish blog post</t>
        </is>
      </c>
      <c r="E12" s="7" t="inlineStr">
        <is>
          <t>⭐⭐⭐⭐⭐</t>
        </is>
      </c>
    </row>
    <row r="13">
      <c r="A13" s="10" t="n">
        <v>46175</v>
      </c>
      <c r="B13" s="9" t="inlineStr"/>
      <c r="C13" s="9" t="n">
        <v>1.5</v>
      </c>
      <c r="D13" s="9" t="inlineStr">
        <is>
          <t>Team sync</t>
        </is>
      </c>
      <c r="E13" s="9" t="inlineStr">
        <is>
          <t>⭐⭐⭐⭐</t>
        </is>
      </c>
    </row>
  </sheetData>
  <dataValidations count="1">
    <dataValidation sqref="E2:E500" showDropDown="0" showInputMessage="0" showErrorMessage="0" allowBlank="1" type="list">
      <formula1>"⭐⭐⭐⭐⭐,⭐⭐⭐⭐,⭐⭐⭐,⭐⭐,⭐"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Goal</t>
        </is>
      </c>
      <c r="B1" s="6" t="inlineStr">
        <is>
          <t>Deadline</t>
        </is>
      </c>
      <c r="C1" s="6" t="inlineStr">
        <is>
          <t>Priority</t>
        </is>
      </c>
      <c r="D1" s="6" t="inlineStr">
        <is>
          <t>Progress</t>
        </is>
      </c>
    </row>
    <row r="2">
      <c r="A2" s="7" t="inlineStr">
        <is>
          <t>Kickoff meeting</t>
        </is>
      </c>
      <c r="B2" s="8" t="n">
        <v>46174</v>
      </c>
      <c r="C2" s="7" t="inlineStr">
        <is>
          <t>🔥 High</t>
        </is>
      </c>
      <c r="D2" s="7" t="inlineStr">
        <is>
          <t>Not Started</t>
        </is>
      </c>
    </row>
    <row r="3">
      <c r="A3" s="9" t="inlineStr">
        <is>
          <t>Send proposal</t>
        </is>
      </c>
      <c r="B3" s="10" t="n">
        <v>46180</v>
      </c>
      <c r="C3" s="9" t="inlineStr">
        <is>
          <t>Medium</t>
        </is>
      </c>
      <c r="D3" s="9" t="inlineStr">
        <is>
          <t>In Progress</t>
        </is>
      </c>
    </row>
    <row r="4">
      <c r="A4" s="7" t="inlineStr">
        <is>
          <t>Review feedback</t>
        </is>
      </c>
      <c r="B4" s="8" t="n">
        <v>46186</v>
      </c>
      <c r="C4" s="7" t="inlineStr">
        <is>
          <t>Low</t>
        </is>
      </c>
      <c r="D4" s="7" t="inlineStr">
        <is>
          <t>Almost Done</t>
        </is>
      </c>
    </row>
    <row r="5">
      <c r="A5" s="9" t="inlineStr">
        <is>
          <t>Update website copy</t>
        </is>
      </c>
      <c r="B5" s="10" t="n">
        <v>46189</v>
      </c>
      <c r="C5" s="9" t="inlineStr">
        <is>
          <t>🔥 High</t>
        </is>
      </c>
      <c r="D5" s="9" t="inlineStr">
        <is>
          <t>Done</t>
        </is>
      </c>
    </row>
    <row r="6">
      <c r="A6" s="7" t="inlineStr">
        <is>
          <t>Prepare invoice</t>
        </is>
      </c>
      <c r="B6" s="8" t="n">
        <v>46195</v>
      </c>
      <c r="C6" s="7" t="inlineStr">
        <is>
          <t>Medium</t>
        </is>
      </c>
      <c r="D6" s="7" t="inlineStr">
        <is>
          <t>Not Started</t>
        </is>
      </c>
    </row>
    <row r="7">
      <c r="A7" s="9" t="inlineStr">
        <is>
          <t>Client call</t>
        </is>
      </c>
      <c r="B7" s="10" t="n">
        <v>46201</v>
      </c>
      <c r="C7" s="9" t="inlineStr">
        <is>
          <t>Low</t>
        </is>
      </c>
      <c r="D7" s="9" t="inlineStr">
        <is>
          <t>In Progress</t>
        </is>
      </c>
    </row>
    <row r="8">
      <c r="A8" s="7" t="inlineStr">
        <is>
          <t>Design first draft</t>
        </is>
      </c>
      <c r="B8" s="8" t="n">
        <v>46176</v>
      </c>
      <c r="C8" s="7" t="inlineStr">
        <is>
          <t>🔥 High</t>
        </is>
      </c>
      <c r="D8" s="7" t="inlineStr">
        <is>
          <t>Almost Done</t>
        </is>
      </c>
    </row>
    <row r="9">
      <c r="A9" s="9" t="inlineStr">
        <is>
          <t>Fix reported bug</t>
        </is>
      </c>
      <c r="B9" s="10" t="n">
        <v>46182</v>
      </c>
      <c r="C9" s="9" t="inlineStr">
        <is>
          <t>Medium</t>
        </is>
      </c>
      <c r="D9" s="9" t="inlineStr">
        <is>
          <t>Done</t>
        </is>
      </c>
    </row>
    <row r="10">
      <c r="A10" s="7" t="inlineStr">
        <is>
          <t>Weekly report</t>
        </is>
      </c>
      <c r="B10" s="8" t="n">
        <v>46188</v>
      </c>
      <c r="C10" s="7" t="inlineStr">
        <is>
          <t>Low</t>
        </is>
      </c>
      <c r="D10" s="7" t="inlineStr">
        <is>
          <t>Not Started</t>
        </is>
      </c>
    </row>
    <row r="11">
      <c r="A11" s="9" t="inlineStr">
        <is>
          <t>Plan next sprint</t>
        </is>
      </c>
      <c r="B11" s="10" t="n">
        <v>46191</v>
      </c>
      <c r="C11" s="9" t="inlineStr">
        <is>
          <t>🔥 High</t>
        </is>
      </c>
      <c r="D11" s="9" t="inlineStr">
        <is>
          <t>In Progress</t>
        </is>
      </c>
    </row>
    <row r="12">
      <c r="A12" s="7" t="inlineStr">
        <is>
          <t>Publish blog post</t>
        </is>
      </c>
      <c r="B12" s="8" t="n">
        <v>46197</v>
      </c>
      <c r="C12" s="7" t="inlineStr">
        <is>
          <t>Medium</t>
        </is>
      </c>
      <c r="D12" s="7" t="inlineStr">
        <is>
          <t>Almost Done</t>
        </is>
      </c>
    </row>
    <row r="13">
      <c r="A13" s="9" t="inlineStr">
        <is>
          <t>Team sync</t>
        </is>
      </c>
      <c r="B13" s="10" t="n">
        <v>46175</v>
      </c>
      <c r="C13" s="9" t="inlineStr">
        <is>
          <t>Low</t>
        </is>
      </c>
      <c r="D13" s="9" t="inlineStr">
        <is>
          <t>Done</t>
        </is>
      </c>
    </row>
  </sheetData>
  <dataValidations count="2">
    <dataValidation sqref="C2:C500" showDropDown="0" showInputMessage="0" showErrorMessage="0" allowBlank="1" type="list">
      <formula1>"🔥 High,Medium,Low"</formula1>
    </dataValidation>
    <dataValidation sqref="D2:D500" showDropDown="0" showInputMessage="0" showErrorMessage="0" allowBlank="1" type="list">
      <formula1>"Not Started,In Progress,Almost Done,Done"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2026-07-16T21:44:36Z</dcterms:created>
  <dcterms:modified xsi:type="dcterms:W3CDTF">2026-07-16T21:44:37Z</dcterms:modified>
</cp:coreProperties>
</file>