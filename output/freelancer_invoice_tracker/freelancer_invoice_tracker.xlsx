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Invoices" sheetId="2" state="visible" r:id="rId2"/>
    <sheet name="Dashboard" sheetId="3" state="visible" r:id="rId3"/>
    <sheet name="Clients" sheetId="4" state="visible" r:id="rId4"/>
    <sheet name="Expenses" sheetId="5" state="visible" r:id="rId5"/>
    <sheet name="Income Repor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F97316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F172A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7F0"/>
      </patternFill>
    </fill>
    <fill>
      <patternFill patternType="solid">
        <fgColor rgb="00F97316"/>
      </patternFill>
    </fill>
    <fill>
      <patternFill patternType="solid">
        <fgColor rgb="0022C55E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165" fontId="5" fillId="0" borderId="1" pivotButton="0" quotePrefix="0" xfId="0"/>
    <xf numFmtId="165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🧾  FREELANCER INVOICE TRACKER</t>
        </is>
      </c>
    </row>
    <row r="3"/>
    <row r="4">
      <c r="B4" s="2" t="inlineStr">
        <is>
          <t>Client Billing &amp; Payment Manager Google Sheets</t>
        </is>
      </c>
    </row>
    <row r="6">
      <c r="B6" s="3" t="inlineStr">
        <is>
          <t>STEP 1 — Fill in “Invoices”</t>
        </is>
      </c>
    </row>
    <row r="7" ht="28" customHeight="1">
      <c r="B7" s="4" t="inlineStr">
        <is>
          <t>All invoices with client, amount, due date, and status.</t>
        </is>
      </c>
    </row>
    <row r="9">
      <c r="B9" s="3" t="inlineStr">
        <is>
          <t>STEP 2 — Fill in “Clients”</t>
        </is>
      </c>
    </row>
    <row r="10" ht="28" customHeight="1">
      <c r="B10" s="4" t="inlineStr">
        <is>
          <t>Client directory with contact info and billing history.</t>
        </is>
      </c>
    </row>
    <row r="12">
      <c r="B12" s="3" t="inlineStr">
        <is>
          <t>STEP 3 — Fill in “Expenses”</t>
        </is>
      </c>
    </row>
    <row r="13" ht="28" customHeight="1">
      <c r="B13" s="4" t="inlineStr">
        <is>
          <t>Business expenses by client and project for tax purposes.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4" customWidth="1" min="3" max="3"/>
    <col width="14" customWidth="1" min="4" max="4"/>
    <col width="14" customWidth="1" min="5" max="5"/>
    <col width="16" customWidth="1" min="6" max="6"/>
    <col width="26" customWidth="1" min="7" max="7"/>
  </cols>
  <sheetData>
    <row r="1">
      <c r="A1" s="6" t="inlineStr">
        <is>
          <t>Invoice #</t>
        </is>
      </c>
      <c r="B1" s="6" t="inlineStr">
        <is>
          <t>Client</t>
        </is>
      </c>
      <c r="C1" s="6" t="inlineStr">
        <is>
          <t>Project</t>
        </is>
      </c>
      <c r="D1" s="6" t="inlineStr">
        <is>
          <t>Due Date</t>
        </is>
      </c>
      <c r="E1" s="6" t="inlineStr">
        <is>
          <t>Amount $</t>
        </is>
      </c>
      <c r="F1" s="6" t="inlineStr">
        <is>
          <t>Status</t>
        </is>
      </c>
      <c r="G1" s="6" t="inlineStr">
        <is>
          <t>Notes</t>
        </is>
      </c>
    </row>
    <row r="2">
      <c r="A2" s="7" t="inlineStr">
        <is>
          <t>INV-001</t>
        </is>
      </c>
      <c r="B2" s="7" t="inlineStr">
        <is>
          <t>Alex Martin</t>
        </is>
      </c>
      <c r="C2" s="7" t="inlineStr">
        <is>
          <t>Kickoff meeting</t>
        </is>
      </c>
      <c r="D2" s="8" t="n">
        <v>46174</v>
      </c>
      <c r="E2" s="9" t="n">
        <v>1200</v>
      </c>
      <c r="F2" s="7" t="inlineStr">
        <is>
          <t>Draft</t>
        </is>
      </c>
      <c r="G2" s="7" t="inlineStr"/>
    </row>
    <row r="3">
      <c r="A3" s="10" t="inlineStr">
        <is>
          <t>INV-002</t>
        </is>
      </c>
      <c r="B3" s="10" t="inlineStr">
        <is>
          <t>Sara Lopez</t>
        </is>
      </c>
      <c r="C3" s="10" t="inlineStr">
        <is>
          <t>Send proposal</t>
        </is>
      </c>
      <c r="D3" s="11" t="n">
        <v>46180</v>
      </c>
      <c r="E3" s="12" t="n">
        <v>840</v>
      </c>
      <c r="F3" s="10" t="inlineStr">
        <is>
          <t>Sent</t>
        </is>
      </c>
      <c r="G3" s="10" t="inlineStr">
        <is>
          <t>Paid</t>
        </is>
      </c>
    </row>
    <row r="4">
      <c r="A4" s="7" t="inlineStr">
        <is>
          <t>INV-003</t>
        </is>
      </c>
      <c r="B4" s="7" t="inlineStr">
        <is>
          <t>Omar Haddad</t>
        </is>
      </c>
      <c r="C4" s="7" t="inlineStr">
        <is>
          <t>Review feedback</t>
        </is>
      </c>
      <c r="D4" s="8" t="n">
        <v>46186</v>
      </c>
      <c r="E4" s="9" t="n">
        <v>1560</v>
      </c>
      <c r="F4" s="7" t="inlineStr">
        <is>
          <t>Paid</t>
        </is>
      </c>
      <c r="G4" s="7" t="inlineStr">
        <is>
          <t>Urgent</t>
        </is>
      </c>
    </row>
    <row r="5">
      <c r="A5" s="10" t="inlineStr">
        <is>
          <t>INV-004</t>
        </is>
      </c>
      <c r="B5" s="10" t="inlineStr">
        <is>
          <t>Emma Fischer</t>
        </is>
      </c>
      <c r="C5" s="10" t="inlineStr">
        <is>
          <t>Update website copy</t>
        </is>
      </c>
      <c r="D5" s="11" t="n">
        <v>46189</v>
      </c>
      <c r="E5" s="12" t="n">
        <v>1020</v>
      </c>
      <c r="F5" s="10" t="inlineStr">
        <is>
          <t>Overdue</t>
        </is>
      </c>
      <c r="G5" s="10" t="inlineStr">
        <is>
          <t>Follow up Friday</t>
        </is>
      </c>
    </row>
    <row r="6">
      <c r="A6" s="7" t="inlineStr">
        <is>
          <t>INV-005</t>
        </is>
      </c>
      <c r="B6" s="7" t="inlineStr">
        <is>
          <t>Liam Carter</t>
        </is>
      </c>
      <c r="C6" s="7" t="inlineStr">
        <is>
          <t>Prepare invoice</t>
        </is>
      </c>
      <c r="D6" s="8" t="n">
        <v>46195</v>
      </c>
      <c r="E6" s="9" t="n">
        <v>1380</v>
      </c>
      <c r="F6" s="7" t="inlineStr">
        <is>
          <t>Cancelled</t>
        </is>
      </c>
      <c r="G6" s="7" t="inlineStr"/>
    </row>
    <row r="7">
      <c r="A7" s="10" t="inlineStr">
        <is>
          <t>INV-006</t>
        </is>
      </c>
      <c r="B7" s="10" t="inlineStr">
        <is>
          <t>Nadia Rahali</t>
        </is>
      </c>
      <c r="C7" s="10" t="inlineStr">
        <is>
          <t>Client call</t>
        </is>
      </c>
      <c r="D7" s="11" t="n">
        <v>46201</v>
      </c>
      <c r="E7" s="12" t="n">
        <v>720</v>
      </c>
      <c r="F7" s="10" t="inlineStr">
        <is>
          <t>Draft</t>
        </is>
      </c>
      <c r="G7" s="10" t="inlineStr">
        <is>
          <t>Monthly</t>
        </is>
      </c>
    </row>
    <row r="8">
      <c r="A8" s="7" t="inlineStr">
        <is>
          <t>INV-007</t>
        </is>
      </c>
      <c r="B8" s="7" t="inlineStr">
        <is>
          <t>Tom Becker</t>
        </is>
      </c>
      <c r="C8" s="7" t="inlineStr">
        <is>
          <t>Design first draft</t>
        </is>
      </c>
      <c r="D8" s="8" t="n">
        <v>46176</v>
      </c>
      <c r="E8" s="9" t="n">
        <v>1740</v>
      </c>
      <c r="F8" s="7" t="inlineStr">
        <is>
          <t>Sent</t>
        </is>
      </c>
      <c r="G8" s="7" t="inlineStr">
        <is>
          <t>Confirmed</t>
        </is>
      </c>
    </row>
    <row r="9">
      <c r="A9" s="10" t="inlineStr">
        <is>
          <t>INV-008</t>
        </is>
      </c>
      <c r="B9" s="10" t="inlineStr">
        <is>
          <t>Julia Romero</t>
        </is>
      </c>
      <c r="C9" s="10" t="inlineStr">
        <is>
          <t>Fix reported bug</t>
        </is>
      </c>
      <c r="D9" s="11" t="n">
        <v>46182</v>
      </c>
      <c r="E9" s="12" t="n">
        <v>1140</v>
      </c>
      <c r="F9" s="10" t="inlineStr">
        <is>
          <t>Paid</t>
        </is>
      </c>
      <c r="G9" s="10" t="inlineStr"/>
    </row>
    <row r="10">
      <c r="A10" s="7" t="inlineStr">
        <is>
          <t>INV-009</t>
        </is>
      </c>
      <c r="B10" s="7" t="inlineStr">
        <is>
          <t>Karim Ziani</t>
        </is>
      </c>
      <c r="C10" s="7" t="inlineStr">
        <is>
          <t>Weekly report</t>
        </is>
      </c>
      <c r="D10" s="8" t="n">
        <v>46188</v>
      </c>
      <c r="E10" s="9" t="n">
        <v>1500</v>
      </c>
      <c r="F10" s="7" t="inlineStr">
        <is>
          <t>Overdue</t>
        </is>
      </c>
      <c r="G10" s="7" t="inlineStr">
        <is>
          <t>Waiting reply</t>
        </is>
      </c>
    </row>
    <row r="11">
      <c r="A11" s="10" t="inlineStr">
        <is>
          <t>INV-010</t>
        </is>
      </c>
      <c r="B11" s="10" t="inlineStr">
        <is>
          <t>Anna Kowalska</t>
        </is>
      </c>
      <c r="C11" s="10" t="inlineStr">
        <is>
          <t>Plan next sprint</t>
        </is>
      </c>
      <c r="D11" s="11" t="n">
        <v>46191</v>
      </c>
      <c r="E11" s="12" t="n">
        <v>960</v>
      </c>
      <c r="F11" s="10" t="inlineStr">
        <is>
          <t>Cancelled</t>
        </is>
      </c>
      <c r="G11" s="10" t="inlineStr">
        <is>
          <t>Done early</t>
        </is>
      </c>
    </row>
    <row r="12">
      <c r="A12" s="7" t="inlineStr">
        <is>
          <t>INV-011</t>
        </is>
      </c>
      <c r="B12" s="7" t="inlineStr">
        <is>
          <t>David Chen</t>
        </is>
      </c>
      <c r="C12" s="7" t="inlineStr">
        <is>
          <t>Publish blog post</t>
        </is>
      </c>
      <c r="D12" s="8" t="n">
        <v>46197</v>
      </c>
      <c r="E12" s="9" t="n">
        <v>1320</v>
      </c>
      <c r="F12" s="7" t="inlineStr">
        <is>
          <t>Draft</t>
        </is>
      </c>
      <c r="G12" s="7" t="inlineStr"/>
    </row>
    <row r="13">
      <c r="A13" s="10" t="inlineStr">
        <is>
          <t>INV-012</t>
        </is>
      </c>
      <c r="B13" s="10" t="inlineStr">
        <is>
          <t>Lea Moreau</t>
        </is>
      </c>
      <c r="C13" s="10" t="inlineStr">
        <is>
          <t>Team sync</t>
        </is>
      </c>
      <c r="D13" s="11" t="n">
        <v>46175</v>
      </c>
      <c r="E13" s="12" t="n">
        <v>900</v>
      </c>
      <c r="F13" s="10" t="inlineStr">
        <is>
          <t>Sent</t>
        </is>
      </c>
      <c r="G13" s="10" t="inlineStr">
        <is>
          <t>Recheck</t>
        </is>
      </c>
    </row>
  </sheetData>
  <dataValidations count="1">
    <dataValidation sqref="F2:F500" showDropDown="0" showInputMessage="0" showErrorMessage="0" allowBlank="1" type="list">
      <formula1>"Draft,Sent,Paid,Overdue,Cancelled"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3" t="inlineStr">
        <is>
          <t>📊  FREELANCER INVOICE TRACKER — DASHBOARD</t>
        </is>
      </c>
    </row>
    <row r="4">
      <c r="B4" s="14" t="inlineStr">
        <is>
          <t>TOTAL BILLED</t>
        </is>
      </c>
      <c r="D4" s="15" t="inlineStr">
        <is>
          <t>TOTAL PAID</t>
        </is>
      </c>
      <c r="F4" s="16" t="inlineStr">
        <is>
          <t>PENDING</t>
        </is>
      </c>
      <c r="H4" s="17" t="inlineStr">
        <is>
          <t>OVERDUE</t>
        </is>
      </c>
    </row>
    <row r="5" ht="26" customHeight="1">
      <c r="B5" s="18">
        <f>SUM(Invoices!E:E)</f>
        <v/>
      </c>
      <c r="D5" s="19">
        <f>SUMIF(Invoices!F:F,"Paid",Invoices!E:E)</f>
        <v/>
      </c>
      <c r="F5" s="20">
        <f>SUMIF(Invoices!F:F,"Pending",Invoices!E:E)</f>
        <v/>
      </c>
      <c r="H5" s="21">
        <f>SUMIF(Invoices!F:F,"Overdue",Invoices!E:E)</f>
        <v/>
      </c>
    </row>
    <row r="8">
      <c r="B8" s="22" t="inlineStr">
        <is>
          <t>WHAT'S INSIDE</t>
        </is>
      </c>
    </row>
    <row r="9">
      <c r="B9" s="23" t="inlineStr">
        <is>
          <t>🧾  Invoices — All invoices with client, amount, due date, and status.</t>
        </is>
      </c>
    </row>
    <row r="10">
      <c r="B10" s="23" t="inlineStr">
        <is>
          <t>👥  Clients — Client directory with contact info and billing history.</t>
        </is>
      </c>
    </row>
    <row r="11">
      <c r="B11" s="23" t="inlineStr">
        <is>
          <t>💸  Expenses — Business expenses by client and project for tax purposes.</t>
        </is>
      </c>
    </row>
    <row r="12">
      <c r="B12" s="23" t="inlineStr">
        <is>
          <t>📊  Income Report — Monthly and annual income summary for tax reporting.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8" customWidth="1" min="3" max="3"/>
    <col width="14" customWidth="1" min="4" max="4"/>
    <col width="16" customWidth="1" min="5" max="5"/>
  </cols>
  <sheetData>
    <row r="1">
      <c r="A1" s="6" t="inlineStr">
        <is>
          <t>Client Name</t>
        </is>
      </c>
      <c r="B1" s="6" t="inlineStr">
        <is>
          <t>Contact</t>
        </is>
      </c>
      <c r="C1" s="6" t="inlineStr">
        <is>
          <t>Email</t>
        </is>
      </c>
      <c r="D1" s="6" t="inlineStr">
        <is>
          <t>Total Billed</t>
        </is>
      </c>
      <c r="E1" s="6" t="inlineStr">
        <is>
          <t>Status</t>
        </is>
      </c>
    </row>
    <row r="2">
      <c r="A2" s="7" t="inlineStr">
        <is>
          <t>Alex Martin</t>
        </is>
      </c>
      <c r="B2" s="7" t="inlineStr">
        <is>
          <t>Alex Martin</t>
        </is>
      </c>
      <c r="C2" s="7" t="inlineStr">
        <is>
          <t>alex@mail.com</t>
        </is>
      </c>
      <c r="D2" s="9" t="n">
        <v>5400</v>
      </c>
      <c r="E2" s="7" t="inlineStr">
        <is>
          <t>Active</t>
        </is>
      </c>
    </row>
    <row r="3">
      <c r="A3" s="10" t="inlineStr">
        <is>
          <t>Sara Lopez</t>
        </is>
      </c>
      <c r="B3" s="10" t="inlineStr">
        <is>
          <t>Sara Lopez</t>
        </is>
      </c>
      <c r="C3" s="10" t="inlineStr">
        <is>
          <t>sara@mail.com</t>
        </is>
      </c>
      <c r="D3" s="12" t="n">
        <v>3780</v>
      </c>
      <c r="E3" s="10" t="inlineStr">
        <is>
          <t>Inactive</t>
        </is>
      </c>
    </row>
    <row r="4">
      <c r="A4" s="7" t="inlineStr">
        <is>
          <t>Omar Haddad</t>
        </is>
      </c>
      <c r="B4" s="7" t="inlineStr">
        <is>
          <t>Omar Haddad</t>
        </is>
      </c>
      <c r="C4" s="7" t="inlineStr">
        <is>
          <t>omar@mail.com</t>
        </is>
      </c>
      <c r="D4" s="9" t="n">
        <v>7020</v>
      </c>
      <c r="E4" s="7" t="inlineStr">
        <is>
          <t>VIP</t>
        </is>
      </c>
    </row>
    <row r="5">
      <c r="A5" s="10" t="inlineStr">
        <is>
          <t>Emma Fischer</t>
        </is>
      </c>
      <c r="B5" s="10" t="inlineStr">
        <is>
          <t>Emma Fischer</t>
        </is>
      </c>
      <c r="C5" s="10" t="inlineStr">
        <is>
          <t>emma@mail.com</t>
        </is>
      </c>
      <c r="D5" s="12" t="n">
        <v>4590</v>
      </c>
      <c r="E5" s="10" t="inlineStr">
        <is>
          <t>New</t>
        </is>
      </c>
    </row>
    <row r="6">
      <c r="A6" s="7" t="inlineStr">
        <is>
          <t>Liam Carter</t>
        </is>
      </c>
      <c r="B6" s="7" t="inlineStr">
        <is>
          <t>Liam Carter</t>
        </is>
      </c>
      <c r="C6" s="7" t="inlineStr">
        <is>
          <t>liam@mail.com</t>
        </is>
      </c>
      <c r="D6" s="9" t="n">
        <v>6210</v>
      </c>
      <c r="E6" s="7" t="inlineStr">
        <is>
          <t>Active</t>
        </is>
      </c>
    </row>
    <row r="7">
      <c r="A7" s="10" t="inlineStr">
        <is>
          <t>Nadia Rahali</t>
        </is>
      </c>
      <c r="B7" s="10" t="inlineStr">
        <is>
          <t>Nadia Rahali</t>
        </is>
      </c>
      <c r="C7" s="10" t="inlineStr">
        <is>
          <t>nadia@mail.com</t>
        </is>
      </c>
      <c r="D7" s="12" t="n">
        <v>3240</v>
      </c>
      <c r="E7" s="10" t="inlineStr">
        <is>
          <t>Inactive</t>
        </is>
      </c>
    </row>
    <row r="8">
      <c r="A8" s="7" t="inlineStr">
        <is>
          <t>Tom Becker</t>
        </is>
      </c>
      <c r="B8" s="7" t="inlineStr">
        <is>
          <t>Tom Becker</t>
        </is>
      </c>
      <c r="C8" s="7" t="inlineStr">
        <is>
          <t>tom@mail.com</t>
        </is>
      </c>
      <c r="D8" s="9" t="n">
        <v>7830</v>
      </c>
      <c r="E8" s="7" t="inlineStr">
        <is>
          <t>VIP</t>
        </is>
      </c>
    </row>
    <row r="9">
      <c r="A9" s="10" t="inlineStr">
        <is>
          <t>Julia Romero</t>
        </is>
      </c>
      <c r="B9" s="10" t="inlineStr">
        <is>
          <t>Julia Romero</t>
        </is>
      </c>
      <c r="C9" s="10" t="inlineStr">
        <is>
          <t>julia@mail.com</t>
        </is>
      </c>
      <c r="D9" s="12" t="n">
        <v>5130</v>
      </c>
      <c r="E9" s="10" t="inlineStr">
        <is>
          <t>New</t>
        </is>
      </c>
    </row>
    <row r="10">
      <c r="A10" s="7" t="inlineStr">
        <is>
          <t>Karim Ziani</t>
        </is>
      </c>
      <c r="B10" s="7" t="inlineStr">
        <is>
          <t>Karim Ziani</t>
        </is>
      </c>
      <c r="C10" s="7" t="inlineStr">
        <is>
          <t>karim@mail.com</t>
        </is>
      </c>
      <c r="D10" s="9" t="n">
        <v>6750</v>
      </c>
      <c r="E10" s="7" t="inlineStr">
        <is>
          <t>Active</t>
        </is>
      </c>
    </row>
    <row r="11">
      <c r="A11" s="10" t="inlineStr">
        <is>
          <t>Anna Kowalska</t>
        </is>
      </c>
      <c r="B11" s="10" t="inlineStr">
        <is>
          <t>Anna Kowalska</t>
        </is>
      </c>
      <c r="C11" s="10" t="inlineStr">
        <is>
          <t>anna@mail.com</t>
        </is>
      </c>
      <c r="D11" s="12" t="n">
        <v>4320</v>
      </c>
      <c r="E11" s="10" t="inlineStr">
        <is>
          <t>Inactive</t>
        </is>
      </c>
    </row>
    <row r="12">
      <c r="A12" s="7" t="inlineStr">
        <is>
          <t>David Chen</t>
        </is>
      </c>
      <c r="B12" s="7" t="inlineStr">
        <is>
          <t>David Chen</t>
        </is>
      </c>
      <c r="C12" s="7" t="inlineStr">
        <is>
          <t>david@mail.com</t>
        </is>
      </c>
      <c r="D12" s="9" t="n">
        <v>5940</v>
      </c>
      <c r="E12" s="7" t="inlineStr">
        <is>
          <t>VIP</t>
        </is>
      </c>
    </row>
    <row r="13">
      <c r="A13" s="10" t="inlineStr">
        <is>
          <t>Lea Moreau</t>
        </is>
      </c>
      <c r="B13" s="10" t="inlineStr">
        <is>
          <t>Lea Moreau</t>
        </is>
      </c>
      <c r="C13" s="10" t="inlineStr">
        <is>
          <t>lea@mail.com</t>
        </is>
      </c>
      <c r="D13" s="12" t="n">
        <v>4050</v>
      </c>
      <c r="E13" s="10" t="inlineStr">
        <is>
          <t>New</t>
        </is>
      </c>
    </row>
  </sheetData>
  <dataValidations count="1">
    <dataValidation sqref="E2:E500" showDropDown="0" showInputMessage="0" showErrorMessage="0" allowBlank="1" type="list">
      <formula1>"Active,Inactive,VIP,New"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0" customWidth="1" min="3" max="3"/>
    <col width="14" customWidth="1" min="4" max="4"/>
    <col width="14" customWidth="1" min="5" max="5"/>
  </cols>
  <sheetData>
    <row r="1">
      <c r="A1" s="6" t="inlineStr">
        <is>
          <t>Date</t>
        </is>
      </c>
      <c r="B1" s="6" t="inlineStr">
        <is>
          <t>Description</t>
        </is>
      </c>
      <c r="C1" s="6" t="inlineStr">
        <is>
          <t>Category</t>
        </is>
      </c>
      <c r="D1" s="6" t="inlineStr">
        <is>
          <t>Amount $</t>
        </is>
      </c>
      <c r="E1" s="6" t="inlineStr">
        <is>
          <t>Deductible</t>
        </is>
      </c>
    </row>
    <row r="2">
      <c r="A2" s="8" t="n">
        <v>46174</v>
      </c>
      <c r="B2" s="7" t="inlineStr">
        <is>
          <t>Adobe CC Subscription</t>
        </is>
      </c>
      <c r="C2" s="7" t="inlineStr">
        <is>
          <t>Software</t>
        </is>
      </c>
      <c r="D2" s="9" t="n">
        <v>54.99</v>
      </c>
      <c r="E2" s="7" t="inlineStr">
        <is>
          <t>Yes</t>
        </is>
      </c>
    </row>
    <row r="3">
      <c r="A3" s="11" t="n">
        <v>46180</v>
      </c>
      <c r="B3" s="10" t="inlineStr">
        <is>
          <t>Adobe CC Subscription</t>
        </is>
      </c>
      <c r="C3" s="10" t="inlineStr">
        <is>
          <t>Equipment</t>
        </is>
      </c>
      <c r="D3" s="12" t="n">
        <v>38.49</v>
      </c>
      <c r="E3" s="10" t="inlineStr">
        <is>
          <t>No</t>
        </is>
      </c>
    </row>
    <row r="4">
      <c r="A4" s="8" t="n">
        <v>46186</v>
      </c>
      <c r="B4" s="7" t="inlineStr"/>
      <c r="C4" s="7" t="inlineStr">
        <is>
          <t>Marketing</t>
        </is>
      </c>
      <c r="D4" s="9" t="n">
        <v>71.48999999999999</v>
      </c>
      <c r="E4" s="7" t="inlineStr">
        <is>
          <t>Partial</t>
        </is>
      </c>
    </row>
    <row r="5">
      <c r="A5" s="11" t="n">
        <v>46189</v>
      </c>
      <c r="B5" s="10" t="inlineStr">
        <is>
          <t>Adobe CC Subscription</t>
        </is>
      </c>
      <c r="C5" s="10" t="inlineStr">
        <is>
          <t>Travel</t>
        </is>
      </c>
      <c r="D5" s="12" t="n">
        <v>46.74</v>
      </c>
      <c r="E5" s="10" t="inlineStr">
        <is>
          <t>Yes</t>
        </is>
      </c>
    </row>
    <row r="6">
      <c r="A6" s="8" t="n">
        <v>46195</v>
      </c>
      <c r="B6" s="7" t="inlineStr">
        <is>
          <t>Adobe CC Subscription</t>
        </is>
      </c>
      <c r="C6" s="7" t="inlineStr">
        <is>
          <t>Office</t>
        </is>
      </c>
      <c r="D6" s="9" t="n">
        <v>63.24</v>
      </c>
      <c r="E6" s="7" t="inlineStr">
        <is>
          <t>No</t>
        </is>
      </c>
    </row>
    <row r="7">
      <c r="A7" s="11" t="n">
        <v>46201</v>
      </c>
      <c r="B7" s="10" t="inlineStr"/>
      <c r="C7" s="10" t="inlineStr">
        <is>
          <t>Other</t>
        </is>
      </c>
      <c r="D7" s="12" t="n">
        <v>32.99</v>
      </c>
      <c r="E7" s="10" t="inlineStr">
        <is>
          <t>Partial</t>
        </is>
      </c>
    </row>
    <row r="8">
      <c r="A8" s="8" t="n">
        <v>46176</v>
      </c>
      <c r="B8" s="7" t="inlineStr">
        <is>
          <t>Adobe CC Subscription</t>
        </is>
      </c>
      <c r="C8" s="7" t="inlineStr">
        <is>
          <t>Software</t>
        </is>
      </c>
      <c r="D8" s="9" t="n">
        <v>79.73999999999999</v>
      </c>
      <c r="E8" s="7" t="inlineStr">
        <is>
          <t>Yes</t>
        </is>
      </c>
    </row>
    <row r="9">
      <c r="A9" s="11" t="n">
        <v>46182</v>
      </c>
      <c r="B9" s="10" t="inlineStr">
        <is>
          <t>Adobe CC Subscription</t>
        </is>
      </c>
      <c r="C9" s="10" t="inlineStr">
        <is>
          <t>Equipment</t>
        </is>
      </c>
      <c r="D9" s="12" t="n">
        <v>52.24</v>
      </c>
      <c r="E9" s="10" t="inlineStr">
        <is>
          <t>No</t>
        </is>
      </c>
    </row>
    <row r="10">
      <c r="A10" s="8" t="n">
        <v>46188</v>
      </c>
      <c r="B10" s="7" t="inlineStr"/>
      <c r="C10" s="7" t="inlineStr">
        <is>
          <t>Marketing</t>
        </is>
      </c>
      <c r="D10" s="9" t="n">
        <v>68.73999999999999</v>
      </c>
      <c r="E10" s="7" t="inlineStr">
        <is>
          <t>Partial</t>
        </is>
      </c>
    </row>
    <row r="11">
      <c r="A11" s="11" t="n">
        <v>46191</v>
      </c>
      <c r="B11" s="10" t="inlineStr">
        <is>
          <t>Adobe CC Subscription</t>
        </is>
      </c>
      <c r="C11" s="10" t="inlineStr">
        <is>
          <t>Travel</t>
        </is>
      </c>
      <c r="D11" s="12" t="n">
        <v>43.99</v>
      </c>
      <c r="E11" s="10" t="inlineStr">
        <is>
          <t>Yes</t>
        </is>
      </c>
    </row>
    <row r="12">
      <c r="A12" s="8" t="n">
        <v>46197</v>
      </c>
      <c r="B12" s="7" t="inlineStr">
        <is>
          <t>Adobe CC Subscription</t>
        </is>
      </c>
      <c r="C12" s="7" t="inlineStr">
        <is>
          <t>Office</t>
        </is>
      </c>
      <c r="D12" s="9" t="n">
        <v>60.49</v>
      </c>
      <c r="E12" s="7" t="inlineStr">
        <is>
          <t>No</t>
        </is>
      </c>
    </row>
    <row r="13">
      <c r="A13" s="11" t="n">
        <v>46175</v>
      </c>
      <c r="B13" s="10" t="inlineStr"/>
      <c r="C13" s="10" t="inlineStr">
        <is>
          <t>Other</t>
        </is>
      </c>
      <c r="D13" s="12" t="n">
        <v>41.24</v>
      </c>
      <c r="E13" s="10" t="inlineStr">
        <is>
          <t>Partial</t>
        </is>
      </c>
    </row>
  </sheetData>
  <dataValidations count="2">
    <dataValidation sqref="C2:C500" showDropDown="0" showInputMessage="0" showErrorMessage="0" allowBlank="1" type="list">
      <formula1>"Software,Equipment,Marketing,Travel,Office,Other"</formula1>
    </dataValidation>
    <dataValidation sqref="E2:E500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4" t="inlineStr">
        <is>
          <t>📈  INCOME REPORT</t>
        </is>
      </c>
    </row>
    <row r="4">
      <c r="B4" s="3" t="inlineStr">
        <is>
          <t>Annual Income Summary</t>
        </is>
      </c>
    </row>
    <row r="5">
      <c r="B5" s="10" t="inlineStr">
        <is>
          <t>Total Invoiced</t>
        </is>
      </c>
      <c r="C5" s="25">
        <f>SUM(Invoices!E:E)</f>
        <v/>
      </c>
    </row>
    <row r="6">
      <c r="B6" s="7" t="inlineStr">
        <is>
          <t>Total Collected</t>
        </is>
      </c>
      <c r="C6" s="26">
        <f>SUMIF(Invoices!F:F,"Paid",Invoices!E:E)</f>
        <v/>
      </c>
    </row>
    <row r="7">
      <c r="B7" s="10" t="inlineStr">
        <is>
          <t>Total Expenses</t>
        </is>
      </c>
      <c r="C7" s="25">
        <f>SUM(Expenses!D:D)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2026-07-16T21:44:37Z</dcterms:created>
  <dcterms:modified xsi:type="dcterms:W3CDTF">2026-07-16T21:44:37Z</dcterms:modified>
</cp:coreProperties>
</file>