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rades" sheetId="2" state="visible" r:id="rId2"/>
    <sheet name="Dashboard" sheetId="3" state="visible" r:id="rId3"/>
    <sheet name="ByStrategy" sheetId="4" state="visible" r:id="rId4"/>
    <sheet name="Rules" sheetId="5" state="visible" r:id="rId5"/>
    <sheet name="Calend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52E16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10B981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52E16"/>
      </patternFill>
    </fill>
    <fill>
      <patternFill patternType="solid">
        <fgColor rgb="00FFF7F0"/>
      </patternFill>
    </fill>
    <fill>
      <patternFill patternType="solid">
        <fgColor rgb="0010B981"/>
      </patternFill>
    </fill>
    <fill>
      <patternFill patternType="solid">
        <fgColor rgb="004ADE80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📈  OPTIONS TRADING TRACKER</t>
        </is>
      </c>
    </row>
    <row r="3"/>
    <row r="4">
      <c r="B4" s="2" t="inlineStr">
        <is>
          <t>Options Trades Journal &amp; P&amp;L Google Sheets</t>
        </is>
      </c>
    </row>
    <row r="6">
      <c r="B6" s="3" t="inlineStr">
        <is>
          <t>STEP 1 — Fill in “Trades”</t>
        </is>
      </c>
    </row>
    <row r="7" ht="28" customHeight="1">
      <c r="B7" s="4" t="inlineStr">
        <is>
          <t>All options trades with entry, exit, and P&amp;L.</t>
        </is>
      </c>
    </row>
    <row r="9">
      <c r="B9" s="3" t="inlineStr">
        <is>
          <t>STEP 2 — Fill in “ByStrategy”</t>
        </is>
      </c>
    </row>
    <row r="10" ht="28" customHeight="1">
      <c r="B10" s="4" t="inlineStr">
        <is>
          <t>Performance breakdown by options strategy.</t>
        </is>
      </c>
    </row>
    <row r="12">
      <c r="B12" s="3" t="inlineStr">
        <is>
          <t>STEP 3 — Fill in “Rules”</t>
        </is>
      </c>
    </row>
    <row r="13" ht="28" customHeight="1">
      <c r="B13" s="4" t="inlineStr">
        <is>
          <t>Personal trading rules and rule compliance log.</t>
        </is>
      </c>
    </row>
    <row r="15">
      <c r="B15" s="3" t="inlineStr">
        <is>
          <t>STEP 4 — Fill in “Calendar”</t>
        </is>
      </c>
    </row>
    <row r="16" ht="28" customHeight="1">
      <c r="B16" s="4" t="inlineStr">
        <is>
          <t>Open positions expiration calendar.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8" customWidth="1" min="4" max="4"/>
    <col width="12" customWidth="1" min="5" max="5"/>
    <col width="14" customWidth="1" min="6" max="6"/>
    <col width="14" customWidth="1" min="7" max="7"/>
    <col width="14" customWidth="1" min="8" max="8"/>
    <col width="10" customWidth="1" min="9" max="9"/>
    <col width="14" customWidth="1" min="10" max="10"/>
    <col width="12" customWidth="1" min="11" max="11"/>
  </cols>
  <sheetData>
    <row r="1">
      <c r="A1" s="6" t="inlineStr">
        <is>
          <t>Date Open</t>
        </is>
      </c>
      <c r="B1" s="6" t="inlineStr">
        <is>
          <t>Ticker</t>
        </is>
      </c>
      <c r="C1" s="6" t="inlineStr">
        <is>
          <t>Strategy</t>
        </is>
      </c>
      <c r="D1" s="6" t="inlineStr">
        <is>
          <t>Strike/Exp</t>
        </is>
      </c>
      <c r="E1" s="6" t="inlineStr">
        <is>
          <t>Contracts</t>
        </is>
      </c>
      <c r="F1" s="6" t="inlineStr">
        <is>
          <t>Premium In $</t>
        </is>
      </c>
      <c r="G1" s="6" t="inlineStr">
        <is>
          <t>Date Close</t>
        </is>
      </c>
      <c r="H1" s="6" t="inlineStr">
        <is>
          <t>Premium Out $</t>
        </is>
      </c>
      <c r="I1" s="6" t="inlineStr">
        <is>
          <t>Fees $</t>
        </is>
      </c>
      <c r="J1" s="6" t="inlineStr">
        <is>
          <t>Result</t>
        </is>
      </c>
      <c r="K1" s="6" t="inlineStr">
        <is>
          <t>P&amp;L $</t>
        </is>
      </c>
    </row>
    <row r="2">
      <c r="A2" s="7" t="n">
        <v>46174</v>
      </c>
      <c r="B2" s="8" t="inlineStr">
        <is>
          <t>AAPL</t>
        </is>
      </c>
      <c r="C2" s="8" t="inlineStr">
        <is>
          <t>Covered Call</t>
        </is>
      </c>
      <c r="D2" s="8" t="inlineStr">
        <is>
          <t>185C 01/19</t>
        </is>
      </c>
      <c r="E2" s="8" t="n">
        <v>2</v>
      </c>
      <c r="F2" s="8" t="n">
        <v>240</v>
      </c>
      <c r="G2" s="7" t="n">
        <v>46174</v>
      </c>
      <c r="H2" s="8" t="n">
        <v>90</v>
      </c>
      <c r="I2" s="9" t="n">
        <v>2</v>
      </c>
      <c r="J2" s="8" t="inlineStr">
        <is>
          <t>Profit</t>
        </is>
      </c>
      <c r="K2" s="8">
        <f>F2-H2-I2</f>
        <v/>
      </c>
    </row>
    <row r="3">
      <c r="A3" s="10" t="n">
        <v>46180</v>
      </c>
      <c r="B3" s="11" t="inlineStr">
        <is>
          <t>AAPL</t>
        </is>
      </c>
      <c r="C3" s="11" t="inlineStr">
        <is>
          <t>Cash Secured Put</t>
        </is>
      </c>
      <c r="D3" s="11" t="inlineStr">
        <is>
          <t>185C 01/20</t>
        </is>
      </c>
      <c r="E3" s="11" t="n">
        <v>1.4</v>
      </c>
      <c r="F3" s="11" t="n">
        <v>168</v>
      </c>
      <c r="G3" s="10" t="n">
        <v>46180</v>
      </c>
      <c r="H3" s="11" t="n">
        <v>63</v>
      </c>
      <c r="I3" s="12" t="n">
        <v>1.4</v>
      </c>
      <c r="J3" s="11" t="inlineStr">
        <is>
          <t>Loss</t>
        </is>
      </c>
      <c r="K3" s="11">
        <f>F3-H3-I3</f>
        <v/>
      </c>
    </row>
    <row r="4">
      <c r="A4" s="7" t="n">
        <v>46186</v>
      </c>
      <c r="B4" s="8" t="inlineStr"/>
      <c r="C4" s="8" t="inlineStr">
        <is>
          <t>Iron Condor</t>
        </is>
      </c>
      <c r="D4" s="8" t="inlineStr">
        <is>
          <t>185C 01/21</t>
        </is>
      </c>
      <c r="E4" s="8" t="n">
        <v>2.6</v>
      </c>
      <c r="F4" s="8" t="n">
        <v>312</v>
      </c>
      <c r="G4" s="7" t="n">
        <v>46186</v>
      </c>
      <c r="H4" s="8" t="n">
        <v>117</v>
      </c>
      <c r="I4" s="9" t="n">
        <v>2.6</v>
      </c>
      <c r="J4" s="8" t="inlineStr">
        <is>
          <t>Break Even</t>
        </is>
      </c>
      <c r="K4" s="8">
        <f>F4-H4-I4</f>
        <v/>
      </c>
    </row>
    <row r="5">
      <c r="A5" s="10" t="n">
        <v>46189</v>
      </c>
      <c r="B5" s="11" t="inlineStr">
        <is>
          <t>AAPL</t>
        </is>
      </c>
      <c r="C5" s="11" t="inlineStr">
        <is>
          <t>Straddle</t>
        </is>
      </c>
      <c r="D5" s="11" t="inlineStr">
        <is>
          <t>185C 01/22</t>
        </is>
      </c>
      <c r="E5" s="11" t="n">
        <v>1.7</v>
      </c>
      <c r="F5" s="11" t="n">
        <v>204</v>
      </c>
      <c r="G5" s="10" t="n">
        <v>46189</v>
      </c>
      <c r="H5" s="11" t="n">
        <v>76.5</v>
      </c>
      <c r="I5" s="12" t="n">
        <v>1.7</v>
      </c>
      <c r="J5" s="11" t="inlineStr">
        <is>
          <t>Expired</t>
        </is>
      </c>
      <c r="K5" s="11">
        <f>F5-H5-I5</f>
        <v/>
      </c>
    </row>
    <row r="6">
      <c r="A6" s="7" t="n">
        <v>46195</v>
      </c>
      <c r="B6" s="8" t="inlineStr">
        <is>
          <t>AAPL</t>
        </is>
      </c>
      <c r="C6" s="8" t="inlineStr">
        <is>
          <t>Bull Put Spread</t>
        </is>
      </c>
      <c r="D6" s="8" t="inlineStr">
        <is>
          <t>185C 01/23</t>
        </is>
      </c>
      <c r="E6" s="8" t="n">
        <v>2.3</v>
      </c>
      <c r="F6" s="8" t="n">
        <v>276</v>
      </c>
      <c r="G6" s="7" t="n">
        <v>46195</v>
      </c>
      <c r="H6" s="8" t="n">
        <v>103.5</v>
      </c>
      <c r="I6" s="9" t="n">
        <v>2.3</v>
      </c>
      <c r="J6" s="8" t="inlineStr">
        <is>
          <t>Assigned</t>
        </is>
      </c>
      <c r="K6" s="8">
        <f>F6-H6-I6</f>
        <v/>
      </c>
    </row>
    <row r="7">
      <c r="A7" s="10" t="n">
        <v>46201</v>
      </c>
      <c r="B7" s="11" t="inlineStr"/>
      <c r="C7" s="11" t="inlineStr">
        <is>
          <t>Bear Call Spread</t>
        </is>
      </c>
      <c r="D7" s="11" t="inlineStr">
        <is>
          <t>185C 01/24</t>
        </is>
      </c>
      <c r="E7" s="11" t="n">
        <v>1.2</v>
      </c>
      <c r="F7" s="11" t="n">
        <v>144</v>
      </c>
      <c r="G7" s="10" t="n">
        <v>46201</v>
      </c>
      <c r="H7" s="11" t="n">
        <v>54</v>
      </c>
      <c r="I7" s="12" t="n">
        <v>1.2</v>
      </c>
      <c r="J7" s="11" t="inlineStr">
        <is>
          <t>Profit</t>
        </is>
      </c>
      <c r="K7" s="11">
        <f>F7-H7-I7</f>
        <v/>
      </c>
    </row>
    <row r="8">
      <c r="A8" s="7" t="n">
        <v>46176</v>
      </c>
      <c r="B8" s="8" t="inlineStr">
        <is>
          <t>AAPL</t>
        </is>
      </c>
      <c r="C8" s="8" t="inlineStr">
        <is>
          <t>Long Call</t>
        </is>
      </c>
      <c r="D8" s="8" t="inlineStr">
        <is>
          <t>185C 01/25</t>
        </is>
      </c>
      <c r="E8" s="8" t="n">
        <v>2.9</v>
      </c>
      <c r="F8" s="8" t="n">
        <v>348</v>
      </c>
      <c r="G8" s="7" t="n">
        <v>46176</v>
      </c>
      <c r="H8" s="8" t="n">
        <v>130.5</v>
      </c>
      <c r="I8" s="9" t="n">
        <v>2.9</v>
      </c>
      <c r="J8" s="8" t="inlineStr">
        <is>
          <t>Loss</t>
        </is>
      </c>
      <c r="K8" s="8">
        <f>F8-H8-I8</f>
        <v/>
      </c>
    </row>
    <row r="9">
      <c r="A9" s="10" t="n">
        <v>46182</v>
      </c>
      <c r="B9" s="11" t="inlineStr">
        <is>
          <t>AAPL</t>
        </is>
      </c>
      <c r="C9" s="11" t="inlineStr">
        <is>
          <t>Long Put</t>
        </is>
      </c>
      <c r="D9" s="11" t="inlineStr">
        <is>
          <t>185C 01/26</t>
        </is>
      </c>
      <c r="E9" s="11" t="n">
        <v>1.9</v>
      </c>
      <c r="F9" s="11" t="n">
        <v>228</v>
      </c>
      <c r="G9" s="10" t="n">
        <v>46182</v>
      </c>
      <c r="H9" s="11" t="n">
        <v>85.5</v>
      </c>
      <c r="I9" s="12" t="n">
        <v>1.9</v>
      </c>
      <c r="J9" s="11" t="inlineStr">
        <is>
          <t>Break Even</t>
        </is>
      </c>
      <c r="K9" s="11">
        <f>F9-H9-I9</f>
        <v/>
      </c>
    </row>
    <row r="10">
      <c r="A10" s="7" t="n">
        <v>46188</v>
      </c>
      <c r="B10" s="8" t="inlineStr"/>
      <c r="C10" s="8" t="inlineStr">
        <is>
          <t>Other</t>
        </is>
      </c>
      <c r="D10" s="8" t="inlineStr">
        <is>
          <t>185C 01/27</t>
        </is>
      </c>
      <c r="E10" s="8" t="n">
        <v>2.5</v>
      </c>
      <c r="F10" s="8" t="n">
        <v>300</v>
      </c>
      <c r="G10" s="7" t="n">
        <v>46188</v>
      </c>
      <c r="H10" s="8" t="n">
        <v>112.5</v>
      </c>
      <c r="I10" s="9" t="n">
        <v>2.5</v>
      </c>
      <c r="J10" s="8" t="inlineStr">
        <is>
          <t>Expired</t>
        </is>
      </c>
      <c r="K10" s="8">
        <f>F10-H10-I10</f>
        <v/>
      </c>
    </row>
    <row r="11">
      <c r="A11" s="10" t="n">
        <v>46191</v>
      </c>
      <c r="B11" s="11" t="inlineStr">
        <is>
          <t>AAPL</t>
        </is>
      </c>
      <c r="C11" s="11" t="inlineStr">
        <is>
          <t>Covered Call</t>
        </is>
      </c>
      <c r="D11" s="11" t="inlineStr">
        <is>
          <t>185C 01/28</t>
        </is>
      </c>
      <c r="E11" s="11" t="n">
        <v>1.6</v>
      </c>
      <c r="F11" s="11" t="n">
        <v>192</v>
      </c>
      <c r="G11" s="10" t="n">
        <v>46191</v>
      </c>
      <c r="H11" s="11" t="n">
        <v>72</v>
      </c>
      <c r="I11" s="12" t="n">
        <v>1.6</v>
      </c>
      <c r="J11" s="11" t="inlineStr">
        <is>
          <t>Assigned</t>
        </is>
      </c>
      <c r="K11" s="11">
        <f>F11-H11-I11</f>
        <v/>
      </c>
    </row>
    <row r="12">
      <c r="A12" s="7" t="n">
        <v>46197</v>
      </c>
      <c r="B12" s="8" t="inlineStr">
        <is>
          <t>AAPL</t>
        </is>
      </c>
      <c r="C12" s="8" t="inlineStr">
        <is>
          <t>Cash Secured Put</t>
        </is>
      </c>
      <c r="D12" s="8" t="inlineStr">
        <is>
          <t>185C 01/29</t>
        </is>
      </c>
      <c r="E12" s="8" t="n">
        <v>2.2</v>
      </c>
      <c r="F12" s="8" t="n">
        <v>264</v>
      </c>
      <c r="G12" s="7" t="n">
        <v>46197</v>
      </c>
      <c r="H12" s="8" t="n">
        <v>99</v>
      </c>
      <c r="I12" s="9" t="n">
        <v>2.2</v>
      </c>
      <c r="J12" s="8" t="inlineStr">
        <is>
          <t>Profit</t>
        </is>
      </c>
      <c r="K12" s="8">
        <f>F12-H12-I12</f>
        <v/>
      </c>
    </row>
    <row r="13">
      <c r="A13" s="10" t="n">
        <v>46175</v>
      </c>
      <c r="B13" s="11" t="inlineStr"/>
      <c r="C13" s="11" t="inlineStr">
        <is>
          <t>Iron Condor</t>
        </is>
      </c>
      <c r="D13" s="11" t="inlineStr">
        <is>
          <t>185C 01/30</t>
        </is>
      </c>
      <c r="E13" s="11" t="n">
        <v>1.5</v>
      </c>
      <c r="F13" s="11" t="n">
        <v>180</v>
      </c>
      <c r="G13" s="10" t="n">
        <v>46175</v>
      </c>
      <c r="H13" s="11" t="n">
        <v>67.5</v>
      </c>
      <c r="I13" s="12" t="n">
        <v>1.5</v>
      </c>
      <c r="J13" s="11" t="inlineStr">
        <is>
          <t>Loss</t>
        </is>
      </c>
      <c r="K13" s="11">
        <f>F13-H13-I13</f>
        <v/>
      </c>
    </row>
  </sheetData>
  <dataValidations count="2">
    <dataValidation sqref="C2:C500" showDropDown="0" showInputMessage="0" showErrorMessage="0" allowBlank="1" type="list">
      <formula1>"Covered Call,Cash Secured Put,Iron Condor,Straddle,Bull Put Spread,Bear Call Spread,Long Call,Long Put,Other"</formula1>
    </dataValidation>
    <dataValidation sqref="J2:J500" showDropDown="0" showInputMessage="0" showErrorMessage="0" allowBlank="1" type="list">
      <formula1>"Profit,Loss,Break Even,Expired,Assigned"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OPTIONS TRADING TRACKER — DASHBOARD</t>
        </is>
      </c>
    </row>
    <row r="4">
      <c r="B4" s="14" t="inlineStr">
        <is>
          <t>TOTAL P&amp;L $</t>
        </is>
      </c>
      <c r="D4" s="15" t="inlineStr">
        <is>
          <t>WIN RATE %</t>
        </is>
      </c>
      <c r="F4" s="16" t="inlineStr">
        <is>
          <t>AVG RETURN/TRADE</t>
        </is>
      </c>
      <c r="H4" s="17" t="inlineStr">
        <is>
          <t>MAX LOSS</t>
        </is>
      </c>
    </row>
    <row r="5" ht="26" customHeight="1">
      <c r="B5" s="18">
        <f>SUM(Trades!K:K)</f>
        <v/>
      </c>
      <c r="D5" s="19">
        <f>COUNTIF(Trades!J:J,"Profit")/COUNTA(Trades!A:A)</f>
        <v/>
      </c>
      <c r="F5" s="20">
        <f>AVERAGE(Trades!K:K)</f>
        <v/>
      </c>
      <c r="H5" s="21">
        <f>MIN(Trades!K:K)</f>
        <v/>
      </c>
    </row>
    <row r="8">
      <c r="B8" s="22" t="inlineStr">
        <is>
          <t>WHAT'S INSIDE</t>
        </is>
      </c>
    </row>
    <row r="9">
      <c r="B9" s="23" t="inlineStr">
        <is>
          <t>📊  Trades — All options trades with entry, exit, and P&amp;L.</t>
        </is>
      </c>
    </row>
    <row r="10">
      <c r="B10" s="23" t="inlineStr">
        <is>
          <t>📋  ByStrategy — Performance breakdown by options strategy.</t>
        </is>
      </c>
    </row>
    <row r="11">
      <c r="B11" s="23" t="inlineStr">
        <is>
          <t>📌  Rules — Personal trading rules and rule compliance log.</t>
        </is>
      </c>
    </row>
    <row r="12">
      <c r="B12" s="23" t="inlineStr">
        <is>
          <t>📅  Calendar — Open positions expiration calendar.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8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Strategy</t>
        </is>
      </c>
      <c r="B1" s="6" t="inlineStr">
        <is>
          <t>Trades</t>
        </is>
      </c>
      <c r="C1" s="6" t="inlineStr">
        <is>
          <t>Wins</t>
        </is>
      </c>
      <c r="D1" s="6" t="inlineStr">
        <is>
          <t>Win Rate %</t>
        </is>
      </c>
      <c r="E1" s="6" t="inlineStr">
        <is>
          <t>Total P&amp;L</t>
        </is>
      </c>
      <c r="F1" s="6" t="inlineStr">
        <is>
          <t>Avg P&amp;L</t>
        </is>
      </c>
    </row>
    <row r="2">
      <c r="A2" s="8" t="inlineStr">
        <is>
          <t>Covered Call</t>
        </is>
      </c>
      <c r="B2" s="8" t="n">
        <v>18</v>
      </c>
      <c r="C2" s="8" t="n">
        <v>14</v>
      </c>
      <c r="D2" s="8" t="inlineStr">
        <is>
          <t>78%</t>
        </is>
      </c>
      <c r="E2" s="9" t="n">
        <v>1240</v>
      </c>
      <c r="F2" s="8" t="n">
        <v>68.90000000000001</v>
      </c>
    </row>
    <row r="3">
      <c r="A3" s="11" t="inlineStr">
        <is>
          <t>Covered Call</t>
        </is>
      </c>
      <c r="B3" s="11" t="n">
        <v>12.6</v>
      </c>
      <c r="C3" s="11" t="n">
        <v>9.800000000000001</v>
      </c>
      <c r="D3" s="11" t="inlineStr">
        <is>
          <t>78%</t>
        </is>
      </c>
      <c r="E3" s="12" t="n">
        <v>868</v>
      </c>
      <c r="F3" s="11" t="n">
        <v>48.23</v>
      </c>
    </row>
    <row r="4">
      <c r="A4" s="8" t="inlineStr"/>
      <c r="B4" s="8" t="n">
        <v>23.4</v>
      </c>
      <c r="C4" s="8" t="n">
        <v>18.2</v>
      </c>
      <c r="D4" s="8" t="inlineStr"/>
      <c r="E4" s="9" t="n">
        <v>1612</v>
      </c>
      <c r="F4" s="8" t="n">
        <v>89.56999999999999</v>
      </c>
    </row>
    <row r="5">
      <c r="A5" s="11" t="inlineStr">
        <is>
          <t>Covered Call</t>
        </is>
      </c>
      <c r="B5" s="11" t="n">
        <v>15.3</v>
      </c>
      <c r="C5" s="11" t="n">
        <v>11.9</v>
      </c>
      <c r="D5" s="11" t="inlineStr">
        <is>
          <t>78%</t>
        </is>
      </c>
      <c r="E5" s="12" t="n">
        <v>1054</v>
      </c>
      <c r="F5" s="11" t="n">
        <v>58.57</v>
      </c>
    </row>
    <row r="6">
      <c r="A6" s="8" t="inlineStr">
        <is>
          <t>Covered Call</t>
        </is>
      </c>
      <c r="B6" s="8" t="n">
        <v>20.7</v>
      </c>
      <c r="C6" s="8" t="n">
        <v>16.1</v>
      </c>
      <c r="D6" s="8" t="inlineStr">
        <is>
          <t>78%</t>
        </is>
      </c>
      <c r="E6" s="9" t="n">
        <v>1426</v>
      </c>
      <c r="F6" s="8" t="n">
        <v>79.23</v>
      </c>
    </row>
    <row r="7">
      <c r="A7" s="11" t="inlineStr"/>
      <c r="B7" s="11" t="n">
        <v>10.8</v>
      </c>
      <c r="C7" s="11" t="n">
        <v>8.4</v>
      </c>
      <c r="D7" s="11" t="inlineStr"/>
      <c r="E7" s="12" t="n">
        <v>744</v>
      </c>
      <c r="F7" s="11" t="n">
        <v>41.34</v>
      </c>
    </row>
    <row r="8">
      <c r="A8" s="8" t="inlineStr">
        <is>
          <t>Covered Call</t>
        </is>
      </c>
      <c r="B8" s="8" t="n">
        <v>26.1</v>
      </c>
      <c r="C8" s="8" t="n">
        <v>20.3</v>
      </c>
      <c r="D8" s="8" t="inlineStr">
        <is>
          <t>78%</t>
        </is>
      </c>
      <c r="E8" s="9" t="n">
        <v>1798</v>
      </c>
      <c r="F8" s="8" t="n">
        <v>99.91</v>
      </c>
    </row>
    <row r="9">
      <c r="A9" s="11" t="inlineStr">
        <is>
          <t>Covered Call</t>
        </is>
      </c>
      <c r="B9" s="11" t="n">
        <v>17.1</v>
      </c>
      <c r="C9" s="11" t="n">
        <v>13.3</v>
      </c>
      <c r="D9" s="11" t="inlineStr">
        <is>
          <t>78%</t>
        </is>
      </c>
      <c r="E9" s="12" t="n">
        <v>1178</v>
      </c>
      <c r="F9" s="11" t="n">
        <v>65.45</v>
      </c>
    </row>
    <row r="10">
      <c r="A10" s="8" t="inlineStr"/>
      <c r="B10" s="8" t="n">
        <v>22.5</v>
      </c>
      <c r="C10" s="8" t="n">
        <v>17.5</v>
      </c>
      <c r="D10" s="8" t="inlineStr"/>
      <c r="E10" s="9" t="n">
        <v>1550</v>
      </c>
      <c r="F10" s="8" t="n">
        <v>86.12</v>
      </c>
    </row>
    <row r="11">
      <c r="A11" s="11" t="inlineStr">
        <is>
          <t>Covered Call</t>
        </is>
      </c>
      <c r="B11" s="11" t="n">
        <v>14.4</v>
      </c>
      <c r="C11" s="11" t="n">
        <v>11.2</v>
      </c>
      <c r="D11" s="11" t="inlineStr">
        <is>
          <t>78%</t>
        </is>
      </c>
      <c r="E11" s="12" t="n">
        <v>992</v>
      </c>
      <c r="F11" s="11" t="n">
        <v>55.12</v>
      </c>
    </row>
    <row r="12">
      <c r="A12" s="8" t="inlineStr">
        <is>
          <t>Covered Call</t>
        </is>
      </c>
      <c r="B12" s="8" t="n">
        <v>19.8</v>
      </c>
      <c r="C12" s="8" t="n">
        <v>15.4</v>
      </c>
      <c r="D12" s="8" t="inlineStr">
        <is>
          <t>78%</t>
        </is>
      </c>
      <c r="E12" s="9" t="n">
        <v>1364</v>
      </c>
      <c r="F12" s="8" t="n">
        <v>75.79000000000001</v>
      </c>
    </row>
    <row r="13">
      <c r="A13" s="11" t="inlineStr"/>
      <c r="B13" s="11" t="n">
        <v>13.5</v>
      </c>
      <c r="C13" s="11" t="n">
        <v>10.5</v>
      </c>
      <c r="D13" s="11" t="inlineStr"/>
      <c r="E13" s="12" t="n">
        <v>930</v>
      </c>
      <c r="F13" s="11" t="n">
        <v>51.68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4" customWidth="1" min="4" max="4"/>
  </cols>
  <sheetData>
    <row r="1">
      <c r="A1" s="6" t="inlineStr">
        <is>
          <t>Rule</t>
        </is>
      </c>
      <c r="B1" s="6" t="inlineStr">
        <is>
          <t>Times Followed</t>
        </is>
      </c>
      <c r="C1" s="6" t="inlineStr">
        <is>
          <t>Times Broken</t>
        </is>
      </c>
      <c r="D1" s="6" t="inlineStr">
        <is>
          <t>Compliance %</t>
        </is>
      </c>
    </row>
    <row r="2">
      <c r="A2" s="8" t="inlineStr">
        <is>
          <t>Never risk more than 2% of portfolio per trade</t>
        </is>
      </c>
      <c r="B2" s="8" t="n">
        <v>22</v>
      </c>
      <c r="C2" s="8" t="n">
        <v>3</v>
      </c>
      <c r="D2" s="8" t="inlineStr">
        <is>
          <t>88%</t>
        </is>
      </c>
    </row>
    <row r="3">
      <c r="A3" s="11" t="inlineStr">
        <is>
          <t>Never risk more than 2% of portfolio per trade</t>
        </is>
      </c>
      <c r="B3" s="11" t="n">
        <v>15.4</v>
      </c>
      <c r="C3" s="11" t="n">
        <v>2.1</v>
      </c>
      <c r="D3" s="11" t="inlineStr">
        <is>
          <t>88%</t>
        </is>
      </c>
    </row>
    <row r="4">
      <c r="A4" s="8" t="inlineStr"/>
      <c r="B4" s="8" t="n">
        <v>28.6</v>
      </c>
      <c r="C4" s="8" t="n">
        <v>3.9</v>
      </c>
      <c r="D4" s="8" t="inlineStr"/>
    </row>
    <row r="5">
      <c r="A5" s="11" t="inlineStr">
        <is>
          <t>Never risk more than 2% of portfolio per trade</t>
        </is>
      </c>
      <c r="B5" s="11" t="n">
        <v>18.7</v>
      </c>
      <c r="C5" s="11" t="n">
        <v>2.55</v>
      </c>
      <c r="D5" s="11" t="inlineStr">
        <is>
          <t>88%</t>
        </is>
      </c>
    </row>
    <row r="6">
      <c r="A6" s="8" t="inlineStr">
        <is>
          <t>Never risk more than 2% of portfolio per trade</t>
        </is>
      </c>
      <c r="B6" s="8" t="n">
        <v>25.3</v>
      </c>
      <c r="C6" s="8" t="n">
        <v>3.45</v>
      </c>
      <c r="D6" s="8" t="inlineStr">
        <is>
          <t>88%</t>
        </is>
      </c>
    </row>
    <row r="7">
      <c r="A7" s="11" t="inlineStr"/>
      <c r="B7" s="11" t="n">
        <v>13.2</v>
      </c>
      <c r="C7" s="11" t="n">
        <v>1.8</v>
      </c>
      <c r="D7" s="11" t="inlineStr"/>
    </row>
    <row r="8">
      <c r="A8" s="8" t="inlineStr">
        <is>
          <t>Never risk more than 2% of portfolio per trade</t>
        </is>
      </c>
      <c r="B8" s="8" t="n">
        <v>31.9</v>
      </c>
      <c r="C8" s="8" t="n">
        <v>4.35</v>
      </c>
      <c r="D8" s="8" t="inlineStr">
        <is>
          <t>88%</t>
        </is>
      </c>
    </row>
    <row r="9">
      <c r="A9" s="11" t="inlineStr">
        <is>
          <t>Never risk more than 2% of portfolio per trade</t>
        </is>
      </c>
      <c r="B9" s="11" t="n">
        <v>20.9</v>
      </c>
      <c r="C9" s="11" t="n">
        <v>2.85</v>
      </c>
      <c r="D9" s="11" t="inlineStr">
        <is>
          <t>88%</t>
        </is>
      </c>
    </row>
    <row r="10">
      <c r="A10" s="8" t="inlineStr"/>
      <c r="B10" s="8" t="n">
        <v>27.5</v>
      </c>
      <c r="C10" s="8" t="n">
        <v>3.75</v>
      </c>
      <c r="D10" s="8" t="inlineStr"/>
    </row>
    <row r="11">
      <c r="A11" s="11" t="inlineStr">
        <is>
          <t>Never risk more than 2% of portfolio per trade</t>
        </is>
      </c>
      <c r="B11" s="11" t="n">
        <v>17.6</v>
      </c>
      <c r="C11" s="11" t="n">
        <v>2.4</v>
      </c>
      <c r="D11" s="11" t="inlineStr">
        <is>
          <t>88%</t>
        </is>
      </c>
    </row>
    <row r="12">
      <c r="A12" s="8" t="inlineStr">
        <is>
          <t>Never risk more than 2% of portfolio per trade</t>
        </is>
      </c>
      <c r="B12" s="8" t="n">
        <v>24.2</v>
      </c>
      <c r="C12" s="8" t="n">
        <v>3.3</v>
      </c>
      <c r="D12" s="8" t="inlineStr">
        <is>
          <t>88%</t>
        </is>
      </c>
    </row>
    <row r="13">
      <c r="A13" s="11" t="inlineStr"/>
      <c r="B13" s="11" t="n">
        <v>16.5</v>
      </c>
      <c r="C13" s="11" t="n">
        <v>2.25</v>
      </c>
      <c r="D13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2" customWidth="1" min="4" max="4"/>
    <col width="14" customWidth="1" min="5" max="5"/>
    <col width="16" customWidth="1" min="6" max="6"/>
    <col width="20" customWidth="1" min="7" max="7"/>
  </cols>
  <sheetData>
    <row r="1">
      <c r="A1" s="6" t="inlineStr">
        <is>
          <t>Expiry Date</t>
        </is>
      </c>
      <c r="B1" s="6" t="inlineStr">
        <is>
          <t>Ticker</t>
        </is>
      </c>
      <c r="C1" s="6" t="inlineStr">
        <is>
          <t>Strike/Type</t>
        </is>
      </c>
      <c r="D1" s="6" t="inlineStr">
        <is>
          <t>Contracts</t>
        </is>
      </c>
      <c r="E1" s="6" t="inlineStr">
        <is>
          <t>Premium In $</t>
        </is>
      </c>
      <c r="F1" s="6" t="inlineStr">
        <is>
          <t>Current Value $</t>
        </is>
      </c>
      <c r="G1" s="6" t="inlineStr">
        <is>
          <t>Action</t>
        </is>
      </c>
    </row>
    <row r="2">
      <c r="A2" s="7" t="n">
        <v>46174</v>
      </c>
      <c r="B2" s="8" t="inlineStr">
        <is>
          <t>AAPL</t>
        </is>
      </c>
      <c r="C2" s="8" t="inlineStr">
        <is>
          <t>185C</t>
        </is>
      </c>
      <c r="D2" s="8" t="n">
        <v>2</v>
      </c>
      <c r="E2" s="8" t="n">
        <v>240</v>
      </c>
      <c r="F2" s="9" t="n">
        <v>90</v>
      </c>
      <c r="G2" s="8" t="inlineStr">
        <is>
          <t>Hold</t>
        </is>
      </c>
    </row>
    <row r="3">
      <c r="A3" s="10" t="n">
        <v>46180</v>
      </c>
      <c r="B3" s="11" t="inlineStr">
        <is>
          <t>AAPL</t>
        </is>
      </c>
      <c r="C3" s="11" t="inlineStr">
        <is>
          <t>185C</t>
        </is>
      </c>
      <c r="D3" s="11" t="n">
        <v>1.4</v>
      </c>
      <c r="E3" s="11" t="n">
        <v>168</v>
      </c>
      <c r="F3" s="12" t="n">
        <v>63</v>
      </c>
      <c r="G3" s="11" t="inlineStr">
        <is>
          <t>Close</t>
        </is>
      </c>
    </row>
    <row r="4">
      <c r="A4" s="7" t="n">
        <v>46186</v>
      </c>
      <c r="B4" s="8" t="inlineStr"/>
      <c r="C4" s="8" t="inlineStr"/>
      <c r="D4" s="8" t="n">
        <v>2.6</v>
      </c>
      <c r="E4" s="8" t="n">
        <v>312</v>
      </c>
      <c r="F4" s="9" t="n">
        <v>117</v>
      </c>
      <c r="G4" s="8" t="inlineStr">
        <is>
          <t>Roll</t>
        </is>
      </c>
    </row>
    <row r="5">
      <c r="A5" s="10" t="n">
        <v>46189</v>
      </c>
      <c r="B5" s="11" t="inlineStr">
        <is>
          <t>AAPL</t>
        </is>
      </c>
      <c r="C5" s="11" t="inlineStr">
        <is>
          <t>185C</t>
        </is>
      </c>
      <c r="D5" s="11" t="n">
        <v>1.7</v>
      </c>
      <c r="E5" s="11" t="n">
        <v>204</v>
      </c>
      <c r="F5" s="12" t="n">
        <v>76.5</v>
      </c>
      <c r="G5" s="11" t="inlineStr">
        <is>
          <t>Expired</t>
        </is>
      </c>
    </row>
    <row r="6">
      <c r="A6" s="7" t="n">
        <v>46195</v>
      </c>
      <c r="B6" s="8" t="inlineStr">
        <is>
          <t>AAPL</t>
        </is>
      </c>
      <c r="C6" s="8" t="inlineStr">
        <is>
          <t>185C</t>
        </is>
      </c>
      <c r="D6" s="8" t="n">
        <v>2.3</v>
      </c>
      <c r="E6" s="8" t="n">
        <v>276</v>
      </c>
      <c r="F6" s="9" t="n">
        <v>103.5</v>
      </c>
      <c r="G6" s="8" t="inlineStr">
        <is>
          <t>Assigned</t>
        </is>
      </c>
    </row>
    <row r="7">
      <c r="A7" s="10" t="n">
        <v>46201</v>
      </c>
      <c r="B7" s="11" t="inlineStr"/>
      <c r="C7" s="11" t="inlineStr"/>
      <c r="D7" s="11" t="n">
        <v>1.2</v>
      </c>
      <c r="E7" s="11" t="n">
        <v>144</v>
      </c>
      <c r="F7" s="12" t="n">
        <v>54</v>
      </c>
      <c r="G7" s="11" t="inlineStr">
        <is>
          <t>Hold</t>
        </is>
      </c>
    </row>
    <row r="8">
      <c r="A8" s="7" t="n">
        <v>46176</v>
      </c>
      <c r="B8" s="8" t="inlineStr">
        <is>
          <t>AAPL</t>
        </is>
      </c>
      <c r="C8" s="8" t="inlineStr">
        <is>
          <t>185C</t>
        </is>
      </c>
      <c r="D8" s="8" t="n">
        <v>2.9</v>
      </c>
      <c r="E8" s="8" t="n">
        <v>348</v>
      </c>
      <c r="F8" s="9" t="n">
        <v>130.5</v>
      </c>
      <c r="G8" s="8" t="inlineStr">
        <is>
          <t>Close</t>
        </is>
      </c>
    </row>
    <row r="9">
      <c r="A9" s="10" t="n">
        <v>46182</v>
      </c>
      <c r="B9" s="11" t="inlineStr">
        <is>
          <t>AAPL</t>
        </is>
      </c>
      <c r="C9" s="11" t="inlineStr">
        <is>
          <t>185C</t>
        </is>
      </c>
      <c r="D9" s="11" t="n">
        <v>1.9</v>
      </c>
      <c r="E9" s="11" t="n">
        <v>228</v>
      </c>
      <c r="F9" s="12" t="n">
        <v>85.5</v>
      </c>
      <c r="G9" s="11" t="inlineStr">
        <is>
          <t>Roll</t>
        </is>
      </c>
    </row>
    <row r="10">
      <c r="A10" s="7" t="n">
        <v>46188</v>
      </c>
      <c r="B10" s="8" t="inlineStr"/>
      <c r="C10" s="8" t="inlineStr"/>
      <c r="D10" s="8" t="n">
        <v>2.5</v>
      </c>
      <c r="E10" s="8" t="n">
        <v>300</v>
      </c>
      <c r="F10" s="9" t="n">
        <v>112.5</v>
      </c>
      <c r="G10" s="8" t="inlineStr">
        <is>
          <t>Expired</t>
        </is>
      </c>
    </row>
    <row r="11">
      <c r="A11" s="10" t="n">
        <v>46191</v>
      </c>
      <c r="B11" s="11" t="inlineStr">
        <is>
          <t>AAPL</t>
        </is>
      </c>
      <c r="C11" s="11" t="inlineStr">
        <is>
          <t>185C</t>
        </is>
      </c>
      <c r="D11" s="11" t="n">
        <v>1.6</v>
      </c>
      <c r="E11" s="11" t="n">
        <v>192</v>
      </c>
      <c r="F11" s="12" t="n">
        <v>72</v>
      </c>
      <c r="G11" s="11" t="inlineStr">
        <is>
          <t>Assigned</t>
        </is>
      </c>
    </row>
    <row r="12">
      <c r="A12" s="7" t="n">
        <v>46197</v>
      </c>
      <c r="B12" s="8" t="inlineStr">
        <is>
          <t>AAPL</t>
        </is>
      </c>
      <c r="C12" s="8" t="inlineStr">
        <is>
          <t>185C</t>
        </is>
      </c>
      <c r="D12" s="8" t="n">
        <v>2.2</v>
      </c>
      <c r="E12" s="8" t="n">
        <v>264</v>
      </c>
      <c r="F12" s="9" t="n">
        <v>99</v>
      </c>
      <c r="G12" s="8" t="inlineStr">
        <is>
          <t>Hold</t>
        </is>
      </c>
    </row>
    <row r="13">
      <c r="A13" s="10" t="n">
        <v>46175</v>
      </c>
      <c r="B13" s="11" t="inlineStr"/>
      <c r="C13" s="11" t="inlineStr"/>
      <c r="D13" s="11" t="n">
        <v>1.5</v>
      </c>
      <c r="E13" s="11" t="n">
        <v>180</v>
      </c>
      <c r="F13" s="12" t="n">
        <v>67.5</v>
      </c>
      <c r="G13" s="11" t="inlineStr">
        <is>
          <t>Close</t>
        </is>
      </c>
    </row>
  </sheetData>
  <dataValidations count="1">
    <dataValidation sqref="G2:G500" showDropDown="0" showInputMessage="0" showErrorMessage="0" allowBlank="1" type="list">
      <formula1>"Hold,Close,Roll,Expired,Assigned"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