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ByStrategy" sheetId="3" state="visible" r:id="rId3"/>
    <sheet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52E16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Options Trading Tracker</t>
        </is>
      </c>
    </row>
    <row r="3">
      <c r="A3" s="2" t="inlineStr">
        <is>
          <t>Total P&amp;L $</t>
        </is>
      </c>
      <c r="B3" s="2" t="inlineStr">
        <is>
          <t>Win Rate %</t>
        </is>
      </c>
      <c r="C3" s="2" t="inlineStr">
        <is>
          <t>Avg Return/Trade</t>
        </is>
      </c>
      <c r="D3" s="2" t="inlineStr">
        <is>
          <t>Max Loss</t>
        </is>
      </c>
    </row>
    <row r="4" ht="36" customHeight="1">
      <c r="A4" s="3">
        <f>SUM(Trades!K:K)</f>
        <v/>
      </c>
      <c r="B4" s="3">
        <f>COUNTIF(Trades!J:J,"Profit")/COUNTA(Trades!A:A)</f>
        <v/>
      </c>
      <c r="C4" s="3">
        <f>AVERAGE(Trades!K:K)</f>
        <v/>
      </c>
      <c r="D4" s="3">
        <f>MIN(Trades!K:K)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0B981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12" customWidth="1" min="11" max="11"/>
  </cols>
  <sheetData>
    <row r="1">
      <c r="A1" s="4" t="inlineStr">
        <is>
          <t>Date Open</t>
        </is>
      </c>
      <c r="B1" s="4" t="inlineStr">
        <is>
          <t>Ticker</t>
        </is>
      </c>
      <c r="C1" s="4" t="inlineStr">
        <is>
          <t>Strategy</t>
        </is>
      </c>
      <c r="D1" s="4" t="inlineStr">
        <is>
          <t>Strike/Exp</t>
        </is>
      </c>
      <c r="E1" s="4" t="inlineStr">
        <is>
          <t>Contracts</t>
        </is>
      </c>
      <c r="F1" s="4" t="inlineStr">
        <is>
          <t>Premium In $</t>
        </is>
      </c>
      <c r="G1" s="4" t="inlineStr">
        <is>
          <t>Date Close</t>
        </is>
      </c>
      <c r="H1" s="4" t="inlineStr">
        <is>
          <t>Premium Out $</t>
        </is>
      </c>
      <c r="I1" s="4" t="inlineStr">
        <is>
          <t>Fees $</t>
        </is>
      </c>
      <c r="J1" s="4" t="inlineStr">
        <is>
          <t>Result</t>
        </is>
      </c>
      <c r="K1" s="4" t="inlineStr">
        <is>
          <t>P&amp;L $</t>
        </is>
      </c>
    </row>
    <row r="2" ht="22" customHeight="1">
      <c r="A2" s="5" t="inlineStr">
        <is>
          <t>2024-01-10</t>
        </is>
      </c>
      <c r="B2" s="5" t="inlineStr">
        <is>
          <t>AAPL</t>
        </is>
      </c>
      <c r="C2" s="5" t="inlineStr"/>
      <c r="D2" s="5" t="inlineStr">
        <is>
          <t>185C 01/19</t>
        </is>
      </c>
      <c r="E2" s="5" t="inlineStr">
        <is>
          <t>2</t>
        </is>
      </c>
      <c r="F2" s="5" t="inlineStr">
        <is>
          <t>240</t>
        </is>
      </c>
      <c r="G2" s="5" t="inlineStr">
        <is>
          <t>2024-01-15</t>
        </is>
      </c>
      <c r="H2" s="5" t="inlineStr">
        <is>
          <t>90</t>
        </is>
      </c>
      <c r="I2" s="5" t="inlineStr">
        <is>
          <t>2</t>
        </is>
      </c>
      <c r="J2" s="5" t="inlineStr"/>
      <c r="K2" s="6">
        <f>F2-H2-I2</f>
        <v/>
      </c>
    </row>
    <row r="3" ht="22" customHeight="1">
      <c r="A3" s="5" t="inlineStr">
        <is>
          <t>2024-01-10</t>
        </is>
      </c>
      <c r="B3" s="5" t="inlineStr">
        <is>
          <t>AAPL</t>
        </is>
      </c>
      <c r="C3" s="5" t="inlineStr"/>
      <c r="D3" s="5" t="inlineStr">
        <is>
          <t>185C 01/19</t>
        </is>
      </c>
      <c r="E3" s="5" t="inlineStr">
        <is>
          <t>2</t>
        </is>
      </c>
      <c r="F3" s="5" t="inlineStr">
        <is>
          <t>240</t>
        </is>
      </c>
      <c r="G3" s="5" t="inlineStr">
        <is>
          <t>2024-01-15</t>
        </is>
      </c>
      <c r="H3" s="5" t="inlineStr">
        <is>
          <t>90</t>
        </is>
      </c>
      <c r="I3" s="5" t="inlineStr">
        <is>
          <t>2</t>
        </is>
      </c>
      <c r="J3" s="5" t="inlineStr"/>
      <c r="K3" s="6">
        <f>F3-H3-I3</f>
        <v/>
      </c>
    </row>
    <row r="4" ht="22" customHeight="1">
      <c r="A4" s="5" t="inlineStr">
        <is>
          <t>2024-01-10</t>
        </is>
      </c>
      <c r="B4" s="5" t="inlineStr">
        <is>
          <t>AAPL</t>
        </is>
      </c>
      <c r="C4" s="5" t="inlineStr"/>
      <c r="D4" s="5" t="inlineStr">
        <is>
          <t>185C 01/19</t>
        </is>
      </c>
      <c r="E4" s="5" t="inlineStr">
        <is>
          <t>2</t>
        </is>
      </c>
      <c r="F4" s="5" t="inlineStr">
        <is>
          <t>240</t>
        </is>
      </c>
      <c r="G4" s="5" t="inlineStr">
        <is>
          <t>2024-01-15</t>
        </is>
      </c>
      <c r="H4" s="5" t="inlineStr">
        <is>
          <t>90</t>
        </is>
      </c>
      <c r="I4" s="5" t="inlineStr">
        <is>
          <t>2</t>
        </is>
      </c>
      <c r="J4" s="5" t="inlineStr"/>
      <c r="K4" s="6">
        <f>F4-H4-I4</f>
        <v/>
      </c>
    </row>
    <row r="5" ht="22" customHeight="1">
      <c r="A5" s="5" t="inlineStr">
        <is>
          <t>2024-01-10</t>
        </is>
      </c>
      <c r="B5" s="5" t="inlineStr">
        <is>
          <t>AAPL</t>
        </is>
      </c>
      <c r="C5" s="5" t="inlineStr"/>
      <c r="D5" s="5" t="inlineStr">
        <is>
          <t>185C 01/19</t>
        </is>
      </c>
      <c r="E5" s="5" t="inlineStr">
        <is>
          <t>2</t>
        </is>
      </c>
      <c r="F5" s="5" t="inlineStr">
        <is>
          <t>240</t>
        </is>
      </c>
      <c r="G5" s="5" t="inlineStr">
        <is>
          <t>2024-01-15</t>
        </is>
      </c>
      <c r="H5" s="5" t="inlineStr">
        <is>
          <t>90</t>
        </is>
      </c>
      <c r="I5" s="5" t="inlineStr">
        <is>
          <t>2</t>
        </is>
      </c>
      <c r="J5" s="5" t="inlineStr"/>
      <c r="K5" s="6">
        <f>F5-H5-I5</f>
        <v/>
      </c>
    </row>
    <row r="6" ht="22" customHeight="1">
      <c r="A6" s="5" t="inlineStr">
        <is>
          <t>2024-01-10</t>
        </is>
      </c>
      <c r="B6" s="5" t="inlineStr">
        <is>
          <t>AAPL</t>
        </is>
      </c>
      <c r="C6" s="5" t="inlineStr"/>
      <c r="D6" s="5" t="inlineStr">
        <is>
          <t>185C 01/19</t>
        </is>
      </c>
      <c r="E6" s="5" t="inlineStr">
        <is>
          <t>2</t>
        </is>
      </c>
      <c r="F6" s="5" t="inlineStr">
        <is>
          <t>240</t>
        </is>
      </c>
      <c r="G6" s="5" t="inlineStr">
        <is>
          <t>2024-01-15</t>
        </is>
      </c>
      <c r="H6" s="5" t="inlineStr">
        <is>
          <t>90</t>
        </is>
      </c>
      <c r="I6" s="5" t="inlineStr">
        <is>
          <t>2</t>
        </is>
      </c>
      <c r="J6" s="5" t="inlineStr"/>
      <c r="K6" s="6">
        <f>F6-H6-I6</f>
        <v/>
      </c>
    </row>
    <row r="7" ht="22" customHeight="1">
      <c r="A7" s="5" t="inlineStr">
        <is>
          <t>2024-01-10</t>
        </is>
      </c>
      <c r="B7" s="5" t="inlineStr">
        <is>
          <t>AAPL</t>
        </is>
      </c>
      <c r="C7" s="5" t="inlineStr"/>
      <c r="D7" s="5" t="inlineStr">
        <is>
          <t>185C 01/19</t>
        </is>
      </c>
      <c r="E7" s="5" t="inlineStr">
        <is>
          <t>2</t>
        </is>
      </c>
      <c r="F7" s="5" t="inlineStr">
        <is>
          <t>240</t>
        </is>
      </c>
      <c r="G7" s="5" t="inlineStr">
        <is>
          <t>2024-01-15</t>
        </is>
      </c>
      <c r="H7" s="5" t="inlineStr">
        <is>
          <t>90</t>
        </is>
      </c>
      <c r="I7" s="5" t="inlineStr">
        <is>
          <t>2</t>
        </is>
      </c>
      <c r="J7" s="5" t="inlineStr"/>
      <c r="K7" s="6">
        <f>F7-H7-I7</f>
        <v/>
      </c>
    </row>
    <row r="8" ht="22" customHeight="1">
      <c r="A8" s="5" t="inlineStr">
        <is>
          <t>2024-01-10</t>
        </is>
      </c>
      <c r="B8" s="5" t="inlineStr">
        <is>
          <t>AAPL</t>
        </is>
      </c>
      <c r="C8" s="5" t="inlineStr"/>
      <c r="D8" s="5" t="inlineStr">
        <is>
          <t>185C 01/19</t>
        </is>
      </c>
      <c r="E8" s="5" t="inlineStr">
        <is>
          <t>2</t>
        </is>
      </c>
      <c r="F8" s="5" t="inlineStr">
        <is>
          <t>240</t>
        </is>
      </c>
      <c r="G8" s="5" t="inlineStr">
        <is>
          <t>2024-01-15</t>
        </is>
      </c>
      <c r="H8" s="5" t="inlineStr">
        <is>
          <t>90</t>
        </is>
      </c>
      <c r="I8" s="5" t="inlineStr">
        <is>
          <t>2</t>
        </is>
      </c>
      <c r="J8" s="5" t="inlineStr"/>
      <c r="K8" s="6">
        <f>F8-H8-I8</f>
        <v/>
      </c>
    </row>
    <row r="9" ht="22" customHeight="1">
      <c r="A9" s="5" t="inlineStr">
        <is>
          <t>2024-01-10</t>
        </is>
      </c>
      <c r="B9" s="5" t="inlineStr">
        <is>
          <t>AAPL</t>
        </is>
      </c>
      <c r="C9" s="5" t="inlineStr"/>
      <c r="D9" s="5" t="inlineStr">
        <is>
          <t>185C 01/19</t>
        </is>
      </c>
      <c r="E9" s="5" t="inlineStr">
        <is>
          <t>2</t>
        </is>
      </c>
      <c r="F9" s="5" t="inlineStr">
        <is>
          <t>240</t>
        </is>
      </c>
      <c r="G9" s="5" t="inlineStr">
        <is>
          <t>2024-01-15</t>
        </is>
      </c>
      <c r="H9" s="5" t="inlineStr">
        <is>
          <t>90</t>
        </is>
      </c>
      <c r="I9" s="5" t="inlineStr">
        <is>
          <t>2</t>
        </is>
      </c>
      <c r="J9" s="5" t="inlineStr"/>
      <c r="K9" s="6">
        <f>F9-H9-I9</f>
        <v/>
      </c>
    </row>
    <row r="10" ht="22" customHeight="1">
      <c r="A10" s="5" t="inlineStr">
        <is>
          <t>2024-01-10</t>
        </is>
      </c>
      <c r="B10" s="5" t="inlineStr">
        <is>
          <t>AAPL</t>
        </is>
      </c>
      <c r="C10" s="5" t="inlineStr"/>
      <c r="D10" s="5" t="inlineStr">
        <is>
          <t>185C 01/19</t>
        </is>
      </c>
      <c r="E10" s="5" t="inlineStr">
        <is>
          <t>2</t>
        </is>
      </c>
      <c r="F10" s="5" t="inlineStr">
        <is>
          <t>240</t>
        </is>
      </c>
      <c r="G10" s="5" t="inlineStr">
        <is>
          <t>2024-01-15</t>
        </is>
      </c>
      <c r="H10" s="5" t="inlineStr">
        <is>
          <t>90</t>
        </is>
      </c>
      <c r="I10" s="5" t="inlineStr">
        <is>
          <t>2</t>
        </is>
      </c>
      <c r="J10" s="5" t="inlineStr"/>
      <c r="K10" s="6">
        <f>F10-H10-I10</f>
        <v/>
      </c>
    </row>
    <row r="11" ht="22" customHeight="1">
      <c r="A11" s="5" t="inlineStr">
        <is>
          <t>2024-01-10</t>
        </is>
      </c>
      <c r="B11" s="5" t="inlineStr">
        <is>
          <t>AAPL</t>
        </is>
      </c>
      <c r="C11" s="5" t="inlineStr"/>
      <c r="D11" s="5" t="inlineStr">
        <is>
          <t>185C 01/19</t>
        </is>
      </c>
      <c r="E11" s="5" t="inlineStr">
        <is>
          <t>2</t>
        </is>
      </c>
      <c r="F11" s="5" t="inlineStr">
        <is>
          <t>240</t>
        </is>
      </c>
      <c r="G11" s="5" t="inlineStr">
        <is>
          <t>2024-01-15</t>
        </is>
      </c>
      <c r="H11" s="5" t="inlineStr">
        <is>
          <t>90</t>
        </is>
      </c>
      <c r="I11" s="5" t="inlineStr">
        <is>
          <t>2</t>
        </is>
      </c>
      <c r="J11" s="5" t="inlineStr"/>
      <c r="K11" s="6">
        <f>F11-H11-I11</f>
        <v/>
      </c>
    </row>
    <row r="12" ht="22" customHeight="1">
      <c r="A12" s="5" t="inlineStr">
        <is>
          <t>2024-01-10</t>
        </is>
      </c>
      <c r="B12" s="5" t="inlineStr">
        <is>
          <t>AAPL</t>
        </is>
      </c>
      <c r="C12" s="5" t="inlineStr"/>
      <c r="D12" s="5" t="inlineStr">
        <is>
          <t>185C 01/19</t>
        </is>
      </c>
      <c r="E12" s="5" t="inlineStr">
        <is>
          <t>2</t>
        </is>
      </c>
      <c r="F12" s="5" t="inlineStr">
        <is>
          <t>240</t>
        </is>
      </c>
      <c r="G12" s="5" t="inlineStr">
        <is>
          <t>2024-01-15</t>
        </is>
      </c>
      <c r="H12" s="5" t="inlineStr">
        <is>
          <t>90</t>
        </is>
      </c>
      <c r="I12" s="5" t="inlineStr">
        <is>
          <t>2</t>
        </is>
      </c>
      <c r="J12" s="5" t="inlineStr"/>
      <c r="K12" s="6">
        <f>F12-H12-I12</f>
        <v/>
      </c>
    </row>
    <row r="13" ht="22" customHeight="1">
      <c r="A13" s="5" t="inlineStr">
        <is>
          <t>2024-01-10</t>
        </is>
      </c>
      <c r="B13" s="5" t="inlineStr">
        <is>
          <t>AAPL</t>
        </is>
      </c>
      <c r="C13" s="5" t="inlineStr"/>
      <c r="D13" s="5" t="inlineStr">
        <is>
          <t>185C 01/19</t>
        </is>
      </c>
      <c r="E13" s="5" t="inlineStr">
        <is>
          <t>2</t>
        </is>
      </c>
      <c r="F13" s="5" t="inlineStr">
        <is>
          <t>240</t>
        </is>
      </c>
      <c r="G13" s="5" t="inlineStr">
        <is>
          <t>2024-01-15</t>
        </is>
      </c>
      <c r="H13" s="5" t="inlineStr">
        <is>
          <t>90</t>
        </is>
      </c>
      <c r="I13" s="5" t="inlineStr">
        <is>
          <t>2</t>
        </is>
      </c>
      <c r="J13" s="5" t="inlineStr"/>
      <c r="K13" s="6">
        <f>F13-H13-I13</f>
        <v/>
      </c>
    </row>
    <row r="14" ht="22" customHeight="1">
      <c r="A14" s="5" t="inlineStr">
        <is>
          <t>2024-01-10</t>
        </is>
      </c>
      <c r="B14" s="5" t="inlineStr">
        <is>
          <t>AAPL</t>
        </is>
      </c>
      <c r="C14" s="5" t="inlineStr"/>
      <c r="D14" s="5" t="inlineStr">
        <is>
          <t>185C 01/19</t>
        </is>
      </c>
      <c r="E14" s="5" t="inlineStr">
        <is>
          <t>2</t>
        </is>
      </c>
      <c r="F14" s="5" t="inlineStr">
        <is>
          <t>240</t>
        </is>
      </c>
      <c r="G14" s="5" t="inlineStr">
        <is>
          <t>2024-01-15</t>
        </is>
      </c>
      <c r="H14" s="5" t="inlineStr">
        <is>
          <t>90</t>
        </is>
      </c>
      <c r="I14" s="5" t="inlineStr">
        <is>
          <t>2</t>
        </is>
      </c>
      <c r="J14" s="5" t="inlineStr"/>
      <c r="K14" s="6">
        <f>F14-H14-I14</f>
        <v/>
      </c>
    </row>
    <row r="15" ht="22" customHeight="1">
      <c r="A15" s="5" t="inlineStr">
        <is>
          <t>2024-01-10</t>
        </is>
      </c>
      <c r="B15" s="5" t="inlineStr">
        <is>
          <t>AAPL</t>
        </is>
      </c>
      <c r="C15" s="5" t="inlineStr"/>
      <c r="D15" s="5" t="inlineStr">
        <is>
          <t>185C 01/19</t>
        </is>
      </c>
      <c r="E15" s="5" t="inlineStr">
        <is>
          <t>2</t>
        </is>
      </c>
      <c r="F15" s="5" t="inlineStr">
        <is>
          <t>240</t>
        </is>
      </c>
      <c r="G15" s="5" t="inlineStr">
        <is>
          <t>2024-01-15</t>
        </is>
      </c>
      <c r="H15" s="5" t="inlineStr">
        <is>
          <t>90</t>
        </is>
      </c>
      <c r="I15" s="5" t="inlineStr">
        <is>
          <t>2</t>
        </is>
      </c>
      <c r="J15" s="5" t="inlineStr"/>
      <c r="K15" s="6">
        <f>F15-H15-I15</f>
        <v/>
      </c>
    </row>
    <row r="16" ht="22" customHeight="1">
      <c r="A16" s="5" t="inlineStr">
        <is>
          <t>2024-01-10</t>
        </is>
      </c>
      <c r="B16" s="5" t="inlineStr">
        <is>
          <t>AAPL</t>
        </is>
      </c>
      <c r="C16" s="5" t="inlineStr"/>
      <c r="D16" s="5" t="inlineStr">
        <is>
          <t>185C 01/19</t>
        </is>
      </c>
      <c r="E16" s="5" t="inlineStr">
        <is>
          <t>2</t>
        </is>
      </c>
      <c r="F16" s="5" t="inlineStr">
        <is>
          <t>240</t>
        </is>
      </c>
      <c r="G16" s="5" t="inlineStr">
        <is>
          <t>2024-01-15</t>
        </is>
      </c>
      <c r="H16" s="5" t="inlineStr">
        <is>
          <t>90</t>
        </is>
      </c>
      <c r="I16" s="5" t="inlineStr">
        <is>
          <t>2</t>
        </is>
      </c>
      <c r="J16" s="5" t="inlineStr"/>
      <c r="K16" s="6">
        <f>F16-H16-I16</f>
        <v/>
      </c>
    </row>
    <row r="17" ht="22" customHeight="1">
      <c r="A17" s="5" t="inlineStr">
        <is>
          <t>2024-01-10</t>
        </is>
      </c>
      <c r="B17" s="5" t="inlineStr">
        <is>
          <t>AAPL</t>
        </is>
      </c>
      <c r="C17" s="5" t="inlineStr"/>
      <c r="D17" s="5" t="inlineStr">
        <is>
          <t>185C 01/19</t>
        </is>
      </c>
      <c r="E17" s="5" t="inlineStr">
        <is>
          <t>2</t>
        </is>
      </c>
      <c r="F17" s="5" t="inlineStr">
        <is>
          <t>240</t>
        </is>
      </c>
      <c r="G17" s="5" t="inlineStr">
        <is>
          <t>2024-01-15</t>
        </is>
      </c>
      <c r="H17" s="5" t="inlineStr">
        <is>
          <t>90</t>
        </is>
      </c>
      <c r="I17" s="5" t="inlineStr">
        <is>
          <t>2</t>
        </is>
      </c>
      <c r="J17" s="5" t="inlineStr"/>
      <c r="K17" s="6">
        <f>F17-H17-I17</f>
        <v/>
      </c>
    </row>
    <row r="18" ht="22" customHeight="1">
      <c r="A18" s="5" t="inlineStr">
        <is>
          <t>2024-01-10</t>
        </is>
      </c>
      <c r="B18" s="5" t="inlineStr">
        <is>
          <t>AAPL</t>
        </is>
      </c>
      <c r="C18" s="5" t="inlineStr"/>
      <c r="D18" s="5" t="inlineStr">
        <is>
          <t>185C 01/19</t>
        </is>
      </c>
      <c r="E18" s="5" t="inlineStr">
        <is>
          <t>2</t>
        </is>
      </c>
      <c r="F18" s="5" t="inlineStr">
        <is>
          <t>240</t>
        </is>
      </c>
      <c r="G18" s="5" t="inlineStr">
        <is>
          <t>2024-01-15</t>
        </is>
      </c>
      <c r="H18" s="5" t="inlineStr">
        <is>
          <t>90</t>
        </is>
      </c>
      <c r="I18" s="5" t="inlineStr">
        <is>
          <t>2</t>
        </is>
      </c>
      <c r="J18" s="5" t="inlineStr"/>
      <c r="K18" s="6">
        <f>F18-H18-I18</f>
        <v/>
      </c>
    </row>
    <row r="19" ht="22" customHeight="1">
      <c r="A19" s="5" t="inlineStr">
        <is>
          <t>2024-01-10</t>
        </is>
      </c>
      <c r="B19" s="5" t="inlineStr">
        <is>
          <t>AAPL</t>
        </is>
      </c>
      <c r="C19" s="5" t="inlineStr"/>
      <c r="D19" s="5" t="inlineStr">
        <is>
          <t>185C 01/19</t>
        </is>
      </c>
      <c r="E19" s="5" t="inlineStr">
        <is>
          <t>2</t>
        </is>
      </c>
      <c r="F19" s="5" t="inlineStr">
        <is>
          <t>240</t>
        </is>
      </c>
      <c r="G19" s="5" t="inlineStr">
        <is>
          <t>2024-01-15</t>
        </is>
      </c>
      <c r="H19" s="5" t="inlineStr">
        <is>
          <t>90</t>
        </is>
      </c>
      <c r="I19" s="5" t="inlineStr">
        <is>
          <t>2</t>
        </is>
      </c>
      <c r="J19" s="5" t="inlineStr"/>
      <c r="K19" s="6">
        <f>F19-H19-I19</f>
        <v/>
      </c>
    </row>
    <row r="20" ht="22" customHeight="1">
      <c r="A20" s="5" t="inlineStr">
        <is>
          <t>2024-01-10</t>
        </is>
      </c>
      <c r="B20" s="5" t="inlineStr">
        <is>
          <t>AAPL</t>
        </is>
      </c>
      <c r="C20" s="5" t="inlineStr"/>
      <c r="D20" s="5" t="inlineStr">
        <is>
          <t>185C 01/19</t>
        </is>
      </c>
      <c r="E20" s="5" t="inlineStr">
        <is>
          <t>2</t>
        </is>
      </c>
      <c r="F20" s="5" t="inlineStr">
        <is>
          <t>240</t>
        </is>
      </c>
      <c r="G20" s="5" t="inlineStr">
        <is>
          <t>2024-01-15</t>
        </is>
      </c>
      <c r="H20" s="5" t="inlineStr">
        <is>
          <t>90</t>
        </is>
      </c>
      <c r="I20" s="5" t="inlineStr">
        <is>
          <t>2</t>
        </is>
      </c>
      <c r="J20" s="5" t="inlineStr"/>
      <c r="K20" s="6">
        <f>F20-H20-I20</f>
        <v/>
      </c>
    </row>
    <row r="21" ht="22" customHeight="1">
      <c r="A21" s="5" t="inlineStr">
        <is>
          <t>2024-01-10</t>
        </is>
      </c>
      <c r="B21" s="5" t="inlineStr">
        <is>
          <t>AAPL</t>
        </is>
      </c>
      <c r="C21" s="5" t="inlineStr"/>
      <c r="D21" s="5" t="inlineStr">
        <is>
          <t>185C 01/19</t>
        </is>
      </c>
      <c r="E21" s="5" t="inlineStr">
        <is>
          <t>2</t>
        </is>
      </c>
      <c r="F21" s="5" t="inlineStr">
        <is>
          <t>240</t>
        </is>
      </c>
      <c r="G21" s="5" t="inlineStr">
        <is>
          <t>2024-01-15</t>
        </is>
      </c>
      <c r="H21" s="5" t="inlineStr">
        <is>
          <t>90</t>
        </is>
      </c>
      <c r="I21" s="5" t="inlineStr">
        <is>
          <t>2</t>
        </is>
      </c>
      <c r="J21" s="5" t="inlineStr"/>
      <c r="K21" s="6">
        <f>F21-H21-I21</f>
        <v/>
      </c>
    </row>
  </sheetData>
  <dataValidations count="2">
    <dataValidation sqref="C2 C3 C4 C5 C6 C7 C8 C9 C10 C11 C12 C13 C14 C15 C16 C17 C18 C19 C20 C21" showDropDown="0" showInputMessage="0" showErrorMessage="0" allowBlank="1" type="list">
      <formula1>"Covered Call","Cash Secured Put","Iron Condor","Straddle","Bull Put Spread","Bear Call Spread","Long Call","Long Put","Other"</formula1>
    </dataValidation>
    <dataValidation sqref="J2 J3 J4 J5 J6 J7 J8 J9 J10 J11 J12 J13 J14 J15 J16 J17 J18 J19 J20 J21" showDropDown="0" showInputMessage="0" showErrorMessage="0" allowBlank="1" type="list">
      <formula1>"Profit","Loss","Break Even","Expired","Assigned"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DE68A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2" customWidth="1" min="4" max="4"/>
    <col width="14" customWidth="1" min="5" max="5"/>
    <col width="14" customWidth="1" min="6" max="6"/>
  </cols>
  <sheetData>
    <row r="1">
      <c r="A1" s="4" t="inlineStr">
        <is>
          <t>Strategy</t>
        </is>
      </c>
      <c r="B1" s="4" t="inlineStr">
        <is>
          <t>Trades</t>
        </is>
      </c>
      <c r="C1" s="4" t="inlineStr">
        <is>
          <t>Wins</t>
        </is>
      </c>
      <c r="D1" s="4" t="inlineStr">
        <is>
          <t>Win Rate %</t>
        </is>
      </c>
      <c r="E1" s="4" t="inlineStr">
        <is>
          <t>Total P&amp;L</t>
        </is>
      </c>
      <c r="F1" s="4" t="inlineStr">
        <is>
          <t>Avg P&amp;L</t>
        </is>
      </c>
    </row>
    <row r="2" ht="22" customHeight="1">
      <c r="A2" s="5" t="inlineStr">
        <is>
          <t>Covered Call</t>
        </is>
      </c>
      <c r="B2" s="5" t="inlineStr">
        <is>
          <t>18</t>
        </is>
      </c>
      <c r="C2" s="5" t="inlineStr">
        <is>
          <t>14</t>
        </is>
      </c>
      <c r="D2" s="5" t="inlineStr">
        <is>
          <t>78%</t>
        </is>
      </c>
      <c r="E2" s="5" t="inlineStr">
        <is>
          <t>1240</t>
        </is>
      </c>
      <c r="F2" s="5" t="inlineStr">
        <is>
          <t>68.9</t>
        </is>
      </c>
    </row>
    <row r="3" ht="22" customHeight="1">
      <c r="A3" s="5" t="inlineStr">
        <is>
          <t>Covered Call</t>
        </is>
      </c>
      <c r="B3" s="5" t="inlineStr">
        <is>
          <t>18</t>
        </is>
      </c>
      <c r="C3" s="5" t="inlineStr">
        <is>
          <t>14</t>
        </is>
      </c>
      <c r="D3" s="5" t="inlineStr">
        <is>
          <t>78%</t>
        </is>
      </c>
      <c r="E3" s="5" t="inlineStr">
        <is>
          <t>1240</t>
        </is>
      </c>
      <c r="F3" s="5" t="inlineStr">
        <is>
          <t>68.9</t>
        </is>
      </c>
    </row>
    <row r="4" ht="22" customHeight="1">
      <c r="A4" s="5" t="inlineStr">
        <is>
          <t>Covered Call</t>
        </is>
      </c>
      <c r="B4" s="5" t="inlineStr">
        <is>
          <t>18</t>
        </is>
      </c>
      <c r="C4" s="5" t="inlineStr">
        <is>
          <t>14</t>
        </is>
      </c>
      <c r="D4" s="5" t="inlineStr">
        <is>
          <t>78%</t>
        </is>
      </c>
      <c r="E4" s="5" t="inlineStr">
        <is>
          <t>1240</t>
        </is>
      </c>
      <c r="F4" s="5" t="inlineStr">
        <is>
          <t>68.9</t>
        </is>
      </c>
    </row>
    <row r="5" ht="22" customHeight="1">
      <c r="A5" s="5" t="inlineStr">
        <is>
          <t>Covered Call</t>
        </is>
      </c>
      <c r="B5" s="5" t="inlineStr">
        <is>
          <t>18</t>
        </is>
      </c>
      <c r="C5" s="5" t="inlineStr">
        <is>
          <t>14</t>
        </is>
      </c>
      <c r="D5" s="5" t="inlineStr">
        <is>
          <t>78%</t>
        </is>
      </c>
      <c r="E5" s="5" t="inlineStr">
        <is>
          <t>1240</t>
        </is>
      </c>
      <c r="F5" s="5" t="inlineStr">
        <is>
          <t>68.9</t>
        </is>
      </c>
    </row>
    <row r="6" ht="22" customHeight="1">
      <c r="A6" s="5" t="inlineStr">
        <is>
          <t>Covered Call</t>
        </is>
      </c>
      <c r="B6" s="5" t="inlineStr">
        <is>
          <t>18</t>
        </is>
      </c>
      <c r="C6" s="5" t="inlineStr">
        <is>
          <t>14</t>
        </is>
      </c>
      <c r="D6" s="5" t="inlineStr">
        <is>
          <t>78%</t>
        </is>
      </c>
      <c r="E6" s="5" t="inlineStr">
        <is>
          <t>1240</t>
        </is>
      </c>
      <c r="F6" s="5" t="inlineStr">
        <is>
          <t>68.9</t>
        </is>
      </c>
    </row>
    <row r="7" ht="22" customHeight="1">
      <c r="A7" s="5" t="inlineStr">
        <is>
          <t>Covered Call</t>
        </is>
      </c>
      <c r="B7" s="5" t="inlineStr">
        <is>
          <t>18</t>
        </is>
      </c>
      <c r="C7" s="5" t="inlineStr">
        <is>
          <t>14</t>
        </is>
      </c>
      <c r="D7" s="5" t="inlineStr">
        <is>
          <t>78%</t>
        </is>
      </c>
      <c r="E7" s="5" t="inlineStr">
        <is>
          <t>1240</t>
        </is>
      </c>
      <c r="F7" s="5" t="inlineStr">
        <is>
          <t>68.9</t>
        </is>
      </c>
    </row>
    <row r="8" ht="22" customHeight="1">
      <c r="A8" s="5" t="inlineStr">
        <is>
          <t>Covered Call</t>
        </is>
      </c>
      <c r="B8" s="5" t="inlineStr">
        <is>
          <t>18</t>
        </is>
      </c>
      <c r="C8" s="5" t="inlineStr">
        <is>
          <t>14</t>
        </is>
      </c>
      <c r="D8" s="5" t="inlineStr">
        <is>
          <t>78%</t>
        </is>
      </c>
      <c r="E8" s="5" t="inlineStr">
        <is>
          <t>1240</t>
        </is>
      </c>
      <c r="F8" s="5" t="inlineStr">
        <is>
          <t>68.9</t>
        </is>
      </c>
    </row>
    <row r="9" ht="22" customHeight="1">
      <c r="A9" s="5" t="inlineStr">
        <is>
          <t>Covered Call</t>
        </is>
      </c>
      <c r="B9" s="5" t="inlineStr">
        <is>
          <t>18</t>
        </is>
      </c>
      <c r="C9" s="5" t="inlineStr">
        <is>
          <t>14</t>
        </is>
      </c>
      <c r="D9" s="5" t="inlineStr">
        <is>
          <t>78%</t>
        </is>
      </c>
      <c r="E9" s="5" t="inlineStr">
        <is>
          <t>1240</t>
        </is>
      </c>
      <c r="F9" s="5" t="inlineStr">
        <is>
          <t>68.9</t>
        </is>
      </c>
    </row>
    <row r="10" ht="22" customHeight="1">
      <c r="A10" s="5" t="inlineStr">
        <is>
          <t>Covered Call</t>
        </is>
      </c>
      <c r="B10" s="5" t="inlineStr">
        <is>
          <t>18</t>
        </is>
      </c>
      <c r="C10" s="5" t="inlineStr">
        <is>
          <t>14</t>
        </is>
      </c>
      <c r="D10" s="5" t="inlineStr">
        <is>
          <t>78%</t>
        </is>
      </c>
      <c r="E10" s="5" t="inlineStr">
        <is>
          <t>1240</t>
        </is>
      </c>
      <c r="F10" s="5" t="inlineStr">
        <is>
          <t>68.9</t>
        </is>
      </c>
    </row>
    <row r="11" ht="22" customHeight="1">
      <c r="A11" s="5" t="inlineStr">
        <is>
          <t>Covered Call</t>
        </is>
      </c>
      <c r="B11" s="5" t="inlineStr">
        <is>
          <t>18</t>
        </is>
      </c>
      <c r="C11" s="5" t="inlineStr">
        <is>
          <t>14</t>
        </is>
      </c>
      <c r="D11" s="5" t="inlineStr">
        <is>
          <t>78%</t>
        </is>
      </c>
      <c r="E11" s="5" t="inlineStr">
        <is>
          <t>1240</t>
        </is>
      </c>
      <c r="F11" s="5" t="inlineStr">
        <is>
          <t>68.9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87171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</cols>
  <sheetData>
    <row r="1">
      <c r="A1" s="4" t="inlineStr">
        <is>
          <t>Rule</t>
        </is>
      </c>
      <c r="B1" s="4" t="inlineStr">
        <is>
          <t>Times Followed</t>
        </is>
      </c>
      <c r="C1" s="4" t="inlineStr">
        <is>
          <t>Times Broken</t>
        </is>
      </c>
      <c r="D1" s="4" t="inlineStr">
        <is>
          <t>Compliance %</t>
        </is>
      </c>
    </row>
    <row r="2" ht="22" customHeight="1">
      <c r="A2" s="5" t="inlineStr">
        <is>
          <t>Never risk more than 2% of portfolio per trade</t>
        </is>
      </c>
      <c r="B2" s="5" t="inlineStr">
        <is>
          <t>22</t>
        </is>
      </c>
      <c r="C2" s="5" t="inlineStr">
        <is>
          <t>3</t>
        </is>
      </c>
      <c r="D2" s="5" t="inlineStr">
        <is>
          <t>88%</t>
        </is>
      </c>
    </row>
    <row r="3" ht="22" customHeight="1">
      <c r="A3" s="5" t="inlineStr">
        <is>
          <t>Never risk more than 2% of portfolio per trade</t>
        </is>
      </c>
      <c r="B3" s="5" t="inlineStr">
        <is>
          <t>22</t>
        </is>
      </c>
      <c r="C3" s="5" t="inlineStr">
        <is>
          <t>3</t>
        </is>
      </c>
      <c r="D3" s="5" t="inlineStr">
        <is>
          <t>88%</t>
        </is>
      </c>
    </row>
    <row r="4" ht="22" customHeight="1">
      <c r="A4" s="5" t="inlineStr">
        <is>
          <t>Never risk more than 2% of portfolio per trade</t>
        </is>
      </c>
      <c r="B4" s="5" t="inlineStr">
        <is>
          <t>22</t>
        </is>
      </c>
      <c r="C4" s="5" t="inlineStr">
        <is>
          <t>3</t>
        </is>
      </c>
      <c r="D4" s="5" t="inlineStr">
        <is>
          <t>88%</t>
        </is>
      </c>
    </row>
    <row r="5" ht="22" customHeight="1">
      <c r="A5" s="5" t="inlineStr">
        <is>
          <t>Never risk more than 2% of portfolio per trade</t>
        </is>
      </c>
      <c r="B5" s="5" t="inlineStr">
        <is>
          <t>22</t>
        </is>
      </c>
      <c r="C5" s="5" t="inlineStr">
        <is>
          <t>3</t>
        </is>
      </c>
      <c r="D5" s="5" t="inlineStr">
        <is>
          <t>88%</t>
        </is>
      </c>
    </row>
    <row r="6" ht="22" customHeight="1">
      <c r="A6" s="5" t="inlineStr">
        <is>
          <t>Never risk more than 2% of portfolio per trade</t>
        </is>
      </c>
      <c r="B6" s="5" t="inlineStr">
        <is>
          <t>22</t>
        </is>
      </c>
      <c r="C6" s="5" t="inlineStr">
        <is>
          <t>3</t>
        </is>
      </c>
      <c r="D6" s="5" t="inlineStr">
        <is>
          <t>88%</t>
        </is>
      </c>
    </row>
    <row r="7" ht="22" customHeight="1">
      <c r="A7" s="5" t="inlineStr">
        <is>
          <t>Never risk more than 2% of portfolio per trade</t>
        </is>
      </c>
      <c r="B7" s="5" t="inlineStr">
        <is>
          <t>22</t>
        </is>
      </c>
      <c r="C7" s="5" t="inlineStr">
        <is>
          <t>3</t>
        </is>
      </c>
      <c r="D7" s="5" t="inlineStr">
        <is>
          <t>88%</t>
        </is>
      </c>
    </row>
    <row r="8" ht="22" customHeight="1">
      <c r="A8" s="5" t="inlineStr">
        <is>
          <t>Never risk more than 2% of portfolio per trade</t>
        </is>
      </c>
      <c r="B8" s="5" t="inlineStr">
        <is>
          <t>22</t>
        </is>
      </c>
      <c r="C8" s="5" t="inlineStr">
        <is>
          <t>3</t>
        </is>
      </c>
      <c r="D8" s="5" t="inlineStr">
        <is>
          <t>88%</t>
        </is>
      </c>
    </row>
    <row r="9" ht="22" customHeight="1">
      <c r="A9" s="5" t="inlineStr">
        <is>
          <t>Never risk more than 2% of portfolio per trade</t>
        </is>
      </c>
      <c r="B9" s="5" t="inlineStr">
        <is>
          <t>22</t>
        </is>
      </c>
      <c r="C9" s="5" t="inlineStr">
        <is>
          <t>3</t>
        </is>
      </c>
      <c r="D9" s="5" t="inlineStr">
        <is>
          <t>88%</t>
        </is>
      </c>
    </row>
    <row r="10" ht="22" customHeight="1">
      <c r="A10" s="5" t="inlineStr">
        <is>
          <t>Never risk more than 2% of portfolio per trade</t>
        </is>
      </c>
      <c r="B10" s="5" t="inlineStr">
        <is>
          <t>22</t>
        </is>
      </c>
      <c r="C10" s="5" t="inlineStr">
        <is>
          <t>3</t>
        </is>
      </c>
      <c r="D10" s="5" t="inlineStr">
        <is>
          <t>88%</t>
        </is>
      </c>
    </row>
    <row r="11" ht="22" customHeight="1">
      <c r="A11" s="5" t="inlineStr">
        <is>
          <t>Never risk more than 2% of portfolio per trade</t>
        </is>
      </c>
      <c r="B11" s="5" t="inlineStr">
        <is>
          <t>22</t>
        </is>
      </c>
      <c r="C11" s="5" t="inlineStr">
        <is>
          <t>3</t>
        </is>
      </c>
      <c r="D11" s="5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2026-06-16T07:19:45Z</dcterms:created>
  <dcterms:modified xsi:type="dcterms:W3CDTF">2026-06-16T07:19:45Z</dcterms:modified>
</cp:coreProperties>
</file>