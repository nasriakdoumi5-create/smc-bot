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come" sheetId="2" state="visible" r:id="rId2"/>
    <sheet name="Dashboard" sheetId="3" state="visible" r:id="rId3"/>
    <sheet name="Expenses" sheetId="4" state="visible" r:id="rId4"/>
    <sheet name="Savings Goals" sheetId="5" state="visible" r:id="rId5"/>
    <sheet name="Monthly View" sheetId="6" state="visible" r:id="rId6"/>
    <sheet name="Re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4361EE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D1B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7F0"/>
      </patternFill>
    </fill>
    <fill>
      <patternFill patternType="solid">
        <fgColor rgb="004361EE"/>
      </patternFill>
    </fill>
    <fill>
      <patternFill patternType="solid">
        <fgColor rgb="0006D6A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💰  PERSONAL BUDGET TRACKER</t>
        </is>
      </c>
    </row>
    <row r="3"/>
    <row r="4">
      <c r="B4" s="2" t="inlineStr">
        <is>
          <t>Monthly &amp; Annual Finance Google Sheets Template</t>
        </is>
      </c>
    </row>
    <row r="6">
      <c r="B6" s="3" t="inlineStr">
        <is>
          <t>STEP 1 — Fill in “Income”</t>
        </is>
      </c>
    </row>
    <row r="7" ht="28" customHeight="1">
      <c r="B7" s="4" t="inlineStr">
        <is>
          <t>Log all income with date, source, category, and amount.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Track all expenses vs budget with auto red alert when over.</t>
        </is>
      </c>
    </row>
    <row r="12">
      <c r="B12" s="3" t="inlineStr">
        <is>
          <t>STEP 3 — Fill in “Savings Goals”</t>
        </is>
      </c>
    </row>
    <row r="13" ht="28" customHeight="1">
      <c r="B13" s="4" t="inlineStr">
        <is>
          <t>Set savings goals and auto-track progress percentage.</t>
        </is>
      </c>
    </row>
    <row r="15">
      <c r="B15" s="3" t="inlineStr">
        <is>
          <t>STEP 4 — Fill in “Monthly View”</t>
        </is>
      </c>
    </row>
    <row r="16" ht="28" customHeight="1">
      <c r="B16" s="4" t="inlineStr">
        <is>
          <t>Month-by-month income vs expenses trend.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26" customWidth="1" min="5" max="5"/>
  </cols>
  <sheetData>
    <row r="1">
      <c r="A1" s="6" t="inlineStr">
        <is>
          <t>Date</t>
        </is>
      </c>
      <c r="B1" s="6" t="inlineStr">
        <is>
          <t>Amount</t>
        </is>
      </c>
      <c r="C1" s="6" t="inlineStr">
        <is>
          <t>Source</t>
        </is>
      </c>
      <c r="D1" s="6" t="inlineStr">
        <is>
          <t>Category</t>
        </is>
      </c>
      <c r="E1" s="6" t="inlineStr">
        <is>
          <t>Notes</t>
        </is>
      </c>
    </row>
    <row r="2">
      <c r="A2" s="7" t="n">
        <v>46174</v>
      </c>
      <c r="B2" s="8" t="n">
        <v>3000</v>
      </c>
      <c r="C2" s="9" t="inlineStr">
        <is>
          <t>Salary</t>
        </is>
      </c>
      <c r="D2" s="9" t="inlineStr">
        <is>
          <t>Salary</t>
        </is>
      </c>
      <c r="E2" s="9" t="inlineStr"/>
    </row>
    <row r="3">
      <c r="A3" s="10" t="n">
        <v>46180</v>
      </c>
      <c r="B3" s="11" t="n">
        <v>2100</v>
      </c>
      <c r="C3" s="12" t="inlineStr">
        <is>
          <t>Salary</t>
        </is>
      </c>
      <c r="D3" s="12" t="inlineStr">
        <is>
          <t>Freelance</t>
        </is>
      </c>
      <c r="E3" s="12" t="inlineStr">
        <is>
          <t>Paid</t>
        </is>
      </c>
    </row>
    <row r="4">
      <c r="A4" s="7" t="n">
        <v>46186</v>
      </c>
      <c r="B4" s="8" t="n">
        <v>3900</v>
      </c>
      <c r="C4" s="9" t="inlineStr"/>
      <c r="D4" s="9" t="inlineStr">
        <is>
          <t>Business</t>
        </is>
      </c>
      <c r="E4" s="9" t="inlineStr">
        <is>
          <t>Urgent</t>
        </is>
      </c>
    </row>
    <row r="5">
      <c r="A5" s="10" t="n">
        <v>46189</v>
      </c>
      <c r="B5" s="11" t="n">
        <v>2550</v>
      </c>
      <c r="C5" s="12" t="inlineStr">
        <is>
          <t>Salary</t>
        </is>
      </c>
      <c r="D5" s="12" t="inlineStr">
        <is>
          <t>Investment</t>
        </is>
      </c>
      <c r="E5" s="12" t="inlineStr">
        <is>
          <t>Follow up Friday</t>
        </is>
      </c>
    </row>
    <row r="6">
      <c r="A6" s="7" t="n">
        <v>46195</v>
      </c>
      <c r="B6" s="8" t="n">
        <v>3450</v>
      </c>
      <c r="C6" s="9" t="inlineStr">
        <is>
          <t>Salary</t>
        </is>
      </c>
      <c r="D6" s="9" t="inlineStr">
        <is>
          <t>Other</t>
        </is>
      </c>
      <c r="E6" s="9" t="inlineStr"/>
    </row>
    <row r="7">
      <c r="A7" s="10" t="n">
        <v>46201</v>
      </c>
      <c r="B7" s="11" t="n">
        <v>1800</v>
      </c>
      <c r="C7" s="12" t="inlineStr"/>
      <c r="D7" s="12" t="inlineStr">
        <is>
          <t>Salary</t>
        </is>
      </c>
      <c r="E7" s="12" t="inlineStr">
        <is>
          <t>Monthly</t>
        </is>
      </c>
    </row>
    <row r="8">
      <c r="A8" s="7" t="n">
        <v>46176</v>
      </c>
      <c r="B8" s="8" t="n">
        <v>4350</v>
      </c>
      <c r="C8" s="9" t="inlineStr">
        <is>
          <t>Salary</t>
        </is>
      </c>
      <c r="D8" s="9" t="inlineStr">
        <is>
          <t>Freelance</t>
        </is>
      </c>
      <c r="E8" s="9" t="inlineStr">
        <is>
          <t>Confirmed</t>
        </is>
      </c>
    </row>
    <row r="9">
      <c r="A9" s="10" t="n">
        <v>46182</v>
      </c>
      <c r="B9" s="11" t="n">
        <v>2850</v>
      </c>
      <c r="C9" s="12" t="inlineStr">
        <is>
          <t>Salary</t>
        </is>
      </c>
      <c r="D9" s="12" t="inlineStr">
        <is>
          <t>Business</t>
        </is>
      </c>
      <c r="E9" s="12" t="inlineStr"/>
    </row>
    <row r="10">
      <c r="A10" s="7" t="n">
        <v>46188</v>
      </c>
      <c r="B10" s="8" t="n">
        <v>3750</v>
      </c>
      <c r="C10" s="9" t="inlineStr"/>
      <c r="D10" s="9" t="inlineStr">
        <is>
          <t>Investment</t>
        </is>
      </c>
      <c r="E10" s="9" t="inlineStr">
        <is>
          <t>Waiting reply</t>
        </is>
      </c>
    </row>
    <row r="11">
      <c r="A11" s="10" t="n">
        <v>46191</v>
      </c>
      <c r="B11" s="11" t="n">
        <v>2400</v>
      </c>
      <c r="C11" s="12" t="inlineStr">
        <is>
          <t>Salary</t>
        </is>
      </c>
      <c r="D11" s="12" t="inlineStr">
        <is>
          <t>Other</t>
        </is>
      </c>
      <c r="E11" s="12" t="inlineStr">
        <is>
          <t>Done early</t>
        </is>
      </c>
    </row>
    <row r="12">
      <c r="A12" s="7" t="n">
        <v>46197</v>
      </c>
      <c r="B12" s="8" t="n">
        <v>3300</v>
      </c>
      <c r="C12" s="9" t="inlineStr">
        <is>
          <t>Salary</t>
        </is>
      </c>
      <c r="D12" s="9" t="inlineStr">
        <is>
          <t>Salary</t>
        </is>
      </c>
      <c r="E12" s="9" t="inlineStr"/>
    </row>
    <row r="13">
      <c r="A13" s="10" t="n">
        <v>46175</v>
      </c>
      <c r="B13" s="11" t="n">
        <v>2250</v>
      </c>
      <c r="C13" s="12" t="inlineStr"/>
      <c r="D13" s="12" t="inlineStr">
        <is>
          <t>Freelance</t>
        </is>
      </c>
      <c r="E13" s="12" t="inlineStr">
        <is>
          <t>Recheck</t>
        </is>
      </c>
    </row>
  </sheetData>
  <dataValidations count="1">
    <dataValidation sqref="D2:D500" showDropDown="0" showInputMessage="0" showErrorMessage="0" allowBlank="1" type="list">
      <formula1>"Salary,Freelance,Business,Investment,Other"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PERSONAL BUDGET TRACKER — DASHBOARD</t>
        </is>
      </c>
    </row>
    <row r="4">
      <c r="B4" s="14" t="inlineStr">
        <is>
          <t>INCOME</t>
        </is>
      </c>
      <c r="D4" s="15" t="inlineStr">
        <is>
          <t>EXPENSES</t>
        </is>
      </c>
      <c r="F4" s="16" t="inlineStr">
        <is>
          <t>SAVINGS</t>
        </is>
      </c>
      <c r="H4" s="17" t="inlineStr">
        <is>
          <t>RATE</t>
        </is>
      </c>
    </row>
    <row r="5" ht="26" customHeight="1">
      <c r="B5" s="18">
        <f>SUM(Income!B:B)</f>
        <v/>
      </c>
      <c r="D5" s="19">
        <f>SUM(Expenses!D:D)</f>
        <v/>
      </c>
      <c r="F5" s="20">
        <f>B4-C4</f>
        <v/>
      </c>
      <c r="H5" s="21">
        <f>TEXT(D4/B4,"0%")</f>
        <v/>
      </c>
    </row>
    <row r="8">
      <c r="B8" s="22" t="inlineStr">
        <is>
          <t>WHAT'S INSIDE</t>
        </is>
      </c>
    </row>
    <row r="9">
      <c r="B9" s="23" t="inlineStr">
        <is>
          <t>💵  Income — Log all income with date, source, category, and amount.</t>
        </is>
      </c>
    </row>
    <row r="10">
      <c r="B10" s="23" t="inlineStr">
        <is>
          <t>💳  Expenses — Track all expenses vs budget with auto red alert when over.</t>
        </is>
      </c>
    </row>
    <row r="11">
      <c r="B11" s="23" t="inlineStr">
        <is>
          <t>🎯  Savings Goals — Set savings goals and auto-track progress percentage.</t>
        </is>
      </c>
    </row>
    <row r="12">
      <c r="B12" s="23" t="inlineStr">
        <is>
          <t>📅  Monthly View — Month-by-month income vs expenses trend.</t>
        </is>
      </c>
    </row>
    <row r="13">
      <c r="B13" s="23" t="inlineStr">
        <is>
          <t>📊  Reports — Annual totals, savings trend, top expense categories.</t>
        </is>
      </c>
    </row>
    <row r="15">
      <c r="B15" s="5" t="inlineStr">
        <is>
          <t>Numbers update automatically as you fill the other tabs. Start with sample data deleted.</t>
        </is>
      </c>
    </row>
  </sheetData>
  <mergeCells count="15">
    <mergeCell ref="B9:I9"/>
    <mergeCell ref="F4:G4"/>
    <mergeCell ref="B12:I12"/>
    <mergeCell ref="B13:I13"/>
    <mergeCell ref="B15:I15"/>
    <mergeCell ref="B11:I11"/>
    <mergeCell ref="B5:C5"/>
    <mergeCell ref="B2:I2"/>
    <mergeCell ref="F5:G5"/>
    <mergeCell ref="D5:E5"/>
    <mergeCell ref="B10:I10"/>
    <mergeCell ref="H5:I5"/>
    <mergeCell ref="D4:E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>
      <c r="A1" s="6" t="inlineStr">
        <is>
          <t>Date</t>
        </is>
      </c>
      <c r="B1" s="6" t="inlineStr">
        <is>
          <t>Item</t>
        </is>
      </c>
      <c r="C1" s="6" t="inlineStr">
        <is>
          <t>Category</t>
        </is>
      </c>
      <c r="D1" s="6" t="inlineStr">
        <is>
          <t>Amount</t>
        </is>
      </c>
      <c r="E1" s="6" t="inlineStr">
        <is>
          <t>Budget</t>
        </is>
      </c>
      <c r="F1" s="6" t="inlineStr">
        <is>
          <t>Notes</t>
        </is>
      </c>
    </row>
    <row r="2">
      <c r="A2" s="7" t="n">
        <v>46174</v>
      </c>
      <c r="B2" s="9" t="inlineStr">
        <is>
          <t>Kickoff meeting</t>
        </is>
      </c>
      <c r="C2" s="9" t="inlineStr">
        <is>
          <t>Housing</t>
        </is>
      </c>
      <c r="D2" s="8" t="n">
        <v>800</v>
      </c>
      <c r="E2" s="8" t="n">
        <v>850</v>
      </c>
      <c r="F2" s="9" t="inlineStr"/>
    </row>
    <row r="3">
      <c r="A3" s="10" t="n">
        <v>46180</v>
      </c>
      <c r="B3" s="12" t="inlineStr">
        <is>
          <t>Send proposal</t>
        </is>
      </c>
      <c r="C3" s="12" t="inlineStr">
        <is>
          <t>Food</t>
        </is>
      </c>
      <c r="D3" s="11" t="n">
        <v>560</v>
      </c>
      <c r="E3" s="11" t="n">
        <v>595</v>
      </c>
      <c r="F3" s="12" t="inlineStr">
        <is>
          <t>Paid</t>
        </is>
      </c>
    </row>
    <row r="4">
      <c r="A4" s="7" t="n">
        <v>46186</v>
      </c>
      <c r="B4" s="9" t="inlineStr">
        <is>
          <t>Review feedback</t>
        </is>
      </c>
      <c r="C4" s="9" t="inlineStr">
        <is>
          <t>Transport</t>
        </is>
      </c>
      <c r="D4" s="8" t="n">
        <v>1040</v>
      </c>
      <c r="E4" s="8" t="n">
        <v>1105</v>
      </c>
      <c r="F4" s="9" t="inlineStr">
        <is>
          <t>Urgent</t>
        </is>
      </c>
    </row>
    <row r="5">
      <c r="A5" s="10" t="n">
        <v>46189</v>
      </c>
      <c r="B5" s="12" t="inlineStr">
        <is>
          <t>Update website copy</t>
        </is>
      </c>
      <c r="C5" s="12" t="inlineStr">
        <is>
          <t>Health</t>
        </is>
      </c>
      <c r="D5" s="11" t="n">
        <v>680</v>
      </c>
      <c r="E5" s="11" t="n">
        <v>722</v>
      </c>
      <c r="F5" s="12" t="inlineStr">
        <is>
          <t>Follow up Friday</t>
        </is>
      </c>
    </row>
    <row r="6">
      <c r="A6" s="7" t="n">
        <v>46195</v>
      </c>
      <c r="B6" s="9" t="inlineStr">
        <is>
          <t>Prepare invoice</t>
        </is>
      </c>
      <c r="C6" s="9" t="inlineStr">
        <is>
          <t>Entertainment</t>
        </is>
      </c>
      <c r="D6" s="8" t="n">
        <v>920</v>
      </c>
      <c r="E6" s="8" t="n">
        <v>977</v>
      </c>
      <c r="F6" s="9" t="inlineStr"/>
    </row>
    <row r="7">
      <c r="A7" s="10" t="n">
        <v>46201</v>
      </c>
      <c r="B7" s="12" t="inlineStr">
        <is>
          <t>Client call</t>
        </is>
      </c>
      <c r="C7" s="12" t="inlineStr">
        <is>
          <t>Savings</t>
        </is>
      </c>
      <c r="D7" s="11" t="n">
        <v>480</v>
      </c>
      <c r="E7" s="11" t="n">
        <v>510</v>
      </c>
      <c r="F7" s="12" t="inlineStr">
        <is>
          <t>Monthly</t>
        </is>
      </c>
    </row>
    <row r="8">
      <c r="A8" s="7" t="n">
        <v>46176</v>
      </c>
      <c r="B8" s="9" t="inlineStr">
        <is>
          <t>Design first draft</t>
        </is>
      </c>
      <c r="C8" s="9" t="inlineStr">
        <is>
          <t>Other</t>
        </is>
      </c>
      <c r="D8" s="8" t="n">
        <v>1160</v>
      </c>
      <c r="E8" s="8" t="n">
        <v>1232</v>
      </c>
      <c r="F8" s="9" t="inlineStr">
        <is>
          <t>Confirmed</t>
        </is>
      </c>
    </row>
    <row r="9">
      <c r="A9" s="10" t="n">
        <v>46182</v>
      </c>
      <c r="B9" s="12" t="inlineStr">
        <is>
          <t>Fix reported bug</t>
        </is>
      </c>
      <c r="C9" s="12" t="inlineStr">
        <is>
          <t>Housing</t>
        </is>
      </c>
      <c r="D9" s="11" t="n">
        <v>760</v>
      </c>
      <c r="E9" s="11" t="n">
        <v>808</v>
      </c>
      <c r="F9" s="12" t="inlineStr"/>
    </row>
    <row r="10">
      <c r="A10" s="7" t="n">
        <v>46188</v>
      </c>
      <c r="B10" s="9" t="inlineStr">
        <is>
          <t>Weekly report</t>
        </is>
      </c>
      <c r="C10" s="9" t="inlineStr">
        <is>
          <t>Food</t>
        </is>
      </c>
      <c r="D10" s="8" t="n">
        <v>1000</v>
      </c>
      <c r="E10" s="8" t="n">
        <v>1062</v>
      </c>
      <c r="F10" s="9" t="inlineStr">
        <is>
          <t>Waiting reply</t>
        </is>
      </c>
    </row>
    <row r="11">
      <c r="A11" s="10" t="n">
        <v>46191</v>
      </c>
      <c r="B11" s="12" t="inlineStr">
        <is>
          <t>Plan next sprint</t>
        </is>
      </c>
      <c r="C11" s="12" t="inlineStr">
        <is>
          <t>Transport</t>
        </is>
      </c>
      <c r="D11" s="11" t="n">
        <v>640</v>
      </c>
      <c r="E11" s="11" t="n">
        <v>680</v>
      </c>
      <c r="F11" s="12" t="inlineStr">
        <is>
          <t>Done early</t>
        </is>
      </c>
    </row>
    <row r="12">
      <c r="A12" s="7" t="n">
        <v>46197</v>
      </c>
      <c r="B12" s="9" t="inlineStr">
        <is>
          <t>Publish blog post</t>
        </is>
      </c>
      <c r="C12" s="9" t="inlineStr">
        <is>
          <t>Health</t>
        </is>
      </c>
      <c r="D12" s="8" t="n">
        <v>880</v>
      </c>
      <c r="E12" s="8" t="n">
        <v>935</v>
      </c>
      <c r="F12" s="9" t="inlineStr"/>
    </row>
    <row r="13">
      <c r="A13" s="10" t="n">
        <v>46175</v>
      </c>
      <c r="B13" s="12" t="inlineStr">
        <is>
          <t>Team sync</t>
        </is>
      </c>
      <c r="C13" s="12" t="inlineStr">
        <is>
          <t>Entertainment</t>
        </is>
      </c>
      <c r="D13" s="11" t="n">
        <v>600</v>
      </c>
      <c r="E13" s="11" t="n">
        <v>638</v>
      </c>
      <c r="F13" s="12" t="inlineStr">
        <is>
          <t>Recheck</t>
        </is>
      </c>
    </row>
  </sheetData>
  <dataValidations count="1">
    <dataValidation sqref="C2:C500" showDropDown="0" showInputMessage="0" showErrorMessage="0" allowBlank="1" type="list">
      <formula1>"Housing,Food,Transport,Health,Entertainment,Savings,Other"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6" t="inlineStr">
        <is>
          <t>Goal</t>
        </is>
      </c>
      <c r="B1" s="6" t="inlineStr">
        <is>
          <t>Target</t>
        </is>
      </c>
      <c r="C1" s="6" t="inlineStr">
        <is>
          <t>Saved</t>
        </is>
      </c>
      <c r="D1" s="6" t="inlineStr">
        <is>
          <t>Progress</t>
        </is>
      </c>
      <c r="E1" s="6" t="inlineStr">
        <is>
          <t>Deadline</t>
        </is>
      </c>
    </row>
    <row r="2">
      <c r="A2" s="9" t="inlineStr">
        <is>
          <t>Kickoff meeting</t>
        </is>
      </c>
      <c r="B2" s="8" t="n">
        <v>5000</v>
      </c>
      <c r="C2" s="8" t="n">
        <v>1200</v>
      </c>
      <c r="D2" s="9">
        <f>TEXT(D2/C2,"0%")</f>
        <v/>
      </c>
      <c r="E2" s="7" t="n">
        <v>46174</v>
      </c>
    </row>
    <row r="3">
      <c r="A3" s="12" t="inlineStr">
        <is>
          <t>Send proposal</t>
        </is>
      </c>
      <c r="B3" s="11" t="n">
        <v>3500</v>
      </c>
      <c r="C3" s="11" t="n">
        <v>840</v>
      </c>
      <c r="D3" s="12">
        <f>TEXT(D3/C3,"0%")</f>
        <v/>
      </c>
      <c r="E3" s="10" t="n">
        <v>46180</v>
      </c>
    </row>
    <row r="4">
      <c r="A4" s="9" t="inlineStr">
        <is>
          <t>Review feedback</t>
        </is>
      </c>
      <c r="B4" s="8" t="n">
        <v>6500</v>
      </c>
      <c r="C4" s="8" t="n">
        <v>1560</v>
      </c>
      <c r="D4" s="9">
        <f>TEXT(D4/C4,"0%")</f>
        <v/>
      </c>
      <c r="E4" s="7" t="n">
        <v>46186</v>
      </c>
    </row>
    <row r="5">
      <c r="A5" s="12" t="inlineStr">
        <is>
          <t>Update website copy</t>
        </is>
      </c>
      <c r="B5" s="11" t="n">
        <v>4250</v>
      </c>
      <c r="C5" s="11" t="n">
        <v>1020</v>
      </c>
      <c r="D5" s="12">
        <f>TEXT(D5/C5,"0%")</f>
        <v/>
      </c>
      <c r="E5" s="10" t="n">
        <v>46189</v>
      </c>
    </row>
    <row r="6">
      <c r="A6" s="9" t="inlineStr">
        <is>
          <t>Prepare invoice</t>
        </is>
      </c>
      <c r="B6" s="8" t="n">
        <v>5750</v>
      </c>
      <c r="C6" s="8" t="n">
        <v>1380</v>
      </c>
      <c r="D6" s="9">
        <f>TEXT(D6/C6,"0%")</f>
        <v/>
      </c>
      <c r="E6" s="7" t="n">
        <v>46195</v>
      </c>
    </row>
    <row r="7">
      <c r="A7" s="12" t="inlineStr">
        <is>
          <t>Client call</t>
        </is>
      </c>
      <c r="B7" s="11" t="n">
        <v>3000</v>
      </c>
      <c r="C7" s="11" t="n">
        <v>720</v>
      </c>
      <c r="D7" s="12">
        <f>TEXT(D7/C7,"0%")</f>
        <v/>
      </c>
      <c r="E7" s="10" t="n">
        <v>46201</v>
      </c>
    </row>
    <row r="8">
      <c r="A8" s="9" t="inlineStr">
        <is>
          <t>Design first draft</t>
        </is>
      </c>
      <c r="B8" s="8" t="n">
        <v>7250</v>
      </c>
      <c r="C8" s="8" t="n">
        <v>1740</v>
      </c>
      <c r="D8" s="9">
        <f>TEXT(D8/C8,"0%")</f>
        <v/>
      </c>
      <c r="E8" s="7" t="n">
        <v>46176</v>
      </c>
    </row>
    <row r="9">
      <c r="A9" s="12" t="inlineStr">
        <is>
          <t>Fix reported bug</t>
        </is>
      </c>
      <c r="B9" s="11" t="n">
        <v>4750</v>
      </c>
      <c r="C9" s="11" t="n">
        <v>1140</v>
      </c>
      <c r="D9" s="12">
        <f>TEXT(D9/C9,"0%")</f>
        <v/>
      </c>
      <c r="E9" s="10" t="n">
        <v>46182</v>
      </c>
    </row>
    <row r="10">
      <c r="A10" s="9" t="inlineStr">
        <is>
          <t>Weekly report</t>
        </is>
      </c>
      <c r="B10" s="8" t="n">
        <v>6250</v>
      </c>
      <c r="C10" s="8" t="n">
        <v>1500</v>
      </c>
      <c r="D10" s="9">
        <f>TEXT(D10/C10,"0%")</f>
        <v/>
      </c>
      <c r="E10" s="7" t="n">
        <v>46188</v>
      </c>
    </row>
    <row r="11">
      <c r="A11" s="12" t="inlineStr">
        <is>
          <t>Plan next sprint</t>
        </is>
      </c>
      <c r="B11" s="11" t="n">
        <v>4000</v>
      </c>
      <c r="C11" s="11" t="n">
        <v>960</v>
      </c>
      <c r="D11" s="12">
        <f>TEXT(D11/C11,"0%")</f>
        <v/>
      </c>
      <c r="E11" s="10" t="n">
        <v>46191</v>
      </c>
    </row>
    <row r="12">
      <c r="A12" s="9" t="inlineStr">
        <is>
          <t>Publish blog post</t>
        </is>
      </c>
      <c r="B12" s="8" t="n">
        <v>5500</v>
      </c>
      <c r="C12" s="8" t="n">
        <v>1320</v>
      </c>
      <c r="D12" s="9">
        <f>TEXT(D12/C12,"0%")</f>
        <v/>
      </c>
      <c r="E12" s="7" t="n">
        <v>46197</v>
      </c>
    </row>
    <row r="13">
      <c r="A13" s="12" t="inlineStr">
        <is>
          <t>Team sync</t>
        </is>
      </c>
      <c r="B13" s="11" t="n">
        <v>3750</v>
      </c>
      <c r="C13" s="11" t="n">
        <v>900</v>
      </c>
      <c r="D13" s="12">
        <f>TEXT(D13/C13,"0%")</f>
        <v/>
      </c>
      <c r="E13" s="10" t="n">
        <v>46175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6" t="inlineStr">
        <is>
          <t>Month</t>
        </is>
      </c>
      <c r="B1" s="6" t="inlineStr">
        <is>
          <t>Income</t>
        </is>
      </c>
      <c r="C1" s="6" t="inlineStr">
        <is>
          <t>Expenses</t>
        </is>
      </c>
      <c r="D1" s="6" t="inlineStr">
        <is>
          <t>Savings</t>
        </is>
      </c>
      <c r="E1" s="6" t="inlineStr">
        <is>
          <t>Rate</t>
        </is>
      </c>
    </row>
    <row r="2">
      <c r="A2" s="9" t="inlineStr">
        <is>
          <t>January 2024</t>
        </is>
      </c>
      <c r="B2" s="8" t="n">
        <v>3000</v>
      </c>
      <c r="C2" s="8" t="n">
        <v>2100</v>
      </c>
      <c r="D2" s="9">
        <f>C2-D2</f>
        <v/>
      </c>
      <c r="E2" s="9">
        <f>TEXT(E2/C2,"0%")</f>
        <v/>
      </c>
    </row>
    <row r="3">
      <c r="A3" s="12" t="inlineStr">
        <is>
          <t>January 2025</t>
        </is>
      </c>
      <c r="B3" s="11" t="n">
        <v>2100</v>
      </c>
      <c r="C3" s="11" t="n">
        <v>1470</v>
      </c>
      <c r="D3" s="12">
        <f>C3-D3</f>
        <v/>
      </c>
      <c r="E3" s="12">
        <f>TEXT(E3/C3,"0%")</f>
        <v/>
      </c>
    </row>
    <row r="4">
      <c r="A4" s="9" t="inlineStr">
        <is>
          <t>January 2026</t>
        </is>
      </c>
      <c r="B4" s="8" t="n">
        <v>3900</v>
      </c>
      <c r="C4" s="8" t="n">
        <v>2730</v>
      </c>
      <c r="D4" s="9">
        <f>C4-D4</f>
        <v/>
      </c>
      <c r="E4" s="9">
        <f>TEXT(E4/C4,"0%")</f>
        <v/>
      </c>
    </row>
    <row r="5">
      <c r="A5" s="12" t="inlineStr">
        <is>
          <t>January 2027</t>
        </is>
      </c>
      <c r="B5" s="11" t="n">
        <v>2550</v>
      </c>
      <c r="C5" s="11" t="n">
        <v>1785</v>
      </c>
      <c r="D5" s="12">
        <f>C5-D5</f>
        <v/>
      </c>
      <c r="E5" s="12">
        <f>TEXT(E5/C5,"0%")</f>
        <v/>
      </c>
    </row>
    <row r="6">
      <c r="A6" s="9" t="inlineStr">
        <is>
          <t>January 2028</t>
        </is>
      </c>
      <c r="B6" s="8" t="n">
        <v>3450</v>
      </c>
      <c r="C6" s="8" t="n">
        <v>2415</v>
      </c>
      <c r="D6" s="9">
        <f>C6-D6</f>
        <v/>
      </c>
      <c r="E6" s="9">
        <f>TEXT(E6/C6,"0%")</f>
        <v/>
      </c>
    </row>
    <row r="7">
      <c r="A7" s="12" t="inlineStr">
        <is>
          <t>January 2029</t>
        </is>
      </c>
      <c r="B7" s="11" t="n">
        <v>1800</v>
      </c>
      <c r="C7" s="11" t="n">
        <v>1260</v>
      </c>
      <c r="D7" s="12">
        <f>C7-D7</f>
        <v/>
      </c>
      <c r="E7" s="12">
        <f>TEXT(E7/C7,"0%")</f>
        <v/>
      </c>
    </row>
    <row r="8">
      <c r="A8" s="9" t="inlineStr">
        <is>
          <t>January 2030</t>
        </is>
      </c>
      <c r="B8" s="8" t="n">
        <v>4350</v>
      </c>
      <c r="C8" s="8" t="n">
        <v>3045</v>
      </c>
      <c r="D8" s="9">
        <f>C8-D8</f>
        <v/>
      </c>
      <c r="E8" s="9">
        <f>TEXT(E8/C8,"0%")</f>
        <v/>
      </c>
    </row>
    <row r="9">
      <c r="A9" s="12" t="inlineStr">
        <is>
          <t>January 2031</t>
        </is>
      </c>
      <c r="B9" s="11" t="n">
        <v>2850</v>
      </c>
      <c r="C9" s="11" t="n">
        <v>1995</v>
      </c>
      <c r="D9" s="12">
        <f>C9-D9</f>
        <v/>
      </c>
      <c r="E9" s="12">
        <f>TEXT(E9/C9,"0%")</f>
        <v/>
      </c>
    </row>
    <row r="10">
      <c r="A10" s="9" t="inlineStr">
        <is>
          <t>January 2032</t>
        </is>
      </c>
      <c r="B10" s="8" t="n">
        <v>3750</v>
      </c>
      <c r="C10" s="8" t="n">
        <v>2625</v>
      </c>
      <c r="D10" s="9">
        <f>C10-D10</f>
        <v/>
      </c>
      <c r="E10" s="9">
        <f>TEXT(E10/C10,"0%")</f>
        <v/>
      </c>
    </row>
    <row r="11">
      <c r="A11" s="12" t="inlineStr">
        <is>
          <t>January 2033</t>
        </is>
      </c>
      <c r="B11" s="11" t="n">
        <v>2400</v>
      </c>
      <c r="C11" s="11" t="n">
        <v>1680</v>
      </c>
      <c r="D11" s="12">
        <f>C11-D11</f>
        <v/>
      </c>
      <c r="E11" s="12">
        <f>TEXT(E11/C11,"0%")</f>
        <v/>
      </c>
    </row>
    <row r="12">
      <c r="A12" s="9" t="inlineStr">
        <is>
          <t>January 2034</t>
        </is>
      </c>
      <c r="B12" s="8" t="n">
        <v>3300</v>
      </c>
      <c r="C12" s="8" t="n">
        <v>2310</v>
      </c>
      <c r="D12" s="9">
        <f>C12-D12</f>
        <v/>
      </c>
      <c r="E12" s="9">
        <f>TEXT(E12/C12,"0%")</f>
        <v/>
      </c>
    </row>
    <row r="13">
      <c r="A13" s="12" t="inlineStr">
        <is>
          <t>January 2035</t>
        </is>
      </c>
      <c r="B13" s="11" t="n">
        <v>2250</v>
      </c>
      <c r="C13" s="11" t="n">
        <v>1575</v>
      </c>
      <c r="D13" s="12">
        <f>C13-D13</f>
        <v/>
      </c>
      <c r="E13" s="12">
        <f>TEXT(E13/C13,"0%")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REPORTS</t>
        </is>
      </c>
    </row>
    <row r="4">
      <c r="B4" s="3" t="inlineStr">
        <is>
          <t>Annual Summary</t>
        </is>
      </c>
    </row>
    <row r="5">
      <c r="B5" s="12" t="inlineStr">
        <is>
          <t>Total Income</t>
        </is>
      </c>
      <c r="C5" s="25">
        <f>SUM(Income!B:B)</f>
        <v/>
      </c>
    </row>
    <row r="6">
      <c r="B6" s="9" t="inlineStr">
        <is>
          <t>Total Expenses</t>
        </is>
      </c>
      <c r="C6" s="26">
        <f>SUM(Expenses!D:D)</f>
        <v/>
      </c>
    </row>
    <row r="7">
      <c r="B7" s="12" t="inlineStr">
        <is>
          <t>Total Savings</t>
        </is>
      </c>
      <c r="C7" s="25">
        <f>SUM(Income!B:B)-SUM(Expenses!D:D)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2026-07-16T21:44:36Z</dcterms:created>
  <dcterms:modified xsi:type="dcterms:W3CDTF">2026-07-16T21:44:36Z</dcterms:modified>
</cp:coreProperties>
</file>