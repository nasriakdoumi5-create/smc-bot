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Timesheet" sheetId="2" state="visible" r:id="rId2"/>
    <sheet name="Dashboard" sheetId="3" state="visible" r:id="rId3"/>
    <sheet name="Weekly Summary" sheetId="4" state="visible" r:id="rId4"/>
    <sheet name="Project Summary" sheetId="5" state="visible" r:id="rId5"/>
    <sheet name="Annual Re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€&quot;#,##0.0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4"/>
    </font>
    <font>
      <name val="Arial"/>
      <b val="1"/>
      <color rgb="004F46E5"/>
      <sz val="12"/>
    </font>
    <font>
      <name val="Arial"/>
      <b val="1"/>
      <color rgb="00222222"/>
      <sz val="11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1E1B4B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FFF7F0"/>
      </patternFill>
    </fill>
    <fill>
      <patternFill patternType="solid">
        <fgColor rgb="004F46E5"/>
      </patternFill>
    </fill>
    <fill>
      <patternFill patternType="solid">
        <fgColor rgb="00059669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3" borderId="1" pivotButton="0" quotePrefix="0" xfId="0"/>
    <xf numFmtId="0" fontId="2" fillId="3" borderId="1" pivotButton="0" quotePrefix="0" xfId="0"/>
    <xf numFmtId="164" fontId="2" fillId="0" borderId="1" pivotButton="0" quotePrefix="0" xfId="0"/>
    <xf numFmtId="0" fontId="2" fillId="0" borderId="1" pivotButton="0" quotePrefix="0" xfId="0"/>
    <xf numFmtId="0" fontId="6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165" fontId="2" fillId="3" borderId="1" pivotButton="0" quotePrefix="0" xfId="0"/>
    <xf numFmtId="165" fontId="2" fillId="0" borderId="1" pivotButton="0" quotePrefix="0" xfId="0"/>
    <xf numFmtId="0" fontId="3" fillId="2" borderId="0" applyAlignment="1" pivotButton="0" quotePrefix="0" xfId="0">
      <alignment horizontal="center" vertical="center"/>
    </xf>
    <xf numFmtId="165" fontId="5" fillId="0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⏰  TIME TRACKING &amp; TIMESHEET</t>
        </is>
      </c>
    </row>
    <row r="3"/>
    <row r="4">
      <c r="B4" s="2" t="inlineStr">
        <is>
          <t>Billable Hours, Projects &amp; Productivity Google Sheets</t>
        </is>
      </c>
    </row>
    <row r="6">
      <c r="B6" s="3" t="inlineStr">
        <is>
          <t>STEP 1 — Fill in “Timesheet”</t>
        </is>
      </c>
    </row>
    <row r="7" ht="28" customHeight="1">
      <c r="B7" s="4" t="inlineStr">
        <is>
          <t>Daily time log: project, task, hours, and billing status.</t>
        </is>
      </c>
    </row>
    <row r="9">
      <c r="B9" s="3" t="inlineStr">
        <is>
          <t>STEP 2 — Fill in “Weekly Summary”</t>
        </is>
      </c>
    </row>
    <row r="10" ht="28" customHeight="1">
      <c r="B10" s="4" t="inlineStr">
        <is>
          <t>Week-by-week time totals and billable breakdown.</t>
        </is>
      </c>
    </row>
    <row r="12">
      <c r="B12" s="3" t="inlineStr">
        <is>
          <t>STEP 3 — Fill in “Project Summary”</t>
        </is>
      </c>
    </row>
    <row r="13" ht="28" customHeight="1">
      <c r="B13" s="4" t="inlineStr">
        <is>
          <t>Hours and revenue per project.</t>
        </is>
      </c>
    </row>
    <row r="15">
      <c r="B15" s="3" t="inlineStr">
        <is>
          <t>Then open the Dashboard — everything calculates automatically.</t>
        </is>
      </c>
    </row>
    <row r="17">
      <c r="B17" s="5" t="inlineStr">
        <is>
          <t>TIP: Delete the sample rows once you've seen how it works.</t>
        </is>
      </c>
    </row>
    <row r="19">
      <c r="B19" s="5" t="inlineStr">
        <is>
          <t>TIP: On Google Sheets? File → Make a copy first, then edit your copy.</t>
        </is>
      </c>
    </row>
    <row r="21">
      <c r="B21" s="5" t="inlineStr">
        <is>
          <t>TIP: Columns with dropdowns keep your data clean — use them.</t>
        </is>
      </c>
    </row>
    <row r="23">
      <c r="B23" s="5" t="inlineStr">
        <is>
          <t>Need help? Message NasriTools on Etsy — I reply fast. 🧡</t>
        </is>
      </c>
    </row>
  </sheetData>
  <mergeCells count="13">
    <mergeCell ref="B4:F4"/>
    <mergeCell ref="B21:F21"/>
    <mergeCell ref="B12:F12"/>
    <mergeCell ref="B7:F7"/>
    <mergeCell ref="B6:F6"/>
    <mergeCell ref="B15:F15"/>
    <mergeCell ref="B2:F3"/>
    <mergeCell ref="B10:F10"/>
    <mergeCell ref="B19:F19"/>
    <mergeCell ref="B23:F23"/>
    <mergeCell ref="B17:F17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12" customWidth="1" min="4" max="4"/>
    <col width="16" customWidth="1" min="5" max="5"/>
    <col width="14" customWidth="1" min="6" max="6"/>
    <col width="20" customWidth="1" min="7" max="7"/>
  </cols>
  <sheetData>
    <row r="1">
      <c r="A1" s="6" t="inlineStr">
        <is>
          <t>Date</t>
        </is>
      </c>
      <c r="B1" s="6" t="inlineStr">
        <is>
          <t>Project</t>
        </is>
      </c>
      <c r="C1" s="6" t="inlineStr">
        <is>
          <t>Task</t>
        </is>
      </c>
      <c r="D1" s="6" t="inlineStr">
        <is>
          <t>Hours</t>
        </is>
      </c>
      <c r="E1" s="6" t="inlineStr">
        <is>
          <t>Type</t>
        </is>
      </c>
      <c r="F1" s="6" t="inlineStr">
        <is>
          <t>Rate $/hr</t>
        </is>
      </c>
      <c r="G1" s="6" t="inlineStr">
        <is>
          <t>Client</t>
        </is>
      </c>
    </row>
    <row r="2">
      <c r="A2" s="7" t="n">
        <v>46174</v>
      </c>
      <c r="B2" s="8" t="inlineStr">
        <is>
          <t>Kickoff meeting</t>
        </is>
      </c>
      <c r="C2" s="8" t="inlineStr">
        <is>
          <t>Kickoff meeting</t>
        </is>
      </c>
      <c r="D2" s="8" t="n">
        <v>3.5</v>
      </c>
      <c r="E2" s="8" t="inlineStr">
        <is>
          <t>Billable</t>
        </is>
      </c>
      <c r="F2" s="8" t="n">
        <v>85</v>
      </c>
      <c r="G2" s="8" t="inlineStr">
        <is>
          <t>Alex Martin</t>
        </is>
      </c>
    </row>
    <row r="3">
      <c r="A3" s="9" t="n">
        <v>46180</v>
      </c>
      <c r="B3" s="10" t="inlineStr">
        <is>
          <t>Send proposal</t>
        </is>
      </c>
      <c r="C3" s="10" t="inlineStr">
        <is>
          <t>Send proposal</t>
        </is>
      </c>
      <c r="D3" s="10" t="n">
        <v>2.45</v>
      </c>
      <c r="E3" s="10" t="inlineStr">
        <is>
          <t>Non-Billable</t>
        </is>
      </c>
      <c r="F3" s="10" t="n">
        <v>59.5</v>
      </c>
      <c r="G3" s="10" t="inlineStr">
        <is>
          <t>Sara Lopez</t>
        </is>
      </c>
    </row>
    <row r="4">
      <c r="A4" s="7" t="n">
        <v>46186</v>
      </c>
      <c r="B4" s="8" t="inlineStr">
        <is>
          <t>Review feedback</t>
        </is>
      </c>
      <c r="C4" s="8" t="inlineStr">
        <is>
          <t>Review feedback</t>
        </is>
      </c>
      <c r="D4" s="8" t="n">
        <v>4.55</v>
      </c>
      <c r="E4" s="8" t="inlineStr">
        <is>
          <t>Admin</t>
        </is>
      </c>
      <c r="F4" s="8" t="n">
        <v>110.5</v>
      </c>
      <c r="G4" s="8" t="inlineStr">
        <is>
          <t>Omar Haddad</t>
        </is>
      </c>
    </row>
    <row r="5">
      <c r="A5" s="9" t="n">
        <v>46189</v>
      </c>
      <c r="B5" s="10" t="inlineStr">
        <is>
          <t>Update website copy</t>
        </is>
      </c>
      <c r="C5" s="10" t="inlineStr">
        <is>
          <t>Update website copy</t>
        </is>
      </c>
      <c r="D5" s="10" t="n">
        <v>2.98</v>
      </c>
      <c r="E5" s="10" t="inlineStr">
        <is>
          <t>Business Dev</t>
        </is>
      </c>
      <c r="F5" s="10" t="n">
        <v>72.25</v>
      </c>
      <c r="G5" s="10" t="inlineStr">
        <is>
          <t>Emma Fischer</t>
        </is>
      </c>
    </row>
    <row r="6">
      <c r="A6" s="7" t="n">
        <v>46195</v>
      </c>
      <c r="B6" s="8" t="inlineStr">
        <is>
          <t>Prepare invoice</t>
        </is>
      </c>
      <c r="C6" s="8" t="inlineStr">
        <is>
          <t>Prepare invoice</t>
        </is>
      </c>
      <c r="D6" s="8" t="n">
        <v>4.02</v>
      </c>
      <c r="E6" s="8" t="inlineStr">
        <is>
          <t>Learning</t>
        </is>
      </c>
      <c r="F6" s="8" t="n">
        <v>97.75</v>
      </c>
      <c r="G6" s="8" t="inlineStr">
        <is>
          <t>Liam Carter</t>
        </is>
      </c>
    </row>
    <row r="7">
      <c r="A7" s="9" t="n">
        <v>46201</v>
      </c>
      <c r="B7" s="10" t="inlineStr">
        <is>
          <t>Client call</t>
        </is>
      </c>
      <c r="C7" s="10" t="inlineStr">
        <is>
          <t>Client call</t>
        </is>
      </c>
      <c r="D7" s="10" t="n">
        <v>2.1</v>
      </c>
      <c r="E7" s="10" t="inlineStr">
        <is>
          <t>Billable</t>
        </is>
      </c>
      <c r="F7" s="10" t="n">
        <v>51</v>
      </c>
      <c r="G7" s="10" t="inlineStr">
        <is>
          <t>Nadia Rahali</t>
        </is>
      </c>
    </row>
    <row r="8">
      <c r="A8" s="7" t="n">
        <v>46176</v>
      </c>
      <c r="B8" s="8" t="inlineStr">
        <is>
          <t>Design first draft</t>
        </is>
      </c>
      <c r="C8" s="8" t="inlineStr">
        <is>
          <t>Design first draft</t>
        </is>
      </c>
      <c r="D8" s="8" t="n">
        <v>5.08</v>
      </c>
      <c r="E8" s="8" t="inlineStr">
        <is>
          <t>Non-Billable</t>
        </is>
      </c>
      <c r="F8" s="8" t="n">
        <v>123.25</v>
      </c>
      <c r="G8" s="8" t="inlineStr">
        <is>
          <t>Tom Becker</t>
        </is>
      </c>
    </row>
    <row r="9">
      <c r="A9" s="9" t="n">
        <v>46182</v>
      </c>
      <c r="B9" s="10" t="inlineStr">
        <is>
          <t>Fix reported bug</t>
        </is>
      </c>
      <c r="C9" s="10" t="inlineStr">
        <is>
          <t>Fix reported bug</t>
        </is>
      </c>
      <c r="D9" s="10" t="n">
        <v>3.32</v>
      </c>
      <c r="E9" s="10" t="inlineStr">
        <is>
          <t>Admin</t>
        </is>
      </c>
      <c r="F9" s="10" t="n">
        <v>80.75</v>
      </c>
      <c r="G9" s="10" t="inlineStr">
        <is>
          <t>Julia Romero</t>
        </is>
      </c>
    </row>
    <row r="10">
      <c r="A10" s="7" t="n">
        <v>46188</v>
      </c>
      <c r="B10" s="8" t="inlineStr">
        <is>
          <t>Weekly report</t>
        </is>
      </c>
      <c r="C10" s="8" t="inlineStr">
        <is>
          <t>Weekly report</t>
        </is>
      </c>
      <c r="D10" s="8" t="n">
        <v>4.38</v>
      </c>
      <c r="E10" s="8" t="inlineStr">
        <is>
          <t>Business Dev</t>
        </is>
      </c>
      <c r="F10" s="8" t="n">
        <v>106.25</v>
      </c>
      <c r="G10" s="8" t="inlineStr">
        <is>
          <t>Karim Ziani</t>
        </is>
      </c>
    </row>
    <row r="11">
      <c r="A11" s="9" t="n">
        <v>46191</v>
      </c>
      <c r="B11" s="10" t="inlineStr">
        <is>
          <t>Plan next sprint</t>
        </is>
      </c>
      <c r="C11" s="10" t="inlineStr">
        <is>
          <t>Plan next sprint</t>
        </is>
      </c>
      <c r="D11" s="10" t="n">
        <v>2.8</v>
      </c>
      <c r="E11" s="10" t="inlineStr">
        <is>
          <t>Learning</t>
        </is>
      </c>
      <c r="F11" s="10" t="n">
        <v>68</v>
      </c>
      <c r="G11" s="10" t="inlineStr">
        <is>
          <t>Anna Kowalska</t>
        </is>
      </c>
    </row>
    <row r="12">
      <c r="A12" s="7" t="n">
        <v>46197</v>
      </c>
      <c r="B12" s="8" t="inlineStr">
        <is>
          <t>Publish blog post</t>
        </is>
      </c>
      <c r="C12" s="8" t="inlineStr">
        <is>
          <t>Publish blog post</t>
        </is>
      </c>
      <c r="D12" s="8" t="n">
        <v>3.85</v>
      </c>
      <c r="E12" s="8" t="inlineStr">
        <is>
          <t>Billable</t>
        </is>
      </c>
      <c r="F12" s="8" t="n">
        <v>93.5</v>
      </c>
      <c r="G12" s="8" t="inlineStr">
        <is>
          <t>David Chen</t>
        </is>
      </c>
    </row>
    <row r="13">
      <c r="A13" s="9" t="n">
        <v>46175</v>
      </c>
      <c r="B13" s="10" t="inlineStr">
        <is>
          <t>Team sync</t>
        </is>
      </c>
      <c r="C13" s="10" t="inlineStr">
        <is>
          <t>Team sync</t>
        </is>
      </c>
      <c r="D13" s="10" t="n">
        <v>2.62</v>
      </c>
      <c r="E13" s="10" t="inlineStr">
        <is>
          <t>Non-Billable</t>
        </is>
      </c>
      <c r="F13" s="10" t="n">
        <v>63.75</v>
      </c>
      <c r="G13" s="10" t="inlineStr">
        <is>
          <t>Lea Moreau</t>
        </is>
      </c>
    </row>
  </sheetData>
  <dataValidations count="1">
    <dataValidation sqref="E2:E500" showDropDown="0" showInputMessage="0" showErrorMessage="0" allowBlank="1" type="list">
      <formula1>"Billable,Non-Billable,Admin,Business Dev,Learning"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11" t="inlineStr">
        <is>
          <t>📊  TIME TRACKING &amp; TIMESHEET — DASHBOARD</t>
        </is>
      </c>
    </row>
    <row r="4">
      <c r="B4" s="12" t="inlineStr">
        <is>
          <t>WEEKLY HOURS</t>
        </is>
      </c>
      <c r="D4" s="13" t="inlineStr">
        <is>
          <t>BILLABLE HOURS</t>
        </is>
      </c>
      <c r="F4" s="14" t="inlineStr">
        <is>
          <t>UTILIZATION %</t>
        </is>
      </c>
      <c r="H4" s="15" t="inlineStr">
        <is>
          <t>WEEKLY REVENUE $</t>
        </is>
      </c>
    </row>
    <row r="5" ht="26" customHeight="1">
      <c r="B5" s="16">
        <f>SUM(Timesheet!D:D)</f>
        <v/>
      </c>
      <c r="D5" s="17">
        <f>SUMIF(Timesheet!E:E,"Billable",Timesheet!D:D)</f>
        <v/>
      </c>
      <c r="F5" s="18">
        <f>TEXT(SUMIF(Timesheet!E:E,"Billable",Timesheet!D:D)/SUM(Timesheet!D:D),"0%")</f>
        <v/>
      </c>
      <c r="H5" s="19">
        <f>SUMPRODUCT((Timesheet!E:E="Billable")*Timesheet!D:D*Timesheet!F:F)</f>
        <v/>
      </c>
    </row>
    <row r="8">
      <c r="B8" s="20" t="inlineStr">
        <is>
          <t>WHAT'S INSIDE</t>
        </is>
      </c>
    </row>
    <row r="9">
      <c r="B9" s="21" t="inlineStr">
        <is>
          <t>📋  Timesheet — Daily time log: project, task, hours, and billing status.</t>
        </is>
      </c>
    </row>
    <row r="10">
      <c r="B10" s="21" t="inlineStr">
        <is>
          <t>📅  Weekly Summary — Week-by-week time totals and billable breakdown.</t>
        </is>
      </c>
    </row>
    <row r="11">
      <c r="B11" s="21" t="inlineStr">
        <is>
          <t>📊  Project Summary — Hours and revenue per project.</t>
        </is>
      </c>
    </row>
    <row r="12">
      <c r="B12" s="21" t="inlineStr">
        <is>
          <t>📊  Annual Report — Annual hours worked and revenue for tax reporting.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14" customWidth="1" min="5" max="5"/>
  </cols>
  <sheetData>
    <row r="1">
      <c r="A1" s="6" t="inlineStr">
        <is>
          <t>Week</t>
        </is>
      </c>
      <c r="B1" s="6" t="inlineStr">
        <is>
          <t>Total Hours</t>
        </is>
      </c>
      <c r="C1" s="6" t="inlineStr">
        <is>
          <t>Billable Hrs</t>
        </is>
      </c>
      <c r="D1" s="6" t="inlineStr">
        <is>
          <t>Utilization %</t>
        </is>
      </c>
      <c r="E1" s="6" t="inlineStr">
        <is>
          <t>Revenue $</t>
        </is>
      </c>
    </row>
    <row r="2">
      <c r="A2" s="8" t="inlineStr">
        <is>
          <t>Jan 15-19, 2024</t>
        </is>
      </c>
      <c r="B2" s="22" t="n">
        <v>40</v>
      </c>
      <c r="C2" s="8" t="n">
        <v>32</v>
      </c>
      <c r="D2" s="8">
        <f>TEXT(C2/B2,"0%")</f>
        <v/>
      </c>
      <c r="E2" s="22" t="n">
        <v>2720</v>
      </c>
    </row>
    <row r="3">
      <c r="A3" s="10" t="inlineStr">
        <is>
          <t>Jan 15-19, 2025</t>
        </is>
      </c>
      <c r="B3" s="23" t="n">
        <v>28</v>
      </c>
      <c r="C3" s="10" t="n">
        <v>22.4</v>
      </c>
      <c r="D3" s="10">
        <f>TEXT(C3/B3,"0%")</f>
        <v/>
      </c>
      <c r="E3" s="23" t="n">
        <v>1904</v>
      </c>
    </row>
    <row r="4">
      <c r="A4" s="8" t="inlineStr">
        <is>
          <t>Jan 15-19, 2026</t>
        </is>
      </c>
      <c r="B4" s="22" t="n">
        <v>52</v>
      </c>
      <c r="C4" s="8" t="n">
        <v>41.6</v>
      </c>
      <c r="D4" s="8">
        <f>TEXT(C4/B4,"0%")</f>
        <v/>
      </c>
      <c r="E4" s="22" t="n">
        <v>3536</v>
      </c>
    </row>
    <row r="5">
      <c r="A5" s="10" t="inlineStr">
        <is>
          <t>Jan 15-19, 2027</t>
        </is>
      </c>
      <c r="B5" s="23" t="n">
        <v>34</v>
      </c>
      <c r="C5" s="10" t="n">
        <v>27.2</v>
      </c>
      <c r="D5" s="10">
        <f>TEXT(C5/B5,"0%")</f>
        <v/>
      </c>
      <c r="E5" s="23" t="n">
        <v>2312</v>
      </c>
    </row>
    <row r="6">
      <c r="A6" s="8" t="inlineStr">
        <is>
          <t>Jan 15-19, 2028</t>
        </is>
      </c>
      <c r="B6" s="22" t="n">
        <v>46</v>
      </c>
      <c r="C6" s="8" t="n">
        <v>36.8</v>
      </c>
      <c r="D6" s="8">
        <f>TEXT(C6/B6,"0%")</f>
        <v/>
      </c>
      <c r="E6" s="22" t="n">
        <v>3128</v>
      </c>
    </row>
    <row r="7">
      <c r="A7" s="10" t="inlineStr">
        <is>
          <t>Jan 15-19, 2029</t>
        </is>
      </c>
      <c r="B7" s="23" t="n">
        <v>24</v>
      </c>
      <c r="C7" s="10" t="n">
        <v>19.2</v>
      </c>
      <c r="D7" s="10">
        <f>TEXT(C7/B7,"0%")</f>
        <v/>
      </c>
      <c r="E7" s="23" t="n">
        <v>1632</v>
      </c>
    </row>
    <row r="8">
      <c r="A8" s="8" t="inlineStr">
        <is>
          <t>Jan 15-19, 2030</t>
        </is>
      </c>
      <c r="B8" s="22" t="n">
        <v>58</v>
      </c>
      <c r="C8" s="8" t="n">
        <v>46.4</v>
      </c>
      <c r="D8" s="8">
        <f>TEXT(C8/B8,"0%")</f>
        <v/>
      </c>
      <c r="E8" s="22" t="n">
        <v>3944</v>
      </c>
    </row>
    <row r="9">
      <c r="A9" s="10" t="inlineStr">
        <is>
          <t>Jan 15-19, 2031</t>
        </is>
      </c>
      <c r="B9" s="23" t="n">
        <v>38</v>
      </c>
      <c r="C9" s="10" t="n">
        <v>30.4</v>
      </c>
      <c r="D9" s="10">
        <f>TEXT(C9/B9,"0%")</f>
        <v/>
      </c>
      <c r="E9" s="23" t="n">
        <v>2584</v>
      </c>
    </row>
    <row r="10">
      <c r="A10" s="8" t="inlineStr">
        <is>
          <t>Jan 15-19, 2032</t>
        </is>
      </c>
      <c r="B10" s="22" t="n">
        <v>50</v>
      </c>
      <c r="C10" s="8" t="n">
        <v>40</v>
      </c>
      <c r="D10" s="8">
        <f>TEXT(C10/B10,"0%")</f>
        <v/>
      </c>
      <c r="E10" s="22" t="n">
        <v>3400</v>
      </c>
    </row>
    <row r="11">
      <c r="A11" s="10" t="inlineStr">
        <is>
          <t>Jan 15-19, 2033</t>
        </is>
      </c>
      <c r="B11" s="23" t="n">
        <v>32</v>
      </c>
      <c r="C11" s="10" t="n">
        <v>25.6</v>
      </c>
      <c r="D11" s="10">
        <f>TEXT(C11/B11,"0%")</f>
        <v/>
      </c>
      <c r="E11" s="23" t="n">
        <v>2176</v>
      </c>
    </row>
    <row r="12">
      <c r="A12" s="8" t="inlineStr">
        <is>
          <t>Jan 15-19, 2034</t>
        </is>
      </c>
      <c r="B12" s="22" t="n">
        <v>44</v>
      </c>
      <c r="C12" s="8" t="n">
        <v>35.2</v>
      </c>
      <c r="D12" s="8">
        <f>TEXT(C12/B12,"0%")</f>
        <v/>
      </c>
      <c r="E12" s="22" t="n">
        <v>2992</v>
      </c>
    </row>
    <row r="13">
      <c r="A13" s="10" t="inlineStr">
        <is>
          <t>Jan 15-19, 2035</t>
        </is>
      </c>
      <c r="B13" s="23" t="n">
        <v>30</v>
      </c>
      <c r="C13" s="10" t="n">
        <v>24</v>
      </c>
      <c r="D13" s="10">
        <f>TEXT(C13/B13,"0%")</f>
        <v/>
      </c>
      <c r="E13" s="23" t="n">
        <v>2040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Project</t>
        </is>
      </c>
      <c r="B1" s="6" t="inlineStr">
        <is>
          <t>Client</t>
        </is>
      </c>
      <c r="C1" s="6" t="inlineStr">
        <is>
          <t>Hours Logged</t>
        </is>
      </c>
      <c r="D1" s="6" t="inlineStr">
        <is>
          <t>Revenue $</t>
        </is>
      </c>
      <c r="E1" s="6" t="inlineStr">
        <is>
          <t>Budget $</t>
        </is>
      </c>
      <c r="F1" s="6" t="inlineStr">
        <is>
          <t>Remaining $</t>
        </is>
      </c>
    </row>
    <row r="2">
      <c r="A2" s="8" t="inlineStr">
        <is>
          <t>Kickoff meeting</t>
        </is>
      </c>
      <c r="B2" s="8" t="inlineStr">
        <is>
          <t>Alex Martin</t>
        </is>
      </c>
      <c r="C2" s="8" t="n">
        <v>24</v>
      </c>
      <c r="D2" s="22" t="n">
        <v>2040</v>
      </c>
      <c r="E2" s="22" t="n">
        <v>3000</v>
      </c>
      <c r="F2" s="8">
        <f>E2-D2</f>
        <v/>
      </c>
    </row>
    <row r="3">
      <c r="A3" s="10" t="inlineStr">
        <is>
          <t>Send proposal</t>
        </is>
      </c>
      <c r="B3" s="10" t="inlineStr">
        <is>
          <t>Sara Lopez</t>
        </is>
      </c>
      <c r="C3" s="10" t="n">
        <v>16.8</v>
      </c>
      <c r="D3" s="23" t="n">
        <v>1428</v>
      </c>
      <c r="E3" s="23" t="n">
        <v>2100</v>
      </c>
      <c r="F3" s="10">
        <f>E3-D3</f>
        <v/>
      </c>
    </row>
    <row r="4">
      <c r="A4" s="8" t="inlineStr">
        <is>
          <t>Review feedback</t>
        </is>
      </c>
      <c r="B4" s="8" t="inlineStr">
        <is>
          <t>Omar Haddad</t>
        </is>
      </c>
      <c r="C4" s="8" t="n">
        <v>31.2</v>
      </c>
      <c r="D4" s="22" t="n">
        <v>2652</v>
      </c>
      <c r="E4" s="22" t="n">
        <v>3900</v>
      </c>
      <c r="F4" s="8">
        <f>E4-D4</f>
        <v/>
      </c>
    </row>
    <row r="5">
      <c r="A5" s="10" t="inlineStr">
        <is>
          <t>Update website copy</t>
        </is>
      </c>
      <c r="B5" s="10" t="inlineStr">
        <is>
          <t>Emma Fischer</t>
        </is>
      </c>
      <c r="C5" s="10" t="n">
        <v>20.4</v>
      </c>
      <c r="D5" s="23" t="n">
        <v>1734</v>
      </c>
      <c r="E5" s="23" t="n">
        <v>2550</v>
      </c>
      <c r="F5" s="10">
        <f>E5-D5</f>
        <v/>
      </c>
    </row>
    <row r="6">
      <c r="A6" s="8" t="inlineStr">
        <is>
          <t>Prepare invoice</t>
        </is>
      </c>
      <c r="B6" s="8" t="inlineStr">
        <is>
          <t>Liam Carter</t>
        </is>
      </c>
      <c r="C6" s="8" t="n">
        <v>27.6</v>
      </c>
      <c r="D6" s="22" t="n">
        <v>2346</v>
      </c>
      <c r="E6" s="22" t="n">
        <v>3450</v>
      </c>
      <c r="F6" s="8">
        <f>E6-D6</f>
        <v/>
      </c>
    </row>
    <row r="7">
      <c r="A7" s="10" t="inlineStr">
        <is>
          <t>Client call</t>
        </is>
      </c>
      <c r="B7" s="10" t="inlineStr">
        <is>
          <t>Nadia Rahali</t>
        </is>
      </c>
      <c r="C7" s="10" t="n">
        <v>14.4</v>
      </c>
      <c r="D7" s="23" t="n">
        <v>1224</v>
      </c>
      <c r="E7" s="23" t="n">
        <v>1800</v>
      </c>
      <c r="F7" s="10">
        <f>E7-D7</f>
        <v/>
      </c>
    </row>
    <row r="8">
      <c r="A8" s="8" t="inlineStr">
        <is>
          <t>Design first draft</t>
        </is>
      </c>
      <c r="B8" s="8" t="inlineStr">
        <is>
          <t>Tom Becker</t>
        </is>
      </c>
      <c r="C8" s="8" t="n">
        <v>34.8</v>
      </c>
      <c r="D8" s="22" t="n">
        <v>2958</v>
      </c>
      <c r="E8" s="22" t="n">
        <v>4350</v>
      </c>
      <c r="F8" s="8">
        <f>E8-D8</f>
        <v/>
      </c>
    </row>
    <row r="9">
      <c r="A9" s="10" t="inlineStr">
        <is>
          <t>Fix reported bug</t>
        </is>
      </c>
      <c r="B9" s="10" t="inlineStr">
        <is>
          <t>Julia Romero</t>
        </is>
      </c>
      <c r="C9" s="10" t="n">
        <v>22.8</v>
      </c>
      <c r="D9" s="23" t="n">
        <v>1938</v>
      </c>
      <c r="E9" s="23" t="n">
        <v>2850</v>
      </c>
      <c r="F9" s="10">
        <f>E9-D9</f>
        <v/>
      </c>
    </row>
    <row r="10">
      <c r="A10" s="8" t="inlineStr">
        <is>
          <t>Weekly report</t>
        </is>
      </c>
      <c r="B10" s="8" t="inlineStr">
        <is>
          <t>Karim Ziani</t>
        </is>
      </c>
      <c r="C10" s="8" t="n">
        <v>30</v>
      </c>
      <c r="D10" s="22" t="n">
        <v>2550</v>
      </c>
      <c r="E10" s="22" t="n">
        <v>3750</v>
      </c>
      <c r="F10" s="8">
        <f>E10-D10</f>
        <v/>
      </c>
    </row>
    <row r="11">
      <c r="A11" s="10" t="inlineStr">
        <is>
          <t>Plan next sprint</t>
        </is>
      </c>
      <c r="B11" s="10" t="inlineStr">
        <is>
          <t>Anna Kowalska</t>
        </is>
      </c>
      <c r="C11" s="10" t="n">
        <v>19.2</v>
      </c>
      <c r="D11" s="23" t="n">
        <v>1632</v>
      </c>
      <c r="E11" s="23" t="n">
        <v>2400</v>
      </c>
      <c r="F11" s="10">
        <f>E11-D11</f>
        <v/>
      </c>
    </row>
    <row r="12">
      <c r="A12" s="8" t="inlineStr">
        <is>
          <t>Publish blog post</t>
        </is>
      </c>
      <c r="B12" s="8" t="inlineStr">
        <is>
          <t>David Chen</t>
        </is>
      </c>
      <c r="C12" s="8" t="n">
        <v>26.4</v>
      </c>
      <c r="D12" s="22" t="n">
        <v>2244</v>
      </c>
      <c r="E12" s="22" t="n">
        <v>3300</v>
      </c>
      <c r="F12" s="8">
        <f>E12-D12</f>
        <v/>
      </c>
    </row>
    <row r="13">
      <c r="A13" s="10" t="inlineStr">
        <is>
          <t>Team sync</t>
        </is>
      </c>
      <c r="B13" s="10" t="inlineStr">
        <is>
          <t>Lea Moreau</t>
        </is>
      </c>
      <c r="C13" s="10" t="n">
        <v>18</v>
      </c>
      <c r="D13" s="23" t="n">
        <v>1530</v>
      </c>
      <c r="E13" s="23" t="n">
        <v>2250</v>
      </c>
      <c r="F13" s="10">
        <f>E13-D13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</cols>
  <sheetData>
    <row r="2">
      <c r="B2" s="24" t="inlineStr">
        <is>
          <t>📈  ANNUAL REPORT</t>
        </is>
      </c>
    </row>
    <row r="4">
      <c r="B4" s="3" t="inlineStr">
        <is>
          <t>Annual Time Summary</t>
        </is>
      </c>
    </row>
    <row r="5">
      <c r="B5" s="10" t="inlineStr">
        <is>
          <t>Total Hours</t>
        </is>
      </c>
      <c r="C5" s="25">
        <f>SUM(Timesheet!D:D)</f>
        <v/>
      </c>
    </row>
    <row r="6">
      <c r="B6" s="8" t="inlineStr">
        <is>
          <t>Billable Hours</t>
        </is>
      </c>
      <c r="C6" s="26">
        <f>SUMIF(Timesheet!E:E,"Billable",Timesheet!D:D)</f>
        <v/>
      </c>
    </row>
    <row r="7">
      <c r="B7" s="10" t="inlineStr">
        <is>
          <t>Total Revenue</t>
        </is>
      </c>
      <c r="C7" s="25">
        <f>SUMPRODUCT((Timesheet!E:E="Billable")*Timesheet!D:D*Timesheet!F:F)</f>
        <v/>
      </c>
    </row>
  </sheetData>
  <mergeCells count="2">
    <mergeCell ref="B4:C4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2026-07-16T21:44:39Z</dcterms:created>
  <dcterms:modified xsi:type="dcterms:W3CDTF">2026-07-16T21:44:39Z</dcterms:modified>
</cp:coreProperties>
</file>