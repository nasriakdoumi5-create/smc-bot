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tudents" sheetId="2" state="visible" r:id="rId2"/>
    <sheet name="Dashboard" sheetId="3" state="visible" r:id="rId3"/>
    <sheet name="Grades" sheetId="4" state="visible" r:id="rId4"/>
    <sheet name="Attendance" sheetId="5" state="visible" r:id="rId5"/>
    <sheet name="Parent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450A0A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DC2626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450A0A"/>
      </patternFill>
    </fill>
    <fill>
      <patternFill patternType="solid">
        <fgColor rgb="00FFF7F0"/>
      </patternFill>
    </fill>
    <fill>
      <patternFill patternType="solid">
        <fgColor rgb="00DC2626"/>
      </patternFill>
    </fill>
    <fill>
      <patternFill patternType="solid">
        <fgColor rgb="0015803D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🍎  TEACHER GRADE BOOK &amp; CLASS MANAGER</t>
        </is>
      </c>
    </row>
    <row r="3"/>
    <row r="4">
      <c r="B4" s="2" t="inlineStr">
        <is>
          <t>Student Grades, Attendance &amp; Parent Notes Google Sheets</t>
        </is>
      </c>
    </row>
    <row r="6">
      <c r="B6" s="3" t="inlineStr">
        <is>
          <t>STEP 1 — Fill in “Students”</t>
        </is>
      </c>
    </row>
    <row r="7" ht="28" customHeight="1">
      <c r="B7" s="4" t="inlineStr">
        <is>
          <t>Student roster with contact info and special notes.</t>
        </is>
      </c>
    </row>
    <row r="9">
      <c r="B9" s="3" t="inlineStr">
        <is>
          <t>STEP 2 — Fill in “Grades”</t>
        </is>
      </c>
    </row>
    <row r="10" ht="28" customHeight="1">
      <c r="B10" s="4" t="inlineStr">
        <is>
          <t>Grade book: assignment scores with weighted averages.</t>
        </is>
      </c>
    </row>
    <row r="12">
      <c r="B12" s="3" t="inlineStr">
        <is>
          <t>STEP 3 — Fill in “Attendance”</t>
        </is>
      </c>
    </row>
    <row r="13" ht="28" customHeight="1">
      <c r="B13" s="4" t="inlineStr">
        <is>
          <t>Daily attendance tracking with absent and late counts.</t>
        </is>
      </c>
    </row>
    <row r="15">
      <c r="B15" s="3" t="inlineStr">
        <is>
          <t>STEP 4 — Fill in “Parent Notes”</t>
        </is>
      </c>
    </row>
    <row r="16" ht="28" customHeight="1">
      <c r="B16" s="4" t="inlineStr">
        <is>
          <t>Log of all parent communications and meetings.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18" customWidth="1" min="4" max="4"/>
    <col width="30" customWidth="1" min="5" max="5"/>
  </cols>
  <sheetData>
    <row r="1">
      <c r="A1" s="6" t="inlineStr">
        <is>
          <t>Student Name</t>
        </is>
      </c>
      <c r="B1" s="6" t="inlineStr">
        <is>
          <t>ID</t>
        </is>
      </c>
      <c r="C1" s="6" t="inlineStr">
        <is>
          <t>Parent Email</t>
        </is>
      </c>
      <c r="D1" s="6" t="inlineStr">
        <is>
          <t>Parent Phone</t>
        </is>
      </c>
      <c r="E1" s="6" t="inlineStr">
        <is>
          <t>Notes</t>
        </is>
      </c>
    </row>
    <row r="2">
      <c r="A2" s="7" t="inlineStr">
        <is>
          <t>Alex Martin</t>
        </is>
      </c>
      <c r="B2" s="7" t="inlineStr">
        <is>
          <t>S001</t>
        </is>
      </c>
      <c r="C2" s="7" t="inlineStr">
        <is>
          <t>alex@mail.com</t>
        </is>
      </c>
      <c r="D2" s="7" t="inlineStr">
        <is>
          <t>+1 555 234 5678</t>
        </is>
      </c>
      <c r="E2" s="7" t="inlineStr"/>
    </row>
    <row r="3">
      <c r="A3" s="8" t="inlineStr">
        <is>
          <t>Sara Lopez</t>
        </is>
      </c>
      <c r="B3" s="8" t="inlineStr">
        <is>
          <t>S002</t>
        </is>
      </c>
      <c r="C3" s="8" t="inlineStr">
        <is>
          <t>sara@mail.com</t>
        </is>
      </c>
      <c r="D3" s="8" t="inlineStr">
        <is>
          <t>+1 555 234 5679</t>
        </is>
      </c>
      <c r="E3" s="8" t="inlineStr">
        <is>
          <t>Paid</t>
        </is>
      </c>
    </row>
    <row r="4">
      <c r="A4" s="7" t="inlineStr">
        <is>
          <t>Omar Haddad</t>
        </is>
      </c>
      <c r="B4" s="7" t="inlineStr">
        <is>
          <t>S003</t>
        </is>
      </c>
      <c r="C4" s="7" t="inlineStr">
        <is>
          <t>omar@mail.com</t>
        </is>
      </c>
      <c r="D4" s="7" t="inlineStr">
        <is>
          <t>+1 555 234 5680</t>
        </is>
      </c>
      <c r="E4" s="7" t="inlineStr">
        <is>
          <t>Urgent</t>
        </is>
      </c>
    </row>
    <row r="5">
      <c r="A5" s="8" t="inlineStr">
        <is>
          <t>Emma Fischer</t>
        </is>
      </c>
      <c r="B5" s="8" t="inlineStr">
        <is>
          <t>S004</t>
        </is>
      </c>
      <c r="C5" s="8" t="inlineStr">
        <is>
          <t>emma@mail.com</t>
        </is>
      </c>
      <c r="D5" s="8" t="inlineStr">
        <is>
          <t>+1 555 234 5681</t>
        </is>
      </c>
      <c r="E5" s="8" t="inlineStr">
        <is>
          <t>Follow up Friday</t>
        </is>
      </c>
    </row>
    <row r="6">
      <c r="A6" s="7" t="inlineStr">
        <is>
          <t>Liam Carter</t>
        </is>
      </c>
      <c r="B6" s="7" t="inlineStr">
        <is>
          <t>S005</t>
        </is>
      </c>
      <c r="C6" s="7" t="inlineStr">
        <is>
          <t>liam@mail.com</t>
        </is>
      </c>
      <c r="D6" s="7" t="inlineStr">
        <is>
          <t>+1 555 234 5682</t>
        </is>
      </c>
      <c r="E6" s="7" t="inlineStr"/>
    </row>
    <row r="7">
      <c r="A7" s="8" t="inlineStr">
        <is>
          <t>Nadia Rahali</t>
        </is>
      </c>
      <c r="B7" s="8" t="inlineStr">
        <is>
          <t>S006</t>
        </is>
      </c>
      <c r="C7" s="8" t="inlineStr">
        <is>
          <t>nadia@mail.com</t>
        </is>
      </c>
      <c r="D7" s="8" t="inlineStr">
        <is>
          <t>+1 555 234 5683</t>
        </is>
      </c>
      <c r="E7" s="8" t="inlineStr">
        <is>
          <t>Monthly</t>
        </is>
      </c>
    </row>
    <row r="8">
      <c r="A8" s="7" t="inlineStr">
        <is>
          <t>Tom Becker</t>
        </is>
      </c>
      <c r="B8" s="7" t="inlineStr">
        <is>
          <t>S007</t>
        </is>
      </c>
      <c r="C8" s="7" t="inlineStr">
        <is>
          <t>tom@mail.com</t>
        </is>
      </c>
      <c r="D8" s="7" t="inlineStr">
        <is>
          <t>+1 555 234 5684</t>
        </is>
      </c>
      <c r="E8" s="7" t="inlineStr">
        <is>
          <t>Confirmed</t>
        </is>
      </c>
    </row>
    <row r="9">
      <c r="A9" s="8" t="inlineStr">
        <is>
          <t>Julia Romero</t>
        </is>
      </c>
      <c r="B9" s="8" t="inlineStr">
        <is>
          <t>S008</t>
        </is>
      </c>
      <c r="C9" s="8" t="inlineStr">
        <is>
          <t>julia@mail.com</t>
        </is>
      </c>
      <c r="D9" s="8" t="inlineStr">
        <is>
          <t>+1 555 234 5685</t>
        </is>
      </c>
      <c r="E9" s="8" t="inlineStr"/>
    </row>
    <row r="10">
      <c r="A10" s="7" t="inlineStr">
        <is>
          <t>Karim Ziani</t>
        </is>
      </c>
      <c r="B10" s="7" t="inlineStr">
        <is>
          <t>S009</t>
        </is>
      </c>
      <c r="C10" s="7" t="inlineStr">
        <is>
          <t>karim@mail.com</t>
        </is>
      </c>
      <c r="D10" s="7" t="inlineStr">
        <is>
          <t>+1 555 234 5686</t>
        </is>
      </c>
      <c r="E10" s="7" t="inlineStr">
        <is>
          <t>Waiting reply</t>
        </is>
      </c>
    </row>
    <row r="11">
      <c r="A11" s="8" t="inlineStr">
        <is>
          <t>Anna Kowalska</t>
        </is>
      </c>
      <c r="B11" s="8" t="inlineStr">
        <is>
          <t>S010</t>
        </is>
      </c>
      <c r="C11" s="8" t="inlineStr">
        <is>
          <t>anna@mail.com</t>
        </is>
      </c>
      <c r="D11" s="8" t="inlineStr">
        <is>
          <t>+1 555 234 5687</t>
        </is>
      </c>
      <c r="E11" s="8" t="inlineStr">
        <is>
          <t>Done early</t>
        </is>
      </c>
    </row>
    <row r="12">
      <c r="A12" s="7" t="inlineStr">
        <is>
          <t>David Chen</t>
        </is>
      </c>
      <c r="B12" s="7" t="inlineStr">
        <is>
          <t>S011</t>
        </is>
      </c>
      <c r="C12" s="7" t="inlineStr">
        <is>
          <t>david@mail.com</t>
        </is>
      </c>
      <c r="D12" s="7" t="inlineStr">
        <is>
          <t>+1 555 234 5688</t>
        </is>
      </c>
      <c r="E12" s="7" t="inlineStr"/>
    </row>
    <row r="13">
      <c r="A13" s="8" t="inlineStr">
        <is>
          <t>Lea Moreau</t>
        </is>
      </c>
      <c r="B13" s="8" t="inlineStr">
        <is>
          <t>S012</t>
        </is>
      </c>
      <c r="C13" s="8" t="inlineStr">
        <is>
          <t>lea@mail.com</t>
        </is>
      </c>
      <c r="D13" s="8" t="inlineStr">
        <is>
          <t>+1 555 234 5689</t>
        </is>
      </c>
      <c r="E13" s="8" t="inlineStr">
        <is>
          <t>Recheck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TEACHER GRADE BOOK &amp; CLASS MANAGER — DASHBOARD</t>
        </is>
      </c>
    </row>
    <row r="4">
      <c r="B4" s="10" t="inlineStr">
        <is>
          <t>STUDENTS</t>
        </is>
      </c>
      <c r="D4" s="11" t="inlineStr">
        <is>
          <t>CLASS AVERAGE</t>
        </is>
      </c>
      <c r="F4" s="12" t="inlineStr">
        <is>
          <t>BELOW 60%</t>
        </is>
      </c>
      <c r="H4" s="13" t="inlineStr">
        <is>
          <t>PERFECT ATTENDANCE</t>
        </is>
      </c>
    </row>
    <row r="5" ht="26" customHeight="1">
      <c r="B5" s="14">
        <f>COUNTA(Students!A:A)-1</f>
        <v/>
      </c>
      <c r="D5" s="15">
        <f>AVERAGE(Grades!B:B)</f>
        <v/>
      </c>
      <c r="F5" s="16">
        <f>COUNTIF(Grades!B:B,"&lt;60")</f>
        <v/>
      </c>
      <c r="H5" s="17">
        <f>COUNTIF(Attendance!C:C,0)</f>
        <v/>
      </c>
    </row>
    <row r="8">
      <c r="B8" s="18" t="inlineStr">
        <is>
          <t>WHAT'S INSIDE</t>
        </is>
      </c>
    </row>
    <row r="9">
      <c r="B9" s="19" t="inlineStr">
        <is>
          <t>👦  Students — Student roster with contact info and special notes.</t>
        </is>
      </c>
    </row>
    <row r="10">
      <c r="B10" s="19" t="inlineStr">
        <is>
          <t>📝  Grades — Grade book: assignment scores with weighted averages.</t>
        </is>
      </c>
    </row>
    <row r="11">
      <c r="B11" s="19" t="inlineStr">
        <is>
          <t>📅  Attendance — Daily attendance tracking with absent and late counts.</t>
        </is>
      </c>
    </row>
    <row r="12">
      <c r="B12" s="19" t="inlineStr">
        <is>
          <t>📧  Parent Notes — Log of all parent communications and meetings.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Student</t>
        </is>
      </c>
      <c r="B1" s="6" t="inlineStr">
        <is>
          <t>Quiz 1</t>
        </is>
      </c>
      <c r="C1" s="6" t="inlineStr">
        <is>
          <t>Quiz 2</t>
        </is>
      </c>
      <c r="D1" s="6" t="inlineStr">
        <is>
          <t>Midterm</t>
        </is>
      </c>
      <c r="E1" s="6" t="inlineStr">
        <is>
          <t>Project</t>
        </is>
      </c>
      <c r="F1" s="6" t="inlineStr">
        <is>
          <t>Final</t>
        </is>
      </c>
      <c r="G1" s="6" t="inlineStr">
        <is>
          <t>Average</t>
        </is>
      </c>
      <c r="H1" s="6" t="inlineStr">
        <is>
          <t>Letter</t>
        </is>
      </c>
    </row>
    <row r="2">
      <c r="A2" s="7" t="inlineStr">
        <is>
          <t>Alex Martin</t>
        </is>
      </c>
      <c r="B2" s="7" t="n">
        <v>85</v>
      </c>
      <c r="C2" s="7" t="n">
        <v>92</v>
      </c>
      <c r="D2" s="7" t="n">
        <v>78</v>
      </c>
      <c r="E2" s="7" t="n">
        <v>90</v>
      </c>
      <c r="F2" s="7" t="n">
        <v>82</v>
      </c>
      <c r="G2" s="7">
        <f>AVERAGE(B2:F2)</f>
        <v/>
      </c>
      <c r="H2" s="7">
        <f>IF(G2&gt;=90,"A",IF(G2&gt;=80,"B",IF(G2&gt;=70,"C",IF(G2&gt;=60,"D","F"))))</f>
        <v/>
      </c>
    </row>
    <row r="3">
      <c r="A3" s="8" t="inlineStr">
        <is>
          <t>Sara Lopez</t>
        </is>
      </c>
      <c r="B3" s="8" t="n">
        <v>59.5</v>
      </c>
      <c r="C3" s="8" t="n">
        <v>64.40000000000001</v>
      </c>
      <c r="D3" s="8" t="n">
        <v>54.6</v>
      </c>
      <c r="E3" s="8" t="n">
        <v>63</v>
      </c>
      <c r="F3" s="8" t="n">
        <v>57.4</v>
      </c>
      <c r="G3" s="8">
        <f>AVERAGE(B3:F3)</f>
        <v/>
      </c>
      <c r="H3" s="8">
        <f>IF(G3&gt;=90,"A",IF(G3&gt;=80,"B",IF(G3&gt;=70,"C",IF(G3&gt;=60,"D","F"))))</f>
        <v/>
      </c>
    </row>
    <row r="4">
      <c r="A4" s="7" t="inlineStr">
        <is>
          <t>Omar Haddad</t>
        </is>
      </c>
      <c r="B4" s="7" t="n">
        <v>110.5</v>
      </c>
      <c r="C4" s="7" t="n">
        <v>119.6</v>
      </c>
      <c r="D4" s="7" t="n">
        <v>101.4</v>
      </c>
      <c r="E4" s="7" t="n">
        <v>117</v>
      </c>
      <c r="F4" s="7" t="n">
        <v>106.6</v>
      </c>
      <c r="G4" s="7">
        <f>AVERAGE(B4:F4)</f>
        <v/>
      </c>
      <c r="H4" s="7">
        <f>IF(G4&gt;=90,"A",IF(G4&gt;=80,"B",IF(G4&gt;=70,"C",IF(G4&gt;=60,"D","F"))))</f>
        <v/>
      </c>
    </row>
    <row r="5">
      <c r="A5" s="8" t="inlineStr">
        <is>
          <t>Emma Fischer</t>
        </is>
      </c>
      <c r="B5" s="8" t="n">
        <v>72.25</v>
      </c>
      <c r="C5" s="8" t="n">
        <v>78.2</v>
      </c>
      <c r="D5" s="8" t="n">
        <v>66.3</v>
      </c>
      <c r="E5" s="8" t="n">
        <v>76.5</v>
      </c>
      <c r="F5" s="8" t="n">
        <v>69.7</v>
      </c>
      <c r="G5" s="8">
        <f>AVERAGE(B5:F5)</f>
        <v/>
      </c>
      <c r="H5" s="8">
        <f>IF(G5&gt;=90,"A",IF(G5&gt;=80,"B",IF(G5&gt;=70,"C",IF(G5&gt;=60,"D","F"))))</f>
        <v/>
      </c>
    </row>
    <row r="6">
      <c r="A6" s="7" t="inlineStr">
        <is>
          <t>Liam Carter</t>
        </is>
      </c>
      <c r="B6" s="7" t="n">
        <v>97.75</v>
      </c>
      <c r="C6" s="7" t="n">
        <v>105.8</v>
      </c>
      <c r="D6" s="7" t="n">
        <v>89.7</v>
      </c>
      <c r="E6" s="7" t="n">
        <v>103.5</v>
      </c>
      <c r="F6" s="7" t="n">
        <v>94.3</v>
      </c>
      <c r="G6" s="7">
        <f>AVERAGE(B6:F6)</f>
        <v/>
      </c>
      <c r="H6" s="7">
        <f>IF(G6&gt;=90,"A",IF(G6&gt;=80,"B",IF(G6&gt;=70,"C",IF(G6&gt;=60,"D","F"))))</f>
        <v/>
      </c>
    </row>
    <row r="7">
      <c r="A7" s="8" t="inlineStr">
        <is>
          <t>Nadia Rahali</t>
        </is>
      </c>
      <c r="B7" s="8" t="n">
        <v>51</v>
      </c>
      <c r="C7" s="8" t="n">
        <v>55.2</v>
      </c>
      <c r="D7" s="8" t="n">
        <v>46.8</v>
      </c>
      <c r="E7" s="8" t="n">
        <v>54</v>
      </c>
      <c r="F7" s="8" t="n">
        <v>49.2</v>
      </c>
      <c r="G7" s="8">
        <f>AVERAGE(B7:F7)</f>
        <v/>
      </c>
      <c r="H7" s="8">
        <f>IF(G7&gt;=90,"A",IF(G7&gt;=80,"B",IF(G7&gt;=70,"C",IF(G7&gt;=60,"D","F"))))</f>
        <v/>
      </c>
    </row>
    <row r="8">
      <c r="A8" s="7" t="inlineStr">
        <is>
          <t>Tom Becker</t>
        </is>
      </c>
      <c r="B8" s="7" t="n">
        <v>123.25</v>
      </c>
      <c r="C8" s="7" t="n">
        <v>133.4</v>
      </c>
      <c r="D8" s="7" t="n">
        <v>113.1</v>
      </c>
      <c r="E8" s="7" t="n">
        <v>130.5</v>
      </c>
      <c r="F8" s="7" t="n">
        <v>118.9</v>
      </c>
      <c r="G8" s="7">
        <f>AVERAGE(B8:F8)</f>
        <v/>
      </c>
      <c r="H8" s="7">
        <f>IF(G8&gt;=90,"A",IF(G8&gt;=80,"B",IF(G8&gt;=70,"C",IF(G8&gt;=60,"D","F"))))</f>
        <v/>
      </c>
    </row>
    <row r="9">
      <c r="A9" s="8" t="inlineStr">
        <is>
          <t>Julia Romero</t>
        </is>
      </c>
      <c r="B9" s="8" t="n">
        <v>80.75</v>
      </c>
      <c r="C9" s="8" t="n">
        <v>87.40000000000001</v>
      </c>
      <c r="D9" s="8" t="n">
        <v>74.09999999999999</v>
      </c>
      <c r="E9" s="8" t="n">
        <v>85.5</v>
      </c>
      <c r="F9" s="8" t="n">
        <v>77.90000000000001</v>
      </c>
      <c r="G9" s="8">
        <f>AVERAGE(B9:F9)</f>
        <v/>
      </c>
      <c r="H9" s="8">
        <f>IF(G9&gt;=90,"A",IF(G9&gt;=80,"B",IF(G9&gt;=70,"C",IF(G9&gt;=60,"D","F"))))</f>
        <v/>
      </c>
    </row>
    <row r="10">
      <c r="A10" s="7" t="inlineStr">
        <is>
          <t>Karim Ziani</t>
        </is>
      </c>
      <c r="B10" s="7" t="n">
        <v>106.25</v>
      </c>
      <c r="C10" s="7" t="n">
        <v>115</v>
      </c>
      <c r="D10" s="7" t="n">
        <v>97.5</v>
      </c>
      <c r="E10" s="7" t="n">
        <v>112.5</v>
      </c>
      <c r="F10" s="7" t="n">
        <v>102.5</v>
      </c>
      <c r="G10" s="7">
        <f>AVERAGE(B10:F10)</f>
        <v/>
      </c>
      <c r="H10" s="7">
        <f>IF(G10&gt;=90,"A",IF(G10&gt;=80,"B",IF(G10&gt;=70,"C",IF(G10&gt;=60,"D","F"))))</f>
        <v/>
      </c>
    </row>
    <row r="11">
      <c r="A11" s="8" t="inlineStr">
        <is>
          <t>Anna Kowalska</t>
        </is>
      </c>
      <c r="B11" s="8" t="n">
        <v>68</v>
      </c>
      <c r="C11" s="8" t="n">
        <v>73.59999999999999</v>
      </c>
      <c r="D11" s="8" t="n">
        <v>62.4</v>
      </c>
      <c r="E11" s="8" t="n">
        <v>72</v>
      </c>
      <c r="F11" s="8" t="n">
        <v>65.59999999999999</v>
      </c>
      <c r="G11" s="8">
        <f>AVERAGE(B11:F11)</f>
        <v/>
      </c>
      <c r="H11" s="8">
        <f>IF(G11&gt;=90,"A",IF(G11&gt;=80,"B",IF(G11&gt;=70,"C",IF(G11&gt;=60,"D","F"))))</f>
        <v/>
      </c>
    </row>
    <row r="12">
      <c r="A12" s="7" t="inlineStr">
        <is>
          <t>David Chen</t>
        </is>
      </c>
      <c r="B12" s="7" t="n">
        <v>93.5</v>
      </c>
      <c r="C12" s="7" t="n">
        <v>101.2</v>
      </c>
      <c r="D12" s="7" t="n">
        <v>85.8</v>
      </c>
      <c r="E12" s="7" t="n">
        <v>99</v>
      </c>
      <c r="F12" s="7" t="n">
        <v>90.2</v>
      </c>
      <c r="G12" s="7">
        <f>AVERAGE(B12:F12)</f>
        <v/>
      </c>
      <c r="H12" s="7">
        <f>IF(G12&gt;=90,"A",IF(G12&gt;=80,"B",IF(G12&gt;=70,"C",IF(G12&gt;=60,"D","F"))))</f>
        <v/>
      </c>
    </row>
    <row r="13">
      <c r="A13" s="8" t="inlineStr">
        <is>
          <t>Lea Moreau</t>
        </is>
      </c>
      <c r="B13" s="8" t="n">
        <v>63.75</v>
      </c>
      <c r="C13" s="8" t="n">
        <v>69</v>
      </c>
      <c r="D13" s="8" t="n">
        <v>58.5</v>
      </c>
      <c r="E13" s="8" t="n">
        <v>67.5</v>
      </c>
      <c r="F13" s="8" t="n">
        <v>61.5</v>
      </c>
      <c r="G13" s="8">
        <f>AVERAGE(B13:F13)</f>
        <v/>
      </c>
      <c r="H13" s="8">
        <f>IF(G13&gt;=90,"A",IF(G13&gt;=80,"B",IF(G13&gt;=70,"C",IF(G13&gt;=60,"D","F"))))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6" customWidth="1" min="5" max="5"/>
  </cols>
  <sheetData>
    <row r="1">
      <c r="A1" s="6" t="inlineStr">
        <is>
          <t>Student</t>
        </is>
      </c>
      <c r="B1" s="6" t="inlineStr">
        <is>
          <t>Total Days</t>
        </is>
      </c>
      <c r="C1" s="6" t="inlineStr">
        <is>
          <t>Absences</t>
        </is>
      </c>
      <c r="D1" s="6" t="inlineStr">
        <is>
          <t>Lates</t>
        </is>
      </c>
      <c r="E1" s="6" t="inlineStr">
        <is>
          <t>Attendance %</t>
        </is>
      </c>
    </row>
    <row r="2">
      <c r="A2" s="7" t="inlineStr">
        <is>
          <t>Alex Martin</t>
        </is>
      </c>
      <c r="B2" s="20" t="n">
        <v>90</v>
      </c>
      <c r="C2" s="7" t="n">
        <v>2</v>
      </c>
      <c r="D2" s="7" t="n">
        <v>1</v>
      </c>
      <c r="E2" s="7">
        <f>TEXT((B2-C2)/B2,"0.0%")</f>
        <v/>
      </c>
    </row>
    <row r="3">
      <c r="A3" s="8" t="inlineStr">
        <is>
          <t>Sara Lopez</t>
        </is>
      </c>
      <c r="B3" s="21" t="n">
        <v>63</v>
      </c>
      <c r="C3" s="8" t="n">
        <v>1.4</v>
      </c>
      <c r="D3" s="8" t="n">
        <v>0.7</v>
      </c>
      <c r="E3" s="8">
        <f>TEXT((B3-C3)/B3,"0.0%")</f>
        <v/>
      </c>
    </row>
    <row r="4">
      <c r="A4" s="7" t="inlineStr">
        <is>
          <t>Omar Haddad</t>
        </is>
      </c>
      <c r="B4" s="20" t="n">
        <v>117</v>
      </c>
      <c r="C4" s="7" t="n">
        <v>2.6</v>
      </c>
      <c r="D4" s="7" t="n">
        <v>1.3</v>
      </c>
      <c r="E4" s="7">
        <f>TEXT((B4-C4)/B4,"0.0%")</f>
        <v/>
      </c>
    </row>
    <row r="5">
      <c r="A5" s="8" t="inlineStr">
        <is>
          <t>Emma Fischer</t>
        </is>
      </c>
      <c r="B5" s="21" t="n">
        <v>76.5</v>
      </c>
      <c r="C5" s="8" t="n">
        <v>1.7</v>
      </c>
      <c r="D5" s="8" t="n">
        <v>0.85</v>
      </c>
      <c r="E5" s="8">
        <f>TEXT((B5-C5)/B5,"0.0%")</f>
        <v/>
      </c>
    </row>
    <row r="6">
      <c r="A6" s="7" t="inlineStr">
        <is>
          <t>Liam Carter</t>
        </is>
      </c>
      <c r="B6" s="20" t="n">
        <v>103.5</v>
      </c>
      <c r="C6" s="7" t="n">
        <v>2.3</v>
      </c>
      <c r="D6" s="7" t="n">
        <v>1.15</v>
      </c>
      <c r="E6" s="7">
        <f>TEXT((B6-C6)/B6,"0.0%")</f>
        <v/>
      </c>
    </row>
    <row r="7">
      <c r="A7" s="8" t="inlineStr">
        <is>
          <t>Nadia Rahali</t>
        </is>
      </c>
      <c r="B7" s="21" t="n">
        <v>54</v>
      </c>
      <c r="C7" s="8" t="n">
        <v>1.2</v>
      </c>
      <c r="D7" s="8" t="n">
        <v>0.6</v>
      </c>
      <c r="E7" s="8">
        <f>TEXT((B7-C7)/B7,"0.0%")</f>
        <v/>
      </c>
    </row>
    <row r="8">
      <c r="A8" s="7" t="inlineStr">
        <is>
          <t>Tom Becker</t>
        </is>
      </c>
      <c r="B8" s="20" t="n">
        <v>130.5</v>
      </c>
      <c r="C8" s="7" t="n">
        <v>2.9</v>
      </c>
      <c r="D8" s="7" t="n">
        <v>1.45</v>
      </c>
      <c r="E8" s="7">
        <f>TEXT((B8-C8)/B8,"0.0%")</f>
        <v/>
      </c>
    </row>
    <row r="9">
      <c r="A9" s="8" t="inlineStr">
        <is>
          <t>Julia Romero</t>
        </is>
      </c>
      <c r="B9" s="21" t="n">
        <v>85.5</v>
      </c>
      <c r="C9" s="8" t="n">
        <v>1.9</v>
      </c>
      <c r="D9" s="8" t="n">
        <v>0.95</v>
      </c>
      <c r="E9" s="8">
        <f>TEXT((B9-C9)/B9,"0.0%")</f>
        <v/>
      </c>
    </row>
    <row r="10">
      <c r="A10" s="7" t="inlineStr">
        <is>
          <t>Karim Ziani</t>
        </is>
      </c>
      <c r="B10" s="20" t="n">
        <v>112.5</v>
      </c>
      <c r="C10" s="7" t="n">
        <v>2.5</v>
      </c>
      <c r="D10" s="7" t="n">
        <v>1.25</v>
      </c>
      <c r="E10" s="7">
        <f>TEXT((B10-C10)/B10,"0.0%")</f>
        <v/>
      </c>
    </row>
    <row r="11">
      <c r="A11" s="8" t="inlineStr">
        <is>
          <t>Anna Kowalska</t>
        </is>
      </c>
      <c r="B11" s="21" t="n">
        <v>72</v>
      </c>
      <c r="C11" s="8" t="n">
        <v>1.6</v>
      </c>
      <c r="D11" s="8" t="n">
        <v>0.8</v>
      </c>
      <c r="E11" s="8">
        <f>TEXT((B11-C11)/B11,"0.0%")</f>
        <v/>
      </c>
    </row>
    <row r="12">
      <c r="A12" s="7" t="inlineStr">
        <is>
          <t>David Chen</t>
        </is>
      </c>
      <c r="B12" s="20" t="n">
        <v>99</v>
      </c>
      <c r="C12" s="7" t="n">
        <v>2.2</v>
      </c>
      <c r="D12" s="7" t="n">
        <v>1.1</v>
      </c>
      <c r="E12" s="7">
        <f>TEXT((B12-C12)/B12,"0.0%")</f>
        <v/>
      </c>
    </row>
    <row r="13">
      <c r="A13" s="8" t="inlineStr">
        <is>
          <t>Lea Moreau</t>
        </is>
      </c>
      <c r="B13" s="21" t="n">
        <v>67.5</v>
      </c>
      <c r="C13" s="8" t="n">
        <v>1.5</v>
      </c>
      <c r="D13" s="8" t="n">
        <v>0.75</v>
      </c>
      <c r="E13" s="8">
        <f>TEXT((B13-C13)/B13,"0.0%")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2" customWidth="1" min="4" max="4"/>
    <col width="40" customWidth="1" min="5" max="5"/>
  </cols>
  <sheetData>
    <row r="1">
      <c r="A1" s="6" t="inlineStr">
        <is>
          <t>Date</t>
        </is>
      </c>
      <c r="B1" s="6" t="inlineStr">
        <is>
          <t>Student</t>
        </is>
      </c>
      <c r="C1" s="6" t="inlineStr">
        <is>
          <t>Contact Method</t>
        </is>
      </c>
      <c r="D1" s="6" t="inlineStr">
        <is>
          <t>Topic</t>
        </is>
      </c>
      <c r="E1" s="6" t="inlineStr">
        <is>
          <t>Notes</t>
        </is>
      </c>
    </row>
    <row r="2">
      <c r="A2" s="22" t="n">
        <v>46174</v>
      </c>
      <c r="B2" s="7" t="inlineStr">
        <is>
          <t>Alex Martin</t>
        </is>
      </c>
      <c r="C2" s="7" t="inlineStr">
        <is>
          <t>Email</t>
        </is>
      </c>
      <c r="D2" s="7" t="inlineStr">
        <is>
          <t>Grade Concern</t>
        </is>
      </c>
      <c r="E2" s="7" t="inlineStr"/>
    </row>
    <row r="3">
      <c r="A3" s="23" t="n">
        <v>46180</v>
      </c>
      <c r="B3" s="8" t="inlineStr">
        <is>
          <t>Sara Lopez</t>
        </is>
      </c>
      <c r="C3" s="8" t="inlineStr">
        <is>
          <t>Phone</t>
        </is>
      </c>
      <c r="D3" s="8" t="inlineStr">
        <is>
          <t>Behavior</t>
        </is>
      </c>
      <c r="E3" s="8" t="inlineStr">
        <is>
          <t>Paid</t>
        </is>
      </c>
    </row>
    <row r="4">
      <c r="A4" s="22" t="n">
        <v>46186</v>
      </c>
      <c r="B4" s="7" t="inlineStr">
        <is>
          <t>Omar Haddad</t>
        </is>
      </c>
      <c r="C4" s="7" t="inlineStr">
        <is>
          <t>Meeting</t>
        </is>
      </c>
      <c r="D4" s="7" t="inlineStr">
        <is>
          <t>Attendance</t>
        </is>
      </c>
      <c r="E4" s="7" t="inlineStr">
        <is>
          <t>Urgent</t>
        </is>
      </c>
    </row>
    <row r="5">
      <c r="A5" s="23" t="n">
        <v>46189</v>
      </c>
      <c r="B5" s="8" t="inlineStr">
        <is>
          <t>Emma Fischer</t>
        </is>
      </c>
      <c r="C5" s="8" t="inlineStr">
        <is>
          <t>Note Sent</t>
        </is>
      </c>
      <c r="D5" s="8" t="inlineStr">
        <is>
          <t>Praise</t>
        </is>
      </c>
      <c r="E5" s="8" t="inlineStr">
        <is>
          <t>Follow up Friday</t>
        </is>
      </c>
    </row>
    <row r="6">
      <c r="A6" s="22" t="n">
        <v>46195</v>
      </c>
      <c r="B6" s="7" t="inlineStr">
        <is>
          <t>Liam Carter</t>
        </is>
      </c>
      <c r="C6" s="7" t="inlineStr">
        <is>
          <t>Email</t>
        </is>
      </c>
      <c r="D6" s="7" t="inlineStr">
        <is>
          <t>IEP</t>
        </is>
      </c>
      <c r="E6" s="7" t="inlineStr"/>
    </row>
    <row r="7">
      <c r="A7" s="23" t="n">
        <v>46201</v>
      </c>
      <c r="B7" s="8" t="inlineStr">
        <is>
          <t>Nadia Rahali</t>
        </is>
      </c>
      <c r="C7" s="8" t="inlineStr">
        <is>
          <t>Phone</t>
        </is>
      </c>
      <c r="D7" s="8" t="inlineStr">
        <is>
          <t>Other</t>
        </is>
      </c>
      <c r="E7" s="8" t="inlineStr">
        <is>
          <t>Monthly</t>
        </is>
      </c>
    </row>
    <row r="8">
      <c r="A8" s="22" t="n">
        <v>46176</v>
      </c>
      <c r="B8" s="7" t="inlineStr">
        <is>
          <t>Tom Becker</t>
        </is>
      </c>
      <c r="C8" s="7" t="inlineStr">
        <is>
          <t>Meeting</t>
        </is>
      </c>
      <c r="D8" s="7" t="inlineStr">
        <is>
          <t>Grade Concern</t>
        </is>
      </c>
      <c r="E8" s="7" t="inlineStr">
        <is>
          <t>Confirmed</t>
        </is>
      </c>
    </row>
    <row r="9">
      <c r="A9" s="23" t="n">
        <v>46182</v>
      </c>
      <c r="B9" s="8" t="inlineStr">
        <is>
          <t>Julia Romero</t>
        </is>
      </c>
      <c r="C9" s="8" t="inlineStr">
        <is>
          <t>Note Sent</t>
        </is>
      </c>
      <c r="D9" s="8" t="inlineStr">
        <is>
          <t>Behavior</t>
        </is>
      </c>
      <c r="E9" s="8" t="inlineStr"/>
    </row>
    <row r="10">
      <c r="A10" s="22" t="n">
        <v>46188</v>
      </c>
      <c r="B10" s="7" t="inlineStr">
        <is>
          <t>Karim Ziani</t>
        </is>
      </c>
      <c r="C10" s="7" t="inlineStr">
        <is>
          <t>Email</t>
        </is>
      </c>
      <c r="D10" s="7" t="inlineStr">
        <is>
          <t>Attendance</t>
        </is>
      </c>
      <c r="E10" s="7" t="inlineStr">
        <is>
          <t>Waiting reply</t>
        </is>
      </c>
    </row>
    <row r="11">
      <c r="A11" s="23" t="n">
        <v>46191</v>
      </c>
      <c r="B11" s="8" t="inlineStr">
        <is>
          <t>Anna Kowalska</t>
        </is>
      </c>
      <c r="C11" s="8" t="inlineStr">
        <is>
          <t>Phone</t>
        </is>
      </c>
      <c r="D11" s="8" t="inlineStr">
        <is>
          <t>Praise</t>
        </is>
      </c>
      <c r="E11" s="8" t="inlineStr">
        <is>
          <t>Done early</t>
        </is>
      </c>
    </row>
    <row r="12">
      <c r="A12" s="22" t="n">
        <v>46197</v>
      </c>
      <c r="B12" s="7" t="inlineStr">
        <is>
          <t>David Chen</t>
        </is>
      </c>
      <c r="C12" s="7" t="inlineStr">
        <is>
          <t>Meeting</t>
        </is>
      </c>
      <c r="D12" s="7" t="inlineStr">
        <is>
          <t>IEP</t>
        </is>
      </c>
      <c r="E12" s="7" t="inlineStr"/>
    </row>
    <row r="13">
      <c r="A13" s="23" t="n">
        <v>46175</v>
      </c>
      <c r="B13" s="8" t="inlineStr">
        <is>
          <t>Lea Moreau</t>
        </is>
      </c>
      <c r="C13" s="8" t="inlineStr">
        <is>
          <t>Note Sent</t>
        </is>
      </c>
      <c r="D13" s="8" t="inlineStr">
        <is>
          <t>Other</t>
        </is>
      </c>
      <c r="E13" s="8" t="inlineStr">
        <is>
          <t>Recheck</t>
        </is>
      </c>
    </row>
  </sheetData>
  <dataValidations count="2">
    <dataValidation sqref="C2:C500" showDropDown="0" showInputMessage="0" showErrorMessage="0" allowBlank="1" type="list">
      <formula1>"Email,Phone,Meeting,Note Sent"</formula1>
    </dataValidation>
    <dataValidation sqref="D2:D500" showDropDown="0" showInputMessage="0" showErrorMessage="0" allowBlank="1" type="list">
      <formula1>"Grade Concern,Behavior,Attendance,Praise,IEP,Other"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