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Holdings" sheetId="2" state="visible" r:id="rId2"/>
    <sheet name="Dashboard" sheetId="3" state="visible" r:id="rId3"/>
    <sheet name="Payment Log" sheetId="4" state="visible" r:id="rId4"/>
    <sheet name="Projection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15803D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52E16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FFF7F0"/>
      </patternFill>
    </fill>
    <fill>
      <patternFill patternType="solid">
        <fgColor rgb="0015803D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4" fontId="5" fillId="0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💵  DIVIDEND INCOME PORTFOLIO TRACKER</t>
        </is>
      </c>
    </row>
    <row r="3"/>
    <row r="4">
      <c r="B4" s="2" t="inlineStr">
        <is>
          <t>Passive Income &amp; DRIP Investment Google Sheets</t>
        </is>
      </c>
    </row>
    <row r="6">
      <c r="B6" s="3" t="inlineStr">
        <is>
          <t>STEP 1 — Fill in “Holdings”</t>
        </is>
      </c>
    </row>
    <row r="7" ht="28" customHeight="1">
      <c r="B7" s="4" t="inlineStr">
        <is>
          <t>All dividend stocks and ETFs with yield and quarterly payment.</t>
        </is>
      </c>
    </row>
    <row r="9">
      <c r="B9" s="3" t="inlineStr">
        <is>
          <t>STEP 2 — Fill in “Payment Log”</t>
        </is>
      </c>
    </row>
    <row r="10" ht="28" customHeight="1">
      <c r="B10" s="4" t="inlineStr">
        <is>
          <t>All dividend payments received by date and stock.</t>
        </is>
      </c>
    </row>
    <row r="12">
      <c r="B12" s="3" t="inlineStr">
        <is>
          <t>STEP 3 — Fill in “Projection”</t>
        </is>
      </c>
    </row>
    <row r="13" ht="28" customHeight="1">
      <c r="B13" s="4" t="inlineStr">
        <is>
          <t>Dividend income projection over 10 years with DRIP reinvestment.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4" customWidth="1" min="5" max="5"/>
    <col width="18" customWidth="1" min="6" max="6"/>
    <col width="12" customWidth="1" min="7" max="7"/>
    <col width="16" customWidth="1" min="8" max="8"/>
  </cols>
  <sheetData>
    <row r="1">
      <c r="A1" s="6" t="inlineStr">
        <is>
          <t>Ticker</t>
        </is>
      </c>
      <c r="B1" s="6" t="inlineStr">
        <is>
          <t>Company</t>
        </is>
      </c>
      <c r="C1" s="6" t="inlineStr">
        <is>
          <t>Shares</t>
        </is>
      </c>
      <c r="D1" s="6" t="inlineStr">
        <is>
          <t>Price $</t>
        </is>
      </c>
      <c r="E1" s="6" t="inlineStr">
        <is>
          <t>Value $</t>
        </is>
      </c>
      <c r="F1" s="6" t="inlineStr">
        <is>
          <t>Quarterly Div $</t>
        </is>
      </c>
      <c r="G1" s="6" t="inlineStr">
        <is>
          <t>Yield %</t>
        </is>
      </c>
      <c r="H1" s="6" t="inlineStr">
        <is>
          <t>Frequency</t>
        </is>
      </c>
    </row>
    <row r="2">
      <c r="A2" s="7" t="inlineStr">
        <is>
          <t>VYM</t>
        </is>
      </c>
      <c r="B2" s="7" t="inlineStr">
        <is>
          <t>BrightWave Studio</t>
        </is>
      </c>
      <c r="C2" s="7" t="n">
        <v>100</v>
      </c>
      <c r="D2" s="8" t="n">
        <v>110</v>
      </c>
      <c r="E2" s="7">
        <f>C2*D2</f>
        <v/>
      </c>
      <c r="F2" s="7" t="n">
        <v>75</v>
      </c>
      <c r="G2" s="7">
        <f>TEXT(F2*4/E2,"0.0%")</f>
        <v/>
      </c>
      <c r="H2" s="7" t="inlineStr">
        <is>
          <t>Quarterly</t>
        </is>
      </c>
    </row>
    <row r="3">
      <c r="A3" s="9" t="inlineStr">
        <is>
          <t>VYM</t>
        </is>
      </c>
      <c r="B3" s="9" t="inlineStr">
        <is>
          <t>GreenLeaf Co.</t>
        </is>
      </c>
      <c r="C3" s="9" t="n">
        <v>70</v>
      </c>
      <c r="D3" s="10" t="n">
        <v>77</v>
      </c>
      <c r="E3" s="9">
        <f>C3*D3</f>
        <v/>
      </c>
      <c r="F3" s="9" t="n">
        <v>52.5</v>
      </c>
      <c r="G3" s="9">
        <f>TEXT(F3*4/E3,"0.0%")</f>
        <v/>
      </c>
      <c r="H3" s="9" t="inlineStr">
        <is>
          <t>Monthly</t>
        </is>
      </c>
    </row>
    <row r="4">
      <c r="A4" s="7" t="inlineStr"/>
      <c r="B4" s="7" t="inlineStr">
        <is>
          <t>Nova Digital</t>
        </is>
      </c>
      <c r="C4" s="7" t="n">
        <v>130</v>
      </c>
      <c r="D4" s="8" t="n">
        <v>143</v>
      </c>
      <c r="E4" s="7">
        <f>C4*D4</f>
        <v/>
      </c>
      <c r="F4" s="7" t="n">
        <v>97.5</v>
      </c>
      <c r="G4" s="7">
        <f>TEXT(F4*4/E4,"0.0%")</f>
        <v/>
      </c>
      <c r="H4" s="7" t="inlineStr">
        <is>
          <t>Annual</t>
        </is>
      </c>
    </row>
    <row r="5">
      <c r="A5" s="9" t="inlineStr">
        <is>
          <t>VYM</t>
        </is>
      </c>
      <c r="B5" s="9" t="inlineStr">
        <is>
          <t>Atlas Consulting</t>
        </is>
      </c>
      <c r="C5" s="9" t="n">
        <v>85</v>
      </c>
      <c r="D5" s="10" t="n">
        <v>94</v>
      </c>
      <c r="E5" s="9">
        <f>C5*D5</f>
        <v/>
      </c>
      <c r="F5" s="9" t="n">
        <v>63.75</v>
      </c>
      <c r="G5" s="9">
        <f>TEXT(F5*4/E5,"0.0%")</f>
        <v/>
      </c>
      <c r="H5" s="9" t="inlineStr">
        <is>
          <t>Semi-Annual</t>
        </is>
      </c>
    </row>
    <row r="6">
      <c r="A6" s="7" t="inlineStr">
        <is>
          <t>VYM</t>
        </is>
      </c>
      <c r="B6" s="7" t="inlineStr">
        <is>
          <t>Pixel &amp; Co</t>
        </is>
      </c>
      <c r="C6" s="7" t="n">
        <v>115</v>
      </c>
      <c r="D6" s="8" t="n">
        <v>126</v>
      </c>
      <c r="E6" s="7">
        <f>C6*D6</f>
        <v/>
      </c>
      <c r="F6" s="7" t="n">
        <v>86.25</v>
      </c>
      <c r="G6" s="7">
        <f>TEXT(F6*4/E6,"0.0%")</f>
        <v/>
      </c>
      <c r="H6" s="7" t="inlineStr">
        <is>
          <t>Quarterly</t>
        </is>
      </c>
    </row>
    <row r="7">
      <c r="A7" s="9" t="inlineStr"/>
      <c r="B7" s="9" t="inlineStr">
        <is>
          <t>Blue Harbor Ltd</t>
        </is>
      </c>
      <c r="C7" s="9" t="n">
        <v>60</v>
      </c>
      <c r="D7" s="10" t="n">
        <v>66</v>
      </c>
      <c r="E7" s="9">
        <f>C7*D7</f>
        <v/>
      </c>
      <c r="F7" s="9" t="n">
        <v>45</v>
      </c>
      <c r="G7" s="9">
        <f>TEXT(F7*4/E7,"0.0%")</f>
        <v/>
      </c>
      <c r="H7" s="9" t="inlineStr">
        <is>
          <t>Monthly</t>
        </is>
      </c>
    </row>
    <row r="8">
      <c r="A8" s="7" t="inlineStr">
        <is>
          <t>VYM</t>
        </is>
      </c>
      <c r="B8" s="7" t="inlineStr">
        <is>
          <t>Sunrise Media</t>
        </is>
      </c>
      <c r="C8" s="7" t="n">
        <v>145</v>
      </c>
      <c r="D8" s="8" t="n">
        <v>160</v>
      </c>
      <c r="E8" s="7">
        <f>C8*D8</f>
        <v/>
      </c>
      <c r="F8" s="7" t="n">
        <v>108.75</v>
      </c>
      <c r="G8" s="7">
        <f>TEXT(F8*4/E8,"0.0%")</f>
        <v/>
      </c>
      <c r="H8" s="7" t="inlineStr">
        <is>
          <t>Annual</t>
        </is>
      </c>
    </row>
    <row r="9">
      <c r="A9" s="9" t="inlineStr">
        <is>
          <t>VYM</t>
        </is>
      </c>
      <c r="B9" s="9" t="inlineStr">
        <is>
          <t>UrbanCraft</t>
        </is>
      </c>
      <c r="C9" s="9" t="n">
        <v>95</v>
      </c>
      <c r="D9" s="10" t="n">
        <v>104</v>
      </c>
      <c r="E9" s="9">
        <f>C9*D9</f>
        <v/>
      </c>
      <c r="F9" s="9" t="n">
        <v>71.25</v>
      </c>
      <c r="G9" s="9">
        <f>TEXT(F9*4/E9,"0.0%")</f>
        <v/>
      </c>
      <c r="H9" s="9" t="inlineStr">
        <is>
          <t>Semi-Annual</t>
        </is>
      </c>
    </row>
    <row r="10">
      <c r="A10" s="7" t="inlineStr"/>
      <c r="B10" s="7" t="inlineStr">
        <is>
          <t>PrimeWorks</t>
        </is>
      </c>
      <c r="C10" s="7" t="n">
        <v>125</v>
      </c>
      <c r="D10" s="8" t="n">
        <v>138</v>
      </c>
      <c r="E10" s="7">
        <f>C10*D10</f>
        <v/>
      </c>
      <c r="F10" s="7" t="n">
        <v>93.75</v>
      </c>
      <c r="G10" s="7">
        <f>TEXT(F10*4/E10,"0.0%")</f>
        <v/>
      </c>
      <c r="H10" s="7" t="inlineStr">
        <is>
          <t>Quarterly</t>
        </is>
      </c>
    </row>
    <row r="11">
      <c r="A11" s="9" t="inlineStr">
        <is>
          <t>VYM</t>
        </is>
      </c>
      <c r="B11" s="9" t="inlineStr">
        <is>
          <t>EchoLab</t>
        </is>
      </c>
      <c r="C11" s="9" t="n">
        <v>80</v>
      </c>
      <c r="D11" s="10" t="n">
        <v>88</v>
      </c>
      <c r="E11" s="9">
        <f>C11*D11</f>
        <v/>
      </c>
      <c r="F11" s="9" t="n">
        <v>60</v>
      </c>
      <c r="G11" s="9">
        <f>TEXT(F11*4/E11,"0.0%")</f>
        <v/>
      </c>
      <c r="H11" s="9" t="inlineStr">
        <is>
          <t>Monthly</t>
        </is>
      </c>
    </row>
    <row r="12">
      <c r="A12" s="7" t="inlineStr">
        <is>
          <t>VYM</t>
        </is>
      </c>
      <c r="B12" s="7" t="inlineStr">
        <is>
          <t>Vertex Group</t>
        </is>
      </c>
      <c r="C12" s="7" t="n">
        <v>110</v>
      </c>
      <c r="D12" s="8" t="n">
        <v>121</v>
      </c>
      <c r="E12" s="7">
        <f>C12*D12</f>
        <v/>
      </c>
      <c r="F12" s="7" t="n">
        <v>82.5</v>
      </c>
      <c r="G12" s="7">
        <f>TEXT(F12*4/E12,"0.0%")</f>
        <v/>
      </c>
      <c r="H12" s="7" t="inlineStr">
        <is>
          <t>Annual</t>
        </is>
      </c>
    </row>
    <row r="13">
      <c r="A13" s="9" t="inlineStr"/>
      <c r="B13" s="9" t="inlineStr">
        <is>
          <t>ClearPath Inc</t>
        </is>
      </c>
      <c r="C13" s="9" t="n">
        <v>75</v>
      </c>
      <c r="D13" s="10" t="n">
        <v>82</v>
      </c>
      <c r="E13" s="9">
        <f>C13*D13</f>
        <v/>
      </c>
      <c r="F13" s="9" t="n">
        <v>56.25</v>
      </c>
      <c r="G13" s="9">
        <f>TEXT(F13*4/E13,"0.0%")</f>
        <v/>
      </c>
      <c r="H13" s="9" t="inlineStr">
        <is>
          <t>Semi-Annual</t>
        </is>
      </c>
    </row>
  </sheetData>
  <dataValidations count="1">
    <dataValidation sqref="H2:H500" showDropDown="0" showInputMessage="0" showErrorMessage="0" allowBlank="1" type="list">
      <formula1>"Quarterly,Monthly,Annual,Semi-Annual"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DIVIDEND INCOME PORTFOLIO TRACKER — DASHBOARD</t>
        </is>
      </c>
    </row>
    <row r="4">
      <c r="B4" s="12" t="inlineStr">
        <is>
          <t>ANNUAL DIVIDENDS</t>
        </is>
      </c>
      <c r="D4" s="13" t="inlineStr">
        <is>
          <t>MONTHLY AVG</t>
        </is>
      </c>
      <c r="F4" s="14" t="inlineStr">
        <is>
          <t>AVG YIELD</t>
        </is>
      </c>
      <c r="H4" s="15" t="inlineStr">
        <is>
          <t>TOTAL HOLDINGS</t>
        </is>
      </c>
    </row>
    <row r="5" ht="26" customHeight="1">
      <c r="B5" s="16">
        <f>SUM(Holdings!F:F)*4</f>
        <v/>
      </c>
      <c r="D5" s="17">
        <f>SUM(Holdings!F:F)*4/12</f>
        <v/>
      </c>
      <c r="F5" s="18">
        <f>AVERAGE(Holdings!G:G)</f>
        <v/>
      </c>
      <c r="H5" s="19">
        <f>COUNTA(Holdings!A:A)-1</f>
        <v/>
      </c>
    </row>
    <row r="8">
      <c r="B8" s="20" t="inlineStr">
        <is>
          <t>WHAT'S INSIDE</t>
        </is>
      </c>
    </row>
    <row r="9">
      <c r="B9" s="21" t="inlineStr">
        <is>
          <t>📊  Holdings — All dividend stocks and ETFs with yield and quarterly payment.</t>
        </is>
      </c>
    </row>
    <row r="10">
      <c r="B10" s="21" t="inlineStr">
        <is>
          <t>📅  Payment Log — All dividend payments received by date and stock.</t>
        </is>
      </c>
    </row>
    <row r="11">
      <c r="B11" s="21" t="inlineStr">
        <is>
          <t>📈  Projection — Dividend income projection over 10 years with DRIP reinvestment.</t>
        </is>
      </c>
    </row>
    <row r="12">
      <c r="B12" s="21" t="inlineStr">
        <is>
          <t>📊  Annual Report — Annual dividend income by stock and month for taxes.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Date</t>
        </is>
      </c>
      <c r="B1" s="6" t="inlineStr">
        <is>
          <t>Ticker</t>
        </is>
      </c>
      <c r="C1" s="6" t="inlineStr">
        <is>
          <t>Shares</t>
        </is>
      </c>
      <c r="D1" s="6" t="inlineStr">
        <is>
          <t>Per Share $</t>
        </is>
      </c>
      <c r="E1" s="6" t="inlineStr">
        <is>
          <t>Total $</t>
        </is>
      </c>
      <c r="F1" s="6" t="inlineStr">
        <is>
          <t>Reinvested</t>
        </is>
      </c>
    </row>
    <row r="2">
      <c r="A2" s="22" t="n">
        <v>46174</v>
      </c>
      <c r="B2" s="7" t="inlineStr">
        <is>
          <t>VYM</t>
        </is>
      </c>
      <c r="C2" s="7" t="n">
        <v>100</v>
      </c>
      <c r="D2" s="7" t="n">
        <v>0.75</v>
      </c>
      <c r="E2" s="7">
        <f>C2*D2</f>
        <v/>
      </c>
      <c r="F2" s="7" t="inlineStr">
        <is>
          <t>Yes (DRIP)</t>
        </is>
      </c>
    </row>
    <row r="3">
      <c r="A3" s="23" t="n">
        <v>46180</v>
      </c>
      <c r="B3" s="9" t="inlineStr">
        <is>
          <t>VYM</t>
        </is>
      </c>
      <c r="C3" s="9" t="n">
        <v>70</v>
      </c>
      <c r="D3" s="9" t="n">
        <v>0.52</v>
      </c>
      <c r="E3" s="9">
        <f>C3*D3</f>
        <v/>
      </c>
      <c r="F3" s="9" t="inlineStr">
        <is>
          <t>No (Cash)</t>
        </is>
      </c>
    </row>
    <row r="4">
      <c r="A4" s="22" t="n">
        <v>46186</v>
      </c>
      <c r="B4" s="7" t="inlineStr"/>
      <c r="C4" s="7" t="n">
        <v>130</v>
      </c>
      <c r="D4" s="7" t="n">
        <v>0.98</v>
      </c>
      <c r="E4" s="7">
        <f>C4*D4</f>
        <v/>
      </c>
      <c r="F4" s="7" t="inlineStr">
        <is>
          <t>Yes (DRIP)</t>
        </is>
      </c>
    </row>
    <row r="5">
      <c r="A5" s="23" t="n">
        <v>46189</v>
      </c>
      <c r="B5" s="9" t="inlineStr">
        <is>
          <t>VYM</t>
        </is>
      </c>
      <c r="C5" s="9" t="n">
        <v>85</v>
      </c>
      <c r="D5" s="9" t="n">
        <v>0.64</v>
      </c>
      <c r="E5" s="9">
        <f>C5*D5</f>
        <v/>
      </c>
      <c r="F5" s="9" t="inlineStr">
        <is>
          <t>No (Cash)</t>
        </is>
      </c>
    </row>
    <row r="6">
      <c r="A6" s="22" t="n">
        <v>46195</v>
      </c>
      <c r="B6" s="7" t="inlineStr">
        <is>
          <t>VYM</t>
        </is>
      </c>
      <c r="C6" s="7" t="n">
        <v>115</v>
      </c>
      <c r="D6" s="7" t="n">
        <v>0.86</v>
      </c>
      <c r="E6" s="7">
        <f>C6*D6</f>
        <v/>
      </c>
      <c r="F6" s="7" t="inlineStr">
        <is>
          <t>Yes (DRIP)</t>
        </is>
      </c>
    </row>
    <row r="7">
      <c r="A7" s="23" t="n">
        <v>46201</v>
      </c>
      <c r="B7" s="9" t="inlineStr"/>
      <c r="C7" s="9" t="n">
        <v>60</v>
      </c>
      <c r="D7" s="9" t="n">
        <v>0.45</v>
      </c>
      <c r="E7" s="9">
        <f>C7*D7</f>
        <v/>
      </c>
      <c r="F7" s="9" t="inlineStr">
        <is>
          <t>No (Cash)</t>
        </is>
      </c>
    </row>
    <row r="8">
      <c r="A8" s="22" t="n">
        <v>46176</v>
      </c>
      <c r="B8" s="7" t="inlineStr">
        <is>
          <t>VYM</t>
        </is>
      </c>
      <c r="C8" s="7" t="n">
        <v>145</v>
      </c>
      <c r="D8" s="7" t="n">
        <v>1.09</v>
      </c>
      <c r="E8" s="7">
        <f>C8*D8</f>
        <v/>
      </c>
      <c r="F8" s="7" t="inlineStr">
        <is>
          <t>Yes (DRIP)</t>
        </is>
      </c>
    </row>
    <row r="9">
      <c r="A9" s="23" t="n">
        <v>46182</v>
      </c>
      <c r="B9" s="9" t="inlineStr">
        <is>
          <t>VYM</t>
        </is>
      </c>
      <c r="C9" s="9" t="n">
        <v>95</v>
      </c>
      <c r="D9" s="9" t="n">
        <v>0.71</v>
      </c>
      <c r="E9" s="9">
        <f>C9*D9</f>
        <v/>
      </c>
      <c r="F9" s="9" t="inlineStr">
        <is>
          <t>No (Cash)</t>
        </is>
      </c>
    </row>
    <row r="10">
      <c r="A10" s="22" t="n">
        <v>46188</v>
      </c>
      <c r="B10" s="7" t="inlineStr"/>
      <c r="C10" s="7" t="n">
        <v>125</v>
      </c>
      <c r="D10" s="7" t="n">
        <v>0.9399999999999999</v>
      </c>
      <c r="E10" s="7">
        <f>C10*D10</f>
        <v/>
      </c>
      <c r="F10" s="7" t="inlineStr">
        <is>
          <t>Yes (DRIP)</t>
        </is>
      </c>
    </row>
    <row r="11">
      <c r="A11" s="23" t="n">
        <v>46191</v>
      </c>
      <c r="B11" s="9" t="inlineStr">
        <is>
          <t>VYM</t>
        </is>
      </c>
      <c r="C11" s="9" t="n">
        <v>80</v>
      </c>
      <c r="D11" s="9" t="n">
        <v>0.6</v>
      </c>
      <c r="E11" s="9">
        <f>C11*D11</f>
        <v/>
      </c>
      <c r="F11" s="9" t="inlineStr">
        <is>
          <t>No (Cash)</t>
        </is>
      </c>
    </row>
    <row r="12">
      <c r="A12" s="22" t="n">
        <v>46197</v>
      </c>
      <c r="B12" s="7" t="inlineStr">
        <is>
          <t>VYM</t>
        </is>
      </c>
      <c r="C12" s="7" t="n">
        <v>110</v>
      </c>
      <c r="D12" s="7" t="n">
        <v>0.83</v>
      </c>
      <c r="E12" s="7">
        <f>C12*D12</f>
        <v/>
      </c>
      <c r="F12" s="7" t="inlineStr">
        <is>
          <t>Yes (DRIP)</t>
        </is>
      </c>
    </row>
    <row r="13">
      <c r="A13" s="23" t="n">
        <v>46175</v>
      </c>
      <c r="B13" s="9" t="inlineStr"/>
      <c r="C13" s="9" t="n">
        <v>75</v>
      </c>
      <c r="D13" s="9" t="n">
        <v>0.5600000000000001</v>
      </c>
      <c r="E13" s="9">
        <f>C13*D13</f>
        <v/>
      </c>
      <c r="F13" s="9" t="inlineStr">
        <is>
          <t>No (Cash)</t>
        </is>
      </c>
    </row>
  </sheetData>
  <dataValidations count="1">
    <dataValidation sqref="F2:F500" showDropDown="0" showInputMessage="0" showErrorMessage="0" allowBlank="1" type="list">
      <formula1>"Yes (DRIP),No (Cash)"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>
      <c r="A1" s="6" t="inlineStr">
        <is>
          <t>Year</t>
        </is>
      </c>
      <c r="B1" s="6" t="inlineStr">
        <is>
          <t>Portfolio $</t>
        </is>
      </c>
      <c r="C1" s="6" t="inlineStr">
        <is>
          <t>Yield %</t>
        </is>
      </c>
      <c r="D1" s="6" t="inlineStr">
        <is>
          <t>Annual Divs $</t>
        </is>
      </c>
      <c r="E1" s="6" t="inlineStr">
        <is>
          <t>Monthly $</t>
        </is>
      </c>
    </row>
    <row r="2">
      <c r="A2" s="7" t="n">
        <v>2024</v>
      </c>
      <c r="B2" s="7" t="n">
        <v>50000</v>
      </c>
      <c r="C2" s="7" t="n">
        <v>3.5</v>
      </c>
      <c r="D2" s="7">
        <f>C2*D2/100</f>
        <v/>
      </c>
      <c r="E2" s="7">
        <f>E2/12</f>
        <v/>
      </c>
    </row>
    <row r="3">
      <c r="A3" s="9" t="n">
        <v>1417</v>
      </c>
      <c r="B3" s="9" t="n">
        <v>35000</v>
      </c>
      <c r="C3" s="9" t="n">
        <v>2.45</v>
      </c>
      <c r="D3" s="9">
        <f>C3*D3/100</f>
        <v/>
      </c>
      <c r="E3" s="9">
        <f>E3/12</f>
        <v/>
      </c>
    </row>
    <row r="4">
      <c r="A4" s="7" t="n">
        <v>2631</v>
      </c>
      <c r="B4" s="7" t="n">
        <v>65000</v>
      </c>
      <c r="C4" s="7" t="n">
        <v>4.55</v>
      </c>
      <c r="D4" s="7">
        <f>C4*D4/100</f>
        <v/>
      </c>
      <c r="E4" s="7">
        <f>E4/12</f>
        <v/>
      </c>
    </row>
    <row r="5">
      <c r="A5" s="9" t="n">
        <v>1720</v>
      </c>
      <c r="B5" s="9" t="n">
        <v>42500</v>
      </c>
      <c r="C5" s="9" t="n">
        <v>2.98</v>
      </c>
      <c r="D5" s="9">
        <f>C5*D5/100</f>
        <v/>
      </c>
      <c r="E5" s="9">
        <f>E5/12</f>
        <v/>
      </c>
    </row>
    <row r="6">
      <c r="A6" s="7" t="n">
        <v>2328</v>
      </c>
      <c r="B6" s="7" t="n">
        <v>57500</v>
      </c>
      <c r="C6" s="7" t="n">
        <v>4.02</v>
      </c>
      <c r="D6" s="7">
        <f>C6*D6/100</f>
        <v/>
      </c>
      <c r="E6" s="7">
        <f>E6/12</f>
        <v/>
      </c>
    </row>
    <row r="7">
      <c r="A7" s="9" t="n">
        <v>1214</v>
      </c>
      <c r="B7" s="9" t="n">
        <v>30000</v>
      </c>
      <c r="C7" s="9" t="n">
        <v>2.1</v>
      </c>
      <c r="D7" s="9">
        <f>C7*D7/100</f>
        <v/>
      </c>
      <c r="E7" s="9">
        <f>E7/12</f>
        <v/>
      </c>
    </row>
    <row r="8">
      <c r="A8" s="7" t="n">
        <v>2935</v>
      </c>
      <c r="B8" s="7" t="n">
        <v>72500</v>
      </c>
      <c r="C8" s="7" t="n">
        <v>5.08</v>
      </c>
      <c r="D8" s="7">
        <f>C8*D8/100</f>
        <v/>
      </c>
      <c r="E8" s="7">
        <f>E8/12</f>
        <v/>
      </c>
    </row>
    <row r="9">
      <c r="A9" s="9" t="n">
        <v>1923</v>
      </c>
      <c r="B9" s="9" t="n">
        <v>47500</v>
      </c>
      <c r="C9" s="9" t="n">
        <v>3.32</v>
      </c>
      <c r="D9" s="9">
        <f>C9*D9/100</f>
        <v/>
      </c>
      <c r="E9" s="9">
        <f>E9/12</f>
        <v/>
      </c>
    </row>
    <row r="10">
      <c r="A10" s="7" t="n">
        <v>2530</v>
      </c>
      <c r="B10" s="7" t="n">
        <v>62500</v>
      </c>
      <c r="C10" s="7" t="n">
        <v>4.38</v>
      </c>
      <c r="D10" s="7">
        <f>C10*D10/100</f>
        <v/>
      </c>
      <c r="E10" s="7">
        <f>E10/12</f>
        <v/>
      </c>
    </row>
    <row r="11">
      <c r="A11" s="9" t="n">
        <v>1619</v>
      </c>
      <c r="B11" s="9" t="n">
        <v>40000</v>
      </c>
      <c r="C11" s="9" t="n">
        <v>2.8</v>
      </c>
      <c r="D11" s="9">
        <f>C11*D11/100</f>
        <v/>
      </c>
      <c r="E11" s="9">
        <f>E11/12</f>
        <v/>
      </c>
    </row>
    <row r="12">
      <c r="A12" s="7" t="n">
        <v>2226</v>
      </c>
      <c r="B12" s="7" t="n">
        <v>55000</v>
      </c>
      <c r="C12" s="7" t="n">
        <v>3.85</v>
      </c>
      <c r="D12" s="7">
        <f>C12*D12/100</f>
        <v/>
      </c>
      <c r="E12" s="7">
        <f>E12/12</f>
        <v/>
      </c>
    </row>
    <row r="13">
      <c r="A13" s="9" t="n">
        <v>1518</v>
      </c>
      <c r="B13" s="9" t="n">
        <v>37500</v>
      </c>
      <c r="C13" s="9" t="n">
        <v>2.62</v>
      </c>
      <c r="D13" s="9">
        <f>C13*D13/100</f>
        <v/>
      </c>
      <c r="E13" s="9">
        <f>E13/12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Dividend Summary</t>
        </is>
      </c>
    </row>
    <row r="5">
      <c r="B5" s="9" t="inlineStr">
        <is>
          <t>Total Dividends Received</t>
        </is>
      </c>
      <c r="C5" s="25">
        <f>SUM(Payment_Log!E:E)</f>
        <v/>
      </c>
    </row>
    <row r="6">
      <c r="B6" s="7" t="inlineStr">
        <is>
          <t>Annual Projected</t>
        </is>
      </c>
      <c r="C6" s="26">
        <f>SUM(Holdings!F:F)*4</f>
        <v/>
      </c>
    </row>
    <row r="7">
      <c r="B7" s="9" t="inlineStr">
        <is>
          <t>Monthly Average</t>
        </is>
      </c>
      <c r="C7" s="27">
        <f>SUM(Holdings!F:F)*4/12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