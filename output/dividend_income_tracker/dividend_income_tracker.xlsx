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oldings" sheetId="2" state="visible" r:id="rId2"/>
    <sheet name="Payment Log" sheetId="3" state="visible" r:id="rId3"/>
    <sheet name="Projection" sheetId="4" state="visible" r:id="rId4"/>
    <sheet name="Annual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52E16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Dividend Income Portfolio Tracker</t>
        </is>
      </c>
    </row>
    <row r="3">
      <c r="A3" s="2" t="inlineStr">
        <is>
          <t>Annual Dividends</t>
        </is>
      </c>
      <c r="B3" s="2" t="inlineStr">
        <is>
          <t>Monthly Avg</t>
        </is>
      </c>
      <c r="C3" s="2" t="inlineStr">
        <is>
          <t>Avg Yield</t>
        </is>
      </c>
      <c r="D3" s="2" t="inlineStr">
        <is>
          <t>Total Holdings</t>
        </is>
      </c>
    </row>
    <row r="4" ht="36" customHeight="1">
      <c r="A4" s="3">
        <f>SUM(Holdings!F:F)*4</f>
        <v/>
      </c>
      <c r="B4" s="3">
        <f>SUM(Holdings!F:F)*4/12</f>
        <v/>
      </c>
      <c r="C4" s="3">
        <f>AVERAGE(Holdings!G:G)</f>
        <v/>
      </c>
      <c r="D4" s="3">
        <f>COUNTA(Holdings!A:A)-1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5803D"/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2" customWidth="1" min="4" max="4"/>
    <col width="14" customWidth="1" min="5" max="5"/>
    <col width="18" customWidth="1" min="6" max="6"/>
    <col width="12" customWidth="1" min="7" max="7"/>
    <col width="16" customWidth="1" min="8" max="8"/>
  </cols>
  <sheetData>
    <row r="1">
      <c r="A1" s="4" t="inlineStr">
        <is>
          <t>Ticker</t>
        </is>
      </c>
      <c r="B1" s="4" t="inlineStr">
        <is>
          <t>Company</t>
        </is>
      </c>
      <c r="C1" s="4" t="inlineStr">
        <is>
          <t>Shares</t>
        </is>
      </c>
      <c r="D1" s="4" t="inlineStr">
        <is>
          <t>Price $</t>
        </is>
      </c>
      <c r="E1" s="4" t="inlineStr">
        <is>
          <t>Value $</t>
        </is>
      </c>
      <c r="F1" s="4" t="inlineStr">
        <is>
          <t>Quarterly Div $</t>
        </is>
      </c>
      <c r="G1" s="4" t="inlineStr">
        <is>
          <t>Yield %</t>
        </is>
      </c>
      <c r="H1" s="4" t="inlineStr">
        <is>
          <t>Frequency</t>
        </is>
      </c>
    </row>
    <row r="2" ht="22" customHeight="1">
      <c r="A2" s="5" t="inlineStr">
        <is>
          <t>VYM</t>
        </is>
      </c>
      <c r="B2" s="5" t="inlineStr">
        <is>
          <t>Vanguard High Div Yield</t>
        </is>
      </c>
      <c r="C2" s="5" t="inlineStr">
        <is>
          <t>100</t>
        </is>
      </c>
      <c r="D2" s="5" t="inlineStr">
        <is>
          <t>110</t>
        </is>
      </c>
      <c r="E2" s="6">
        <f>C2*D2</f>
        <v/>
      </c>
      <c r="F2" s="5" t="inlineStr">
        <is>
          <t>75</t>
        </is>
      </c>
      <c r="G2" s="6">
        <f>TEXT(F2*4/E2,"0.0%")</f>
        <v/>
      </c>
      <c r="H2" s="5" t="inlineStr"/>
    </row>
    <row r="3" ht="22" customHeight="1">
      <c r="A3" s="5" t="inlineStr">
        <is>
          <t>VYM</t>
        </is>
      </c>
      <c r="B3" s="5" t="inlineStr">
        <is>
          <t>Vanguard High Div Yield</t>
        </is>
      </c>
      <c r="C3" s="5" t="inlineStr">
        <is>
          <t>100</t>
        </is>
      </c>
      <c r="D3" s="5" t="inlineStr">
        <is>
          <t>110</t>
        </is>
      </c>
      <c r="E3" s="6">
        <f>C3*D3</f>
        <v/>
      </c>
      <c r="F3" s="5" t="inlineStr">
        <is>
          <t>75</t>
        </is>
      </c>
      <c r="G3" s="6">
        <f>TEXT(F3*4/E3,"0.0%")</f>
        <v/>
      </c>
      <c r="H3" s="5" t="inlineStr"/>
    </row>
    <row r="4" ht="22" customHeight="1">
      <c r="A4" s="5" t="inlineStr">
        <is>
          <t>VYM</t>
        </is>
      </c>
      <c r="B4" s="5" t="inlineStr">
        <is>
          <t>Vanguard High Div Yield</t>
        </is>
      </c>
      <c r="C4" s="5" t="inlineStr">
        <is>
          <t>100</t>
        </is>
      </c>
      <c r="D4" s="5" t="inlineStr">
        <is>
          <t>110</t>
        </is>
      </c>
      <c r="E4" s="6">
        <f>C4*D4</f>
        <v/>
      </c>
      <c r="F4" s="5" t="inlineStr">
        <is>
          <t>75</t>
        </is>
      </c>
      <c r="G4" s="6">
        <f>TEXT(F4*4/E4,"0.0%")</f>
        <v/>
      </c>
      <c r="H4" s="5" t="inlineStr"/>
    </row>
    <row r="5" ht="22" customHeight="1">
      <c r="A5" s="5" t="inlineStr">
        <is>
          <t>VYM</t>
        </is>
      </c>
      <c r="B5" s="5" t="inlineStr">
        <is>
          <t>Vanguard High Div Yield</t>
        </is>
      </c>
      <c r="C5" s="5" t="inlineStr">
        <is>
          <t>100</t>
        </is>
      </c>
      <c r="D5" s="5" t="inlineStr">
        <is>
          <t>110</t>
        </is>
      </c>
      <c r="E5" s="6">
        <f>C5*D5</f>
        <v/>
      </c>
      <c r="F5" s="5" t="inlineStr">
        <is>
          <t>75</t>
        </is>
      </c>
      <c r="G5" s="6">
        <f>TEXT(F5*4/E5,"0.0%")</f>
        <v/>
      </c>
      <c r="H5" s="5" t="inlineStr"/>
    </row>
    <row r="6" ht="22" customHeight="1">
      <c r="A6" s="5" t="inlineStr">
        <is>
          <t>VYM</t>
        </is>
      </c>
      <c r="B6" s="5" t="inlineStr">
        <is>
          <t>Vanguard High Div Yield</t>
        </is>
      </c>
      <c r="C6" s="5" t="inlineStr">
        <is>
          <t>100</t>
        </is>
      </c>
      <c r="D6" s="5" t="inlineStr">
        <is>
          <t>110</t>
        </is>
      </c>
      <c r="E6" s="6">
        <f>C6*D6</f>
        <v/>
      </c>
      <c r="F6" s="5" t="inlineStr">
        <is>
          <t>75</t>
        </is>
      </c>
      <c r="G6" s="6">
        <f>TEXT(F6*4/E6,"0.0%")</f>
        <v/>
      </c>
      <c r="H6" s="5" t="inlineStr"/>
    </row>
    <row r="7" ht="22" customHeight="1">
      <c r="A7" s="5" t="inlineStr">
        <is>
          <t>VYM</t>
        </is>
      </c>
      <c r="B7" s="5" t="inlineStr">
        <is>
          <t>Vanguard High Div Yield</t>
        </is>
      </c>
      <c r="C7" s="5" t="inlineStr">
        <is>
          <t>100</t>
        </is>
      </c>
      <c r="D7" s="5" t="inlineStr">
        <is>
          <t>110</t>
        </is>
      </c>
      <c r="E7" s="6">
        <f>C7*D7</f>
        <v/>
      </c>
      <c r="F7" s="5" t="inlineStr">
        <is>
          <t>75</t>
        </is>
      </c>
      <c r="G7" s="6">
        <f>TEXT(F7*4/E7,"0.0%")</f>
        <v/>
      </c>
      <c r="H7" s="5" t="inlineStr"/>
    </row>
    <row r="8" ht="22" customHeight="1">
      <c r="A8" s="5" t="inlineStr">
        <is>
          <t>VYM</t>
        </is>
      </c>
      <c r="B8" s="5" t="inlineStr">
        <is>
          <t>Vanguard High Div Yield</t>
        </is>
      </c>
      <c r="C8" s="5" t="inlineStr">
        <is>
          <t>100</t>
        </is>
      </c>
      <c r="D8" s="5" t="inlineStr">
        <is>
          <t>110</t>
        </is>
      </c>
      <c r="E8" s="6">
        <f>C8*D8</f>
        <v/>
      </c>
      <c r="F8" s="5" t="inlineStr">
        <is>
          <t>75</t>
        </is>
      </c>
      <c r="G8" s="6">
        <f>TEXT(F8*4/E8,"0.0%")</f>
        <v/>
      </c>
      <c r="H8" s="5" t="inlineStr"/>
    </row>
    <row r="9" ht="22" customHeight="1">
      <c r="A9" s="5" t="inlineStr">
        <is>
          <t>VYM</t>
        </is>
      </c>
      <c r="B9" s="5" t="inlineStr">
        <is>
          <t>Vanguard High Div Yield</t>
        </is>
      </c>
      <c r="C9" s="5" t="inlineStr">
        <is>
          <t>100</t>
        </is>
      </c>
      <c r="D9" s="5" t="inlineStr">
        <is>
          <t>110</t>
        </is>
      </c>
      <c r="E9" s="6">
        <f>C9*D9</f>
        <v/>
      </c>
      <c r="F9" s="5" t="inlineStr">
        <is>
          <t>75</t>
        </is>
      </c>
      <c r="G9" s="6">
        <f>TEXT(F9*4/E9,"0.0%")</f>
        <v/>
      </c>
      <c r="H9" s="5" t="inlineStr"/>
    </row>
    <row r="10" ht="22" customHeight="1">
      <c r="A10" s="5" t="inlineStr">
        <is>
          <t>VYM</t>
        </is>
      </c>
      <c r="B10" s="5" t="inlineStr">
        <is>
          <t>Vanguard High Div Yield</t>
        </is>
      </c>
      <c r="C10" s="5" t="inlineStr">
        <is>
          <t>100</t>
        </is>
      </c>
      <c r="D10" s="5" t="inlineStr">
        <is>
          <t>110</t>
        </is>
      </c>
      <c r="E10" s="6">
        <f>C10*D10</f>
        <v/>
      </c>
      <c r="F10" s="5" t="inlineStr">
        <is>
          <t>75</t>
        </is>
      </c>
      <c r="G10" s="6">
        <f>TEXT(F10*4/E10,"0.0%")</f>
        <v/>
      </c>
      <c r="H10" s="5" t="inlineStr"/>
    </row>
    <row r="11" ht="22" customHeight="1">
      <c r="A11" s="5" t="inlineStr">
        <is>
          <t>VYM</t>
        </is>
      </c>
      <c r="B11" s="5" t="inlineStr">
        <is>
          <t>Vanguard High Div Yield</t>
        </is>
      </c>
      <c r="C11" s="5" t="inlineStr">
        <is>
          <t>100</t>
        </is>
      </c>
      <c r="D11" s="5" t="inlineStr">
        <is>
          <t>110</t>
        </is>
      </c>
      <c r="E11" s="6">
        <f>C11*D11</f>
        <v/>
      </c>
      <c r="F11" s="5" t="inlineStr">
        <is>
          <t>75</t>
        </is>
      </c>
      <c r="G11" s="6">
        <f>TEXT(F11*4/E11,"0.0%")</f>
        <v/>
      </c>
      <c r="H11" s="5" t="inlineStr"/>
    </row>
    <row r="12" ht="22" customHeight="1">
      <c r="A12" s="5" t="inlineStr">
        <is>
          <t>VYM</t>
        </is>
      </c>
      <c r="B12" s="5" t="inlineStr">
        <is>
          <t>Vanguard High Div Yield</t>
        </is>
      </c>
      <c r="C12" s="5" t="inlineStr">
        <is>
          <t>100</t>
        </is>
      </c>
      <c r="D12" s="5" t="inlineStr">
        <is>
          <t>110</t>
        </is>
      </c>
      <c r="E12" s="6">
        <f>C12*D12</f>
        <v/>
      </c>
      <c r="F12" s="5" t="inlineStr">
        <is>
          <t>75</t>
        </is>
      </c>
      <c r="G12" s="6">
        <f>TEXT(F12*4/E12,"0.0%")</f>
        <v/>
      </c>
      <c r="H12" s="5" t="inlineStr"/>
    </row>
    <row r="13" ht="22" customHeight="1">
      <c r="A13" s="5" t="inlineStr">
        <is>
          <t>VYM</t>
        </is>
      </c>
      <c r="B13" s="5" t="inlineStr">
        <is>
          <t>Vanguard High Div Yield</t>
        </is>
      </c>
      <c r="C13" s="5" t="inlineStr">
        <is>
          <t>100</t>
        </is>
      </c>
      <c r="D13" s="5" t="inlineStr">
        <is>
          <t>110</t>
        </is>
      </c>
      <c r="E13" s="6">
        <f>C13*D13</f>
        <v/>
      </c>
      <c r="F13" s="5" t="inlineStr">
        <is>
          <t>75</t>
        </is>
      </c>
      <c r="G13" s="6">
        <f>TEXT(F13*4/E13,"0.0%")</f>
        <v/>
      </c>
      <c r="H13" s="5" t="inlineStr"/>
    </row>
    <row r="14" ht="22" customHeight="1">
      <c r="A14" s="5" t="inlineStr">
        <is>
          <t>VYM</t>
        </is>
      </c>
      <c r="B14" s="5" t="inlineStr">
        <is>
          <t>Vanguard High Div Yield</t>
        </is>
      </c>
      <c r="C14" s="5" t="inlineStr">
        <is>
          <t>100</t>
        </is>
      </c>
      <c r="D14" s="5" t="inlineStr">
        <is>
          <t>110</t>
        </is>
      </c>
      <c r="E14" s="6">
        <f>C14*D14</f>
        <v/>
      </c>
      <c r="F14" s="5" t="inlineStr">
        <is>
          <t>75</t>
        </is>
      </c>
      <c r="G14" s="6">
        <f>TEXT(F14*4/E14,"0.0%")</f>
        <v/>
      </c>
      <c r="H14" s="5" t="inlineStr"/>
    </row>
    <row r="15" ht="22" customHeight="1">
      <c r="A15" s="5" t="inlineStr">
        <is>
          <t>VYM</t>
        </is>
      </c>
      <c r="B15" s="5" t="inlineStr">
        <is>
          <t>Vanguard High Div Yield</t>
        </is>
      </c>
      <c r="C15" s="5" t="inlineStr">
        <is>
          <t>100</t>
        </is>
      </c>
      <c r="D15" s="5" t="inlineStr">
        <is>
          <t>110</t>
        </is>
      </c>
      <c r="E15" s="6">
        <f>C15*D15</f>
        <v/>
      </c>
      <c r="F15" s="5" t="inlineStr">
        <is>
          <t>75</t>
        </is>
      </c>
      <c r="G15" s="6">
        <f>TEXT(F15*4/E15,"0.0%")</f>
        <v/>
      </c>
      <c r="H15" s="5" t="inlineStr"/>
    </row>
    <row r="16" ht="22" customHeight="1">
      <c r="A16" s="5" t="inlineStr">
        <is>
          <t>VYM</t>
        </is>
      </c>
      <c r="B16" s="5" t="inlineStr">
        <is>
          <t>Vanguard High Div Yield</t>
        </is>
      </c>
      <c r="C16" s="5" t="inlineStr">
        <is>
          <t>100</t>
        </is>
      </c>
      <c r="D16" s="5" t="inlineStr">
        <is>
          <t>110</t>
        </is>
      </c>
      <c r="E16" s="6">
        <f>C16*D16</f>
        <v/>
      </c>
      <c r="F16" s="5" t="inlineStr">
        <is>
          <t>75</t>
        </is>
      </c>
      <c r="G16" s="6">
        <f>TEXT(F16*4/E16,"0.0%")</f>
        <v/>
      </c>
      <c r="H16" s="5" t="inlineStr"/>
    </row>
  </sheetData>
  <dataValidations count="1">
    <dataValidation sqref="H2 H3 H4 H5 H6 H7 H8 H9 H10 H11 H12 H13 H14 H15 H16" showDropDown="0" showInputMessage="0" showErrorMessage="0" allowBlank="1" type="list">
      <formula1>"Quarterly","Monthly","Annual","Semi-Annual"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2C55E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>
      <c r="A1" s="4" t="inlineStr">
        <is>
          <t>Date</t>
        </is>
      </c>
      <c r="B1" s="4" t="inlineStr">
        <is>
          <t>Ticker</t>
        </is>
      </c>
      <c r="C1" s="4" t="inlineStr">
        <is>
          <t>Shares</t>
        </is>
      </c>
      <c r="D1" s="4" t="inlineStr">
        <is>
          <t>Per Share $</t>
        </is>
      </c>
      <c r="E1" s="4" t="inlineStr">
        <is>
          <t>Total $</t>
        </is>
      </c>
      <c r="F1" s="4" t="inlineStr">
        <is>
          <t>Reinvested</t>
        </is>
      </c>
    </row>
    <row r="2" ht="22" customHeight="1">
      <c r="A2" s="5" t="inlineStr">
        <is>
          <t>2024-01-15</t>
        </is>
      </c>
      <c r="B2" s="5" t="inlineStr">
        <is>
          <t>VYM</t>
        </is>
      </c>
      <c r="C2" s="5" t="inlineStr">
        <is>
          <t>100</t>
        </is>
      </c>
      <c r="D2" s="5" t="inlineStr">
        <is>
          <t>0.75</t>
        </is>
      </c>
      <c r="E2" s="6">
        <f>C2*D2</f>
        <v/>
      </c>
      <c r="F2" s="5" t="inlineStr"/>
    </row>
    <row r="3" ht="22" customHeight="1">
      <c r="A3" s="5" t="inlineStr">
        <is>
          <t>2024-01-15</t>
        </is>
      </c>
      <c r="B3" s="5" t="inlineStr">
        <is>
          <t>VYM</t>
        </is>
      </c>
      <c r="C3" s="5" t="inlineStr">
        <is>
          <t>100</t>
        </is>
      </c>
      <c r="D3" s="5" t="inlineStr">
        <is>
          <t>0.75</t>
        </is>
      </c>
      <c r="E3" s="6">
        <f>C3*D3</f>
        <v/>
      </c>
      <c r="F3" s="5" t="inlineStr"/>
    </row>
    <row r="4" ht="22" customHeight="1">
      <c r="A4" s="5" t="inlineStr">
        <is>
          <t>2024-01-15</t>
        </is>
      </c>
      <c r="B4" s="5" t="inlineStr">
        <is>
          <t>VYM</t>
        </is>
      </c>
      <c r="C4" s="5" t="inlineStr">
        <is>
          <t>100</t>
        </is>
      </c>
      <c r="D4" s="5" t="inlineStr">
        <is>
          <t>0.75</t>
        </is>
      </c>
      <c r="E4" s="6">
        <f>C4*D4</f>
        <v/>
      </c>
      <c r="F4" s="5" t="inlineStr"/>
    </row>
    <row r="5" ht="22" customHeight="1">
      <c r="A5" s="5" t="inlineStr">
        <is>
          <t>2024-01-15</t>
        </is>
      </c>
      <c r="B5" s="5" t="inlineStr">
        <is>
          <t>VYM</t>
        </is>
      </c>
      <c r="C5" s="5" t="inlineStr">
        <is>
          <t>100</t>
        </is>
      </c>
      <c r="D5" s="5" t="inlineStr">
        <is>
          <t>0.75</t>
        </is>
      </c>
      <c r="E5" s="6">
        <f>C5*D5</f>
        <v/>
      </c>
      <c r="F5" s="5" t="inlineStr"/>
    </row>
    <row r="6" ht="22" customHeight="1">
      <c r="A6" s="5" t="inlineStr">
        <is>
          <t>2024-01-15</t>
        </is>
      </c>
      <c r="B6" s="5" t="inlineStr">
        <is>
          <t>VYM</t>
        </is>
      </c>
      <c r="C6" s="5" t="inlineStr">
        <is>
          <t>100</t>
        </is>
      </c>
      <c r="D6" s="5" t="inlineStr">
        <is>
          <t>0.75</t>
        </is>
      </c>
      <c r="E6" s="6">
        <f>C6*D6</f>
        <v/>
      </c>
      <c r="F6" s="5" t="inlineStr"/>
    </row>
    <row r="7" ht="22" customHeight="1">
      <c r="A7" s="5" t="inlineStr">
        <is>
          <t>2024-01-15</t>
        </is>
      </c>
      <c r="B7" s="5" t="inlineStr">
        <is>
          <t>VYM</t>
        </is>
      </c>
      <c r="C7" s="5" t="inlineStr">
        <is>
          <t>100</t>
        </is>
      </c>
      <c r="D7" s="5" t="inlineStr">
        <is>
          <t>0.75</t>
        </is>
      </c>
      <c r="E7" s="6">
        <f>C7*D7</f>
        <v/>
      </c>
      <c r="F7" s="5" t="inlineStr"/>
    </row>
    <row r="8" ht="22" customHeight="1">
      <c r="A8" s="5" t="inlineStr">
        <is>
          <t>2024-01-15</t>
        </is>
      </c>
      <c r="B8" s="5" t="inlineStr">
        <is>
          <t>VYM</t>
        </is>
      </c>
      <c r="C8" s="5" t="inlineStr">
        <is>
          <t>100</t>
        </is>
      </c>
      <c r="D8" s="5" t="inlineStr">
        <is>
          <t>0.75</t>
        </is>
      </c>
      <c r="E8" s="6">
        <f>C8*D8</f>
        <v/>
      </c>
      <c r="F8" s="5" t="inlineStr"/>
    </row>
    <row r="9" ht="22" customHeight="1">
      <c r="A9" s="5" t="inlineStr">
        <is>
          <t>2024-01-15</t>
        </is>
      </c>
      <c r="B9" s="5" t="inlineStr">
        <is>
          <t>VYM</t>
        </is>
      </c>
      <c r="C9" s="5" t="inlineStr">
        <is>
          <t>100</t>
        </is>
      </c>
      <c r="D9" s="5" t="inlineStr">
        <is>
          <t>0.75</t>
        </is>
      </c>
      <c r="E9" s="6">
        <f>C9*D9</f>
        <v/>
      </c>
      <c r="F9" s="5" t="inlineStr"/>
    </row>
    <row r="10" ht="22" customHeight="1">
      <c r="A10" s="5" t="inlineStr">
        <is>
          <t>2024-01-15</t>
        </is>
      </c>
      <c r="B10" s="5" t="inlineStr">
        <is>
          <t>VYM</t>
        </is>
      </c>
      <c r="C10" s="5" t="inlineStr">
        <is>
          <t>100</t>
        </is>
      </c>
      <c r="D10" s="5" t="inlineStr">
        <is>
          <t>0.75</t>
        </is>
      </c>
      <c r="E10" s="6">
        <f>C10*D10</f>
        <v/>
      </c>
      <c r="F10" s="5" t="inlineStr"/>
    </row>
    <row r="11" ht="22" customHeight="1">
      <c r="A11" s="5" t="inlineStr">
        <is>
          <t>2024-01-15</t>
        </is>
      </c>
      <c r="B11" s="5" t="inlineStr">
        <is>
          <t>VYM</t>
        </is>
      </c>
      <c r="C11" s="5" t="inlineStr">
        <is>
          <t>100</t>
        </is>
      </c>
      <c r="D11" s="5" t="inlineStr">
        <is>
          <t>0.75</t>
        </is>
      </c>
      <c r="E11" s="6">
        <f>C11*D11</f>
        <v/>
      </c>
      <c r="F11" s="5" t="inlineStr"/>
    </row>
    <row r="12" ht="22" customHeight="1">
      <c r="A12" s="5" t="inlineStr">
        <is>
          <t>2024-01-15</t>
        </is>
      </c>
      <c r="B12" s="5" t="inlineStr">
        <is>
          <t>VYM</t>
        </is>
      </c>
      <c r="C12" s="5" t="inlineStr">
        <is>
          <t>100</t>
        </is>
      </c>
      <c r="D12" s="5" t="inlineStr">
        <is>
          <t>0.75</t>
        </is>
      </c>
      <c r="E12" s="6">
        <f>C12*D12</f>
        <v/>
      </c>
      <c r="F12" s="5" t="inlineStr"/>
    </row>
    <row r="13" ht="22" customHeight="1">
      <c r="A13" s="5" t="inlineStr">
        <is>
          <t>2024-01-15</t>
        </is>
      </c>
      <c r="B13" s="5" t="inlineStr">
        <is>
          <t>VYM</t>
        </is>
      </c>
      <c r="C13" s="5" t="inlineStr">
        <is>
          <t>100</t>
        </is>
      </c>
      <c r="D13" s="5" t="inlineStr">
        <is>
          <t>0.75</t>
        </is>
      </c>
      <c r="E13" s="6">
        <f>C13*D13</f>
        <v/>
      </c>
      <c r="F13" s="5" t="inlineStr"/>
    </row>
    <row r="14" ht="22" customHeight="1">
      <c r="A14" s="5" t="inlineStr">
        <is>
          <t>2024-01-15</t>
        </is>
      </c>
      <c r="B14" s="5" t="inlineStr">
        <is>
          <t>VYM</t>
        </is>
      </c>
      <c r="C14" s="5" t="inlineStr">
        <is>
          <t>100</t>
        </is>
      </c>
      <c r="D14" s="5" t="inlineStr">
        <is>
          <t>0.75</t>
        </is>
      </c>
      <c r="E14" s="6">
        <f>C14*D14</f>
        <v/>
      </c>
      <c r="F14" s="5" t="inlineStr"/>
    </row>
    <row r="15" ht="22" customHeight="1">
      <c r="A15" s="5" t="inlineStr">
        <is>
          <t>2024-01-15</t>
        </is>
      </c>
      <c r="B15" s="5" t="inlineStr">
        <is>
          <t>VYM</t>
        </is>
      </c>
      <c r="C15" s="5" t="inlineStr">
        <is>
          <t>100</t>
        </is>
      </c>
      <c r="D15" s="5" t="inlineStr">
        <is>
          <t>0.75</t>
        </is>
      </c>
      <c r="E15" s="6">
        <f>C15*D15</f>
        <v/>
      </c>
      <c r="F15" s="5" t="inlineStr"/>
    </row>
    <row r="16" ht="22" customHeight="1">
      <c r="A16" s="5" t="inlineStr">
        <is>
          <t>2024-01-15</t>
        </is>
      </c>
      <c r="B16" s="5" t="inlineStr">
        <is>
          <t>VYM</t>
        </is>
      </c>
      <c r="C16" s="5" t="inlineStr">
        <is>
          <t>100</t>
        </is>
      </c>
      <c r="D16" s="5" t="inlineStr">
        <is>
          <t>0.75</t>
        </is>
      </c>
      <c r="E16" s="6">
        <f>C16*D16</f>
        <v/>
      </c>
      <c r="F16" s="5" t="inlineStr"/>
    </row>
    <row r="17" ht="22" customHeight="1">
      <c r="A17" s="5" t="inlineStr">
        <is>
          <t>2024-01-15</t>
        </is>
      </c>
      <c r="B17" s="5" t="inlineStr">
        <is>
          <t>VYM</t>
        </is>
      </c>
      <c r="C17" s="5" t="inlineStr">
        <is>
          <t>100</t>
        </is>
      </c>
      <c r="D17" s="5" t="inlineStr">
        <is>
          <t>0.75</t>
        </is>
      </c>
      <c r="E17" s="6">
        <f>C17*D17</f>
        <v/>
      </c>
      <c r="F17" s="5" t="inlineStr"/>
    </row>
    <row r="18" ht="22" customHeight="1">
      <c r="A18" s="5" t="inlineStr">
        <is>
          <t>2024-01-15</t>
        </is>
      </c>
      <c r="B18" s="5" t="inlineStr">
        <is>
          <t>VYM</t>
        </is>
      </c>
      <c r="C18" s="5" t="inlineStr">
        <is>
          <t>100</t>
        </is>
      </c>
      <c r="D18" s="5" t="inlineStr">
        <is>
          <t>0.75</t>
        </is>
      </c>
      <c r="E18" s="6">
        <f>C18*D18</f>
        <v/>
      </c>
      <c r="F18" s="5" t="inlineStr"/>
    </row>
    <row r="19" ht="22" customHeight="1">
      <c r="A19" s="5" t="inlineStr">
        <is>
          <t>2024-01-15</t>
        </is>
      </c>
      <c r="B19" s="5" t="inlineStr">
        <is>
          <t>VYM</t>
        </is>
      </c>
      <c r="C19" s="5" t="inlineStr">
        <is>
          <t>100</t>
        </is>
      </c>
      <c r="D19" s="5" t="inlineStr">
        <is>
          <t>0.75</t>
        </is>
      </c>
      <c r="E19" s="6">
        <f>C19*D19</f>
        <v/>
      </c>
      <c r="F19" s="5" t="inlineStr"/>
    </row>
    <row r="20" ht="22" customHeight="1">
      <c r="A20" s="5" t="inlineStr">
        <is>
          <t>2024-01-15</t>
        </is>
      </c>
      <c r="B20" s="5" t="inlineStr">
        <is>
          <t>VYM</t>
        </is>
      </c>
      <c r="C20" s="5" t="inlineStr">
        <is>
          <t>100</t>
        </is>
      </c>
      <c r="D20" s="5" t="inlineStr">
        <is>
          <t>0.75</t>
        </is>
      </c>
      <c r="E20" s="6">
        <f>C20*D20</f>
        <v/>
      </c>
      <c r="F20" s="5" t="inlineStr"/>
    </row>
    <row r="21" ht="22" customHeight="1">
      <c r="A21" s="5" t="inlineStr">
        <is>
          <t>2024-01-15</t>
        </is>
      </c>
      <c r="B21" s="5" t="inlineStr">
        <is>
          <t>VYM</t>
        </is>
      </c>
      <c r="C21" s="5" t="inlineStr">
        <is>
          <t>100</t>
        </is>
      </c>
      <c r="D21" s="5" t="inlineStr">
        <is>
          <t>0.75</t>
        </is>
      </c>
      <c r="E21" s="6">
        <f>C21*D21</f>
        <v/>
      </c>
      <c r="F21" s="5" t="inlineStr"/>
    </row>
  </sheetData>
  <dataValidations count="1">
    <dataValidation sqref="F2 F3 F4 F5 F6 F7 F8 F9 F10 F11 F12 F13 F14 F15 F16 F17 F18 F19 F20 F21" showDropDown="0" showInputMessage="0" showErrorMessage="0" allowBlank="1" type="list">
      <formula1>"Yes (DRIP)","No (Cash)"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A8A04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6" customWidth="1" min="4" max="4"/>
    <col width="14" customWidth="1" min="5" max="5"/>
  </cols>
  <sheetData>
    <row r="1">
      <c r="A1" s="4" t="inlineStr">
        <is>
          <t>Year</t>
        </is>
      </c>
      <c r="B1" s="4" t="inlineStr">
        <is>
          <t>Portfolio $</t>
        </is>
      </c>
      <c r="C1" s="4" t="inlineStr">
        <is>
          <t>Yield %</t>
        </is>
      </c>
      <c r="D1" s="4" t="inlineStr">
        <is>
          <t>Annual Divs $</t>
        </is>
      </c>
      <c r="E1" s="4" t="inlineStr">
        <is>
          <t>Monthly $</t>
        </is>
      </c>
    </row>
    <row r="2" ht="22" customHeight="1">
      <c r="A2" s="5" t="inlineStr">
        <is>
          <t>2024</t>
        </is>
      </c>
      <c r="B2" s="5" t="inlineStr">
        <is>
          <t>50000</t>
        </is>
      </c>
      <c r="C2" s="5" t="inlineStr">
        <is>
          <t>3.5</t>
        </is>
      </c>
      <c r="D2" s="6">
        <f>C2*D2/100</f>
        <v/>
      </c>
      <c r="E2" s="6">
        <f>E2/12</f>
        <v/>
      </c>
    </row>
    <row r="3" ht="22" customHeight="1">
      <c r="A3" s="5" t="inlineStr">
        <is>
          <t>2024</t>
        </is>
      </c>
      <c r="B3" s="5" t="inlineStr">
        <is>
          <t>50000</t>
        </is>
      </c>
      <c r="C3" s="5" t="inlineStr">
        <is>
          <t>3.5</t>
        </is>
      </c>
      <c r="D3" s="6">
        <f>C3*D3/100</f>
        <v/>
      </c>
      <c r="E3" s="6">
        <f>E3/12</f>
        <v/>
      </c>
    </row>
    <row r="4" ht="22" customHeight="1">
      <c r="A4" s="5" t="inlineStr">
        <is>
          <t>2024</t>
        </is>
      </c>
      <c r="B4" s="5" t="inlineStr">
        <is>
          <t>50000</t>
        </is>
      </c>
      <c r="C4" s="5" t="inlineStr">
        <is>
          <t>3.5</t>
        </is>
      </c>
      <c r="D4" s="6">
        <f>C4*D4/100</f>
        <v/>
      </c>
      <c r="E4" s="6">
        <f>E4/12</f>
        <v/>
      </c>
    </row>
    <row r="5" ht="22" customHeight="1">
      <c r="A5" s="5" t="inlineStr">
        <is>
          <t>2024</t>
        </is>
      </c>
      <c r="B5" s="5" t="inlineStr">
        <is>
          <t>50000</t>
        </is>
      </c>
      <c r="C5" s="5" t="inlineStr">
        <is>
          <t>3.5</t>
        </is>
      </c>
      <c r="D5" s="6">
        <f>C5*D5/100</f>
        <v/>
      </c>
      <c r="E5" s="6">
        <f>E5/12</f>
        <v/>
      </c>
    </row>
    <row r="6" ht="22" customHeight="1">
      <c r="A6" s="5" t="inlineStr">
        <is>
          <t>2024</t>
        </is>
      </c>
      <c r="B6" s="5" t="inlineStr">
        <is>
          <t>50000</t>
        </is>
      </c>
      <c r="C6" s="5" t="inlineStr">
        <is>
          <t>3.5</t>
        </is>
      </c>
      <c r="D6" s="6">
        <f>C6*D6/100</f>
        <v/>
      </c>
      <c r="E6" s="6">
        <f>E6/12</f>
        <v/>
      </c>
    </row>
    <row r="7" ht="22" customHeight="1">
      <c r="A7" s="5" t="inlineStr">
        <is>
          <t>2024</t>
        </is>
      </c>
      <c r="B7" s="5" t="inlineStr">
        <is>
          <t>50000</t>
        </is>
      </c>
      <c r="C7" s="5" t="inlineStr">
        <is>
          <t>3.5</t>
        </is>
      </c>
      <c r="D7" s="6">
        <f>C7*D7/100</f>
        <v/>
      </c>
      <c r="E7" s="6">
        <f>E7/12</f>
        <v/>
      </c>
    </row>
    <row r="8" ht="22" customHeight="1">
      <c r="A8" s="5" t="inlineStr">
        <is>
          <t>2024</t>
        </is>
      </c>
      <c r="B8" s="5" t="inlineStr">
        <is>
          <t>50000</t>
        </is>
      </c>
      <c r="C8" s="5" t="inlineStr">
        <is>
          <t>3.5</t>
        </is>
      </c>
      <c r="D8" s="6">
        <f>C8*D8/100</f>
        <v/>
      </c>
      <c r="E8" s="6">
        <f>E8/12</f>
        <v/>
      </c>
    </row>
    <row r="9" ht="22" customHeight="1">
      <c r="A9" s="5" t="inlineStr">
        <is>
          <t>2024</t>
        </is>
      </c>
      <c r="B9" s="5" t="inlineStr">
        <is>
          <t>50000</t>
        </is>
      </c>
      <c r="C9" s="5" t="inlineStr">
        <is>
          <t>3.5</t>
        </is>
      </c>
      <c r="D9" s="6">
        <f>C9*D9/100</f>
        <v/>
      </c>
      <c r="E9" s="6">
        <f>E9/12</f>
        <v/>
      </c>
    </row>
    <row r="10" ht="22" customHeight="1">
      <c r="A10" s="5" t="inlineStr">
        <is>
          <t>2024</t>
        </is>
      </c>
      <c r="B10" s="5" t="inlineStr">
        <is>
          <t>50000</t>
        </is>
      </c>
      <c r="C10" s="5" t="inlineStr">
        <is>
          <t>3.5</t>
        </is>
      </c>
      <c r="D10" s="6">
        <f>C10*D10/100</f>
        <v/>
      </c>
      <c r="E10" s="6">
        <f>E10/12</f>
        <v/>
      </c>
    </row>
    <row r="11" ht="22" customHeight="1">
      <c r="A11" s="5" t="inlineStr">
        <is>
          <t>2024</t>
        </is>
      </c>
      <c r="B11" s="5" t="inlineStr">
        <is>
          <t>50000</t>
        </is>
      </c>
      <c r="C11" s="5" t="inlineStr">
        <is>
          <t>3.5</t>
        </is>
      </c>
      <c r="D11" s="6">
        <f>C11*D11/100</f>
        <v/>
      </c>
      <c r="E11" s="6">
        <f>E11/12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Dividend Summary</t>
        </is>
      </c>
    </row>
    <row r="4">
      <c r="A4" s="9" t="inlineStr">
        <is>
          <t>Total Dividends Received</t>
        </is>
      </c>
      <c r="B4" s="6">
        <f>SUM(Payment_Log!E:E)</f>
        <v/>
      </c>
    </row>
    <row r="5">
      <c r="A5" s="9" t="inlineStr">
        <is>
          <t>Annual Projected</t>
        </is>
      </c>
      <c r="B5" s="6">
        <f>SUM(Holdings!F:F)*4</f>
        <v/>
      </c>
    </row>
    <row r="6">
      <c r="A6" s="9" t="inlineStr">
        <is>
          <t>Monthly Average</t>
        </is>
      </c>
      <c r="B6" s="6">
        <f>SUM(Holdings!F:F)*4/12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2026-06-16T07:19:26Z</dcterms:created>
  <dcterms:modified xsi:type="dcterms:W3CDTF">2026-06-16T07:19:26Z</dcterms:modified>
</cp:coreProperties>
</file>