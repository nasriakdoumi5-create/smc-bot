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Episodes" sheetId="2" state="visible" r:id="rId2"/>
    <sheet name="Dashboard" sheetId="3" state="visible" r:id="rId3"/>
    <sheet name="Guests" sheetId="4" state="visible" r:id="rId4"/>
    <sheet name="Analytics" sheetId="5" state="visible" r:id="rId5"/>
    <sheet name="Spons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3B0764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9333EA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3B0764"/>
      </patternFill>
    </fill>
    <fill>
      <patternFill patternType="solid">
        <fgColor rgb="00FFF7F0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🎙️  PODCAST EPISODE PLANNER</t>
        </is>
      </c>
    </row>
    <row r="3"/>
    <row r="4">
      <c r="B4" s="2" t="inlineStr">
        <is>
          <t>Episode Planning, Guests &amp; Analytics Google Sheets</t>
        </is>
      </c>
    </row>
    <row r="6">
      <c r="B6" s="3" t="inlineStr">
        <is>
          <t>STEP 1 — Fill in “Episodes”</t>
        </is>
      </c>
    </row>
    <row r="7" ht="28" customHeight="1">
      <c r="B7" s="4" t="inlineStr">
        <is>
          <t>All episodes: title, guest, publish date, and status.</t>
        </is>
      </c>
    </row>
    <row r="9">
      <c r="B9" s="3" t="inlineStr">
        <is>
          <t>STEP 2 — Fill in “Guests”</t>
        </is>
      </c>
    </row>
    <row r="10" ht="28" customHeight="1">
      <c r="B10" s="4" t="inlineStr">
        <is>
          <t>Guest tracker: outreach, booking status, and follow-up.</t>
        </is>
      </c>
    </row>
    <row r="12">
      <c r="B12" s="3" t="inlineStr">
        <is>
          <t>STEP 3 — Fill in “Analytics”</t>
        </is>
      </c>
    </row>
    <row r="13" ht="28" customHeight="1">
      <c r="B13" s="4" t="inlineStr">
        <is>
          <t>Episode download numbers and performance metrics.</t>
        </is>
      </c>
    </row>
    <row r="15">
      <c r="B15" s="3" t="inlineStr">
        <is>
          <t>STEP 4 — Fill in “Sponsors”</t>
        </is>
      </c>
    </row>
    <row r="16" ht="28" customHeight="1">
      <c r="B16" s="4" t="inlineStr">
        <is>
          <t>Sponsorship deals: brand, episodes, rate, and payment.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4" customWidth="1" min="4" max="4"/>
    <col width="14" customWidth="1" min="5" max="5"/>
    <col width="18" customWidth="1" min="6" max="6"/>
  </cols>
  <sheetData>
    <row r="1">
      <c r="A1" s="6" t="inlineStr">
        <is>
          <t>Ep #</t>
        </is>
      </c>
      <c r="B1" s="6" t="inlineStr">
        <is>
          <t>Title</t>
        </is>
      </c>
      <c r="C1" s="6" t="inlineStr">
        <is>
          <t>Guest</t>
        </is>
      </c>
      <c r="D1" s="6" t="inlineStr">
        <is>
          <t>Record Date</t>
        </is>
      </c>
      <c r="E1" s="6" t="inlineStr">
        <is>
          <t>Publish Date</t>
        </is>
      </c>
      <c r="F1" s="6" t="inlineStr">
        <is>
          <t>Status</t>
        </is>
      </c>
    </row>
    <row r="2">
      <c r="A2" s="7" t="n">
        <v>42</v>
      </c>
      <c r="B2" s="7" t="inlineStr">
        <is>
          <t>Kickoff meeting</t>
        </is>
      </c>
      <c r="C2" s="7" t="inlineStr">
        <is>
          <t>Alex Martin</t>
        </is>
      </c>
      <c r="D2" s="8" t="n">
        <v>46174</v>
      </c>
      <c r="E2" s="8" t="n">
        <v>46174</v>
      </c>
      <c r="F2" s="7" t="inlineStr">
        <is>
          <t>Idea</t>
        </is>
      </c>
    </row>
    <row r="3">
      <c r="A3" s="9" t="n">
        <v>29.4</v>
      </c>
      <c r="B3" s="9" t="inlineStr">
        <is>
          <t>Send proposal</t>
        </is>
      </c>
      <c r="C3" s="9" t="inlineStr">
        <is>
          <t>Sara Lopez</t>
        </is>
      </c>
      <c r="D3" s="10" t="n">
        <v>46180</v>
      </c>
      <c r="E3" s="10" t="n">
        <v>46180</v>
      </c>
      <c r="F3" s="9" t="inlineStr">
        <is>
          <t>Booked</t>
        </is>
      </c>
    </row>
    <row r="4">
      <c r="A4" s="7" t="n">
        <v>54.6</v>
      </c>
      <c r="B4" s="7" t="inlineStr">
        <is>
          <t>Review feedback</t>
        </is>
      </c>
      <c r="C4" s="7" t="inlineStr">
        <is>
          <t>Omar Haddad</t>
        </is>
      </c>
      <c r="D4" s="8" t="n">
        <v>46186</v>
      </c>
      <c r="E4" s="8" t="n">
        <v>46186</v>
      </c>
      <c r="F4" s="7" t="inlineStr">
        <is>
          <t>Recorded</t>
        </is>
      </c>
    </row>
    <row r="5">
      <c r="A5" s="9" t="n">
        <v>35.7</v>
      </c>
      <c r="B5" s="9" t="inlineStr">
        <is>
          <t>Update website copy</t>
        </is>
      </c>
      <c r="C5" s="9" t="inlineStr">
        <is>
          <t>Emma Fischer</t>
        </is>
      </c>
      <c r="D5" s="10" t="n">
        <v>46189</v>
      </c>
      <c r="E5" s="10" t="n">
        <v>46189</v>
      </c>
      <c r="F5" s="9" t="inlineStr">
        <is>
          <t>Editing</t>
        </is>
      </c>
    </row>
    <row r="6">
      <c r="A6" s="7" t="n">
        <v>48.3</v>
      </c>
      <c r="B6" s="7" t="inlineStr">
        <is>
          <t>Prepare invoice</t>
        </is>
      </c>
      <c r="C6" s="7" t="inlineStr">
        <is>
          <t>Liam Carter</t>
        </is>
      </c>
      <c r="D6" s="8" t="n">
        <v>46195</v>
      </c>
      <c r="E6" s="8" t="n">
        <v>46195</v>
      </c>
      <c r="F6" s="7" t="inlineStr">
        <is>
          <t>Scheduled</t>
        </is>
      </c>
    </row>
    <row r="7">
      <c r="A7" s="9" t="n">
        <v>25.2</v>
      </c>
      <c r="B7" s="9" t="inlineStr">
        <is>
          <t>Client call</t>
        </is>
      </c>
      <c r="C7" s="9" t="inlineStr">
        <is>
          <t>Nadia Rahali</t>
        </is>
      </c>
      <c r="D7" s="10" t="n">
        <v>46201</v>
      </c>
      <c r="E7" s="10" t="n">
        <v>46201</v>
      </c>
      <c r="F7" s="9" t="inlineStr">
        <is>
          <t>Published</t>
        </is>
      </c>
    </row>
    <row r="8">
      <c r="A8" s="7" t="n">
        <v>60.9</v>
      </c>
      <c r="B8" s="7" t="inlineStr">
        <is>
          <t>Design first draft</t>
        </is>
      </c>
      <c r="C8" s="7" t="inlineStr">
        <is>
          <t>Tom Becker</t>
        </is>
      </c>
      <c r="D8" s="8" t="n">
        <v>46176</v>
      </c>
      <c r="E8" s="8" t="n">
        <v>46176</v>
      </c>
      <c r="F8" s="7" t="inlineStr">
        <is>
          <t>Cancelled</t>
        </is>
      </c>
    </row>
    <row r="9">
      <c r="A9" s="9" t="n">
        <v>39.9</v>
      </c>
      <c r="B9" s="9" t="inlineStr">
        <is>
          <t>Fix reported bug</t>
        </is>
      </c>
      <c r="C9" s="9" t="inlineStr">
        <is>
          <t>Julia Romero</t>
        </is>
      </c>
      <c r="D9" s="10" t="n">
        <v>46182</v>
      </c>
      <c r="E9" s="10" t="n">
        <v>46182</v>
      </c>
      <c r="F9" s="9" t="inlineStr">
        <is>
          <t>Idea</t>
        </is>
      </c>
    </row>
    <row r="10">
      <c r="A10" s="7" t="n">
        <v>52.5</v>
      </c>
      <c r="B10" s="7" t="inlineStr">
        <is>
          <t>Weekly report</t>
        </is>
      </c>
      <c r="C10" s="7" t="inlineStr">
        <is>
          <t>Karim Ziani</t>
        </is>
      </c>
      <c r="D10" s="8" t="n">
        <v>46188</v>
      </c>
      <c r="E10" s="8" t="n">
        <v>46188</v>
      </c>
      <c r="F10" s="7" t="inlineStr">
        <is>
          <t>Booked</t>
        </is>
      </c>
    </row>
    <row r="11">
      <c r="A11" s="9" t="n">
        <v>33.6</v>
      </c>
      <c r="B11" s="9" t="inlineStr">
        <is>
          <t>Plan next sprint</t>
        </is>
      </c>
      <c r="C11" s="9" t="inlineStr">
        <is>
          <t>Anna Kowalska</t>
        </is>
      </c>
      <c r="D11" s="10" t="n">
        <v>46191</v>
      </c>
      <c r="E11" s="10" t="n">
        <v>46191</v>
      </c>
      <c r="F11" s="9" t="inlineStr">
        <is>
          <t>Recorded</t>
        </is>
      </c>
    </row>
    <row r="12">
      <c r="A12" s="7" t="n">
        <v>46.2</v>
      </c>
      <c r="B12" s="7" t="inlineStr">
        <is>
          <t>Publish blog post</t>
        </is>
      </c>
      <c r="C12" s="7" t="inlineStr">
        <is>
          <t>David Chen</t>
        </is>
      </c>
      <c r="D12" s="8" t="n">
        <v>46197</v>
      </c>
      <c r="E12" s="8" t="n">
        <v>46197</v>
      </c>
      <c r="F12" s="7" t="inlineStr">
        <is>
          <t>Editing</t>
        </is>
      </c>
    </row>
    <row r="13">
      <c r="A13" s="9" t="n">
        <v>31.5</v>
      </c>
      <c r="B13" s="9" t="inlineStr">
        <is>
          <t>Team sync</t>
        </is>
      </c>
      <c r="C13" s="9" t="inlineStr">
        <is>
          <t>Lea Moreau</t>
        </is>
      </c>
      <c r="D13" s="10" t="n">
        <v>46175</v>
      </c>
      <c r="E13" s="10" t="n">
        <v>46175</v>
      </c>
      <c r="F13" s="9" t="inlineStr">
        <is>
          <t>Scheduled</t>
        </is>
      </c>
    </row>
  </sheetData>
  <dataValidations count="1">
    <dataValidation sqref="F2:F500" showDropDown="0" showInputMessage="0" showErrorMessage="0" allowBlank="1" type="list">
      <formula1>"Idea,Booked,Recorded,Editing,Scheduled,Published,Cancelled"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PODCAST EPISODE PLANNER — DASHBOARD</t>
        </is>
      </c>
    </row>
    <row r="4">
      <c r="B4" s="12" t="inlineStr">
        <is>
          <t>TOTAL EPISODES</t>
        </is>
      </c>
      <c r="D4" s="13" t="inlineStr">
        <is>
          <t>TOTAL DOWNLOADS</t>
        </is>
      </c>
      <c r="F4" s="14" t="inlineStr">
        <is>
          <t>AVG DOWNLOADS</t>
        </is>
      </c>
      <c r="H4" s="15" t="inlineStr">
        <is>
          <t>PUBLISHED</t>
        </is>
      </c>
    </row>
    <row r="5" ht="26" customHeight="1">
      <c r="B5" s="16">
        <f>COUNTA(Episodes!A:A)-1</f>
        <v/>
      </c>
      <c r="D5" s="17">
        <f>SUM(Analytics!C:C)</f>
        <v/>
      </c>
      <c r="F5" s="18">
        <f>AVERAGE(Analytics!C:C)</f>
        <v/>
      </c>
      <c r="H5" s="19">
        <f>COUNTIF(Episodes!F:F,"Published")</f>
        <v/>
      </c>
    </row>
    <row r="8">
      <c r="B8" s="20" t="inlineStr">
        <is>
          <t>WHAT'S INSIDE</t>
        </is>
      </c>
    </row>
    <row r="9">
      <c r="B9" s="21" t="inlineStr">
        <is>
          <t>📋  Episodes — All episodes: title, guest, publish date, and status.</t>
        </is>
      </c>
    </row>
    <row r="10">
      <c r="B10" s="21" t="inlineStr">
        <is>
          <t>👤  Guests — Guest tracker: outreach, booking status, and follow-up.</t>
        </is>
      </c>
    </row>
    <row r="11">
      <c r="B11" s="21" t="inlineStr">
        <is>
          <t>📊  Analytics — Episode download numbers and performance metrics.</t>
        </is>
      </c>
    </row>
    <row r="12">
      <c r="B12" s="21" t="inlineStr">
        <is>
          <t>💼  Sponsors — Sponsorship deals: brand, episodes, rate, and payment.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8" customWidth="1" min="3" max="3"/>
    <col width="22" customWidth="1" min="4" max="4"/>
    <col width="12" customWidth="1" min="5" max="5"/>
  </cols>
  <sheetData>
    <row r="1">
      <c r="A1" s="6" t="inlineStr">
        <is>
          <t>Guest Name</t>
        </is>
      </c>
      <c r="B1" s="6" t="inlineStr">
        <is>
          <t>Bio / Topic</t>
        </is>
      </c>
      <c r="C1" s="6" t="inlineStr">
        <is>
          <t>Contact</t>
        </is>
      </c>
      <c r="D1" s="6" t="inlineStr">
        <is>
          <t>Status</t>
        </is>
      </c>
      <c r="E1" s="6" t="inlineStr">
        <is>
          <t>Episode #</t>
        </is>
      </c>
    </row>
    <row r="2">
      <c r="A2" s="7" t="inlineStr">
        <is>
          <t>Alex Martin</t>
        </is>
      </c>
      <c r="B2" s="7" t="inlineStr">
        <is>
          <t>Kickoff meeting</t>
        </is>
      </c>
      <c r="C2" s="7" t="inlineStr">
        <is>
          <t>alex@mail.com</t>
        </is>
      </c>
      <c r="D2" s="7" t="inlineStr">
        <is>
          <t>Identified</t>
        </is>
      </c>
      <c r="E2" s="7" t="n">
        <v>43</v>
      </c>
    </row>
    <row r="3">
      <c r="A3" s="9" t="inlineStr">
        <is>
          <t>Sara Lopez</t>
        </is>
      </c>
      <c r="B3" s="9" t="inlineStr">
        <is>
          <t>Send proposal</t>
        </is>
      </c>
      <c r="C3" s="9" t="inlineStr">
        <is>
          <t>sara@mail.com</t>
        </is>
      </c>
      <c r="D3" s="9" t="inlineStr">
        <is>
          <t>Outreach Sent</t>
        </is>
      </c>
      <c r="E3" s="9" t="n">
        <v>30.1</v>
      </c>
    </row>
    <row r="4">
      <c r="A4" s="7" t="inlineStr">
        <is>
          <t>Omar Haddad</t>
        </is>
      </c>
      <c r="B4" s="7" t="inlineStr">
        <is>
          <t>Review feedback</t>
        </is>
      </c>
      <c r="C4" s="7" t="inlineStr">
        <is>
          <t>omar@mail.com</t>
        </is>
      </c>
      <c r="D4" s="7" t="inlineStr">
        <is>
          <t>Responded</t>
        </is>
      </c>
      <c r="E4" s="7" t="n">
        <v>55.9</v>
      </c>
    </row>
    <row r="5">
      <c r="A5" s="9" t="inlineStr">
        <is>
          <t>Emma Fischer</t>
        </is>
      </c>
      <c r="B5" s="9" t="inlineStr">
        <is>
          <t>Update website copy</t>
        </is>
      </c>
      <c r="C5" s="9" t="inlineStr">
        <is>
          <t>emma@mail.com</t>
        </is>
      </c>
      <c r="D5" s="9" t="inlineStr">
        <is>
          <t>Confirmed</t>
        </is>
      </c>
      <c r="E5" s="9" t="n">
        <v>36.55</v>
      </c>
    </row>
    <row r="6">
      <c r="A6" s="7" t="inlineStr">
        <is>
          <t>Liam Carter</t>
        </is>
      </c>
      <c r="B6" s="7" t="inlineStr">
        <is>
          <t>Prepare invoice</t>
        </is>
      </c>
      <c r="C6" s="7" t="inlineStr">
        <is>
          <t>liam@mail.com</t>
        </is>
      </c>
      <c r="D6" s="7" t="inlineStr">
        <is>
          <t>Recorded</t>
        </is>
      </c>
      <c r="E6" s="7" t="n">
        <v>49.45</v>
      </c>
    </row>
    <row r="7">
      <c r="A7" s="9" t="inlineStr">
        <is>
          <t>Nadia Rahali</t>
        </is>
      </c>
      <c r="B7" s="9" t="inlineStr">
        <is>
          <t>Client call</t>
        </is>
      </c>
      <c r="C7" s="9" t="inlineStr">
        <is>
          <t>nadia@mail.com</t>
        </is>
      </c>
      <c r="D7" s="9" t="inlineStr">
        <is>
          <t>Published</t>
        </is>
      </c>
      <c r="E7" s="9" t="n">
        <v>25.8</v>
      </c>
    </row>
    <row r="8">
      <c r="A8" s="7" t="inlineStr">
        <is>
          <t>Tom Becker</t>
        </is>
      </c>
      <c r="B8" s="7" t="inlineStr">
        <is>
          <t>Design first draft</t>
        </is>
      </c>
      <c r="C8" s="7" t="inlineStr">
        <is>
          <t>tom@mail.com</t>
        </is>
      </c>
      <c r="D8" s="7" t="inlineStr">
        <is>
          <t>Declined</t>
        </is>
      </c>
      <c r="E8" s="7" t="n">
        <v>62.35</v>
      </c>
    </row>
    <row r="9">
      <c r="A9" s="9" t="inlineStr">
        <is>
          <t>Julia Romero</t>
        </is>
      </c>
      <c r="B9" s="9" t="inlineStr">
        <is>
          <t>Fix reported bug</t>
        </is>
      </c>
      <c r="C9" s="9" t="inlineStr">
        <is>
          <t>julia@mail.com</t>
        </is>
      </c>
      <c r="D9" s="9" t="inlineStr">
        <is>
          <t>Identified</t>
        </is>
      </c>
      <c r="E9" s="9" t="n">
        <v>40.85</v>
      </c>
    </row>
    <row r="10">
      <c r="A10" s="7" t="inlineStr">
        <is>
          <t>Karim Ziani</t>
        </is>
      </c>
      <c r="B10" s="7" t="inlineStr">
        <is>
          <t>Weekly report</t>
        </is>
      </c>
      <c r="C10" s="7" t="inlineStr">
        <is>
          <t>karim@mail.com</t>
        </is>
      </c>
      <c r="D10" s="7" t="inlineStr">
        <is>
          <t>Outreach Sent</t>
        </is>
      </c>
      <c r="E10" s="7" t="n">
        <v>53.75</v>
      </c>
    </row>
    <row r="11">
      <c r="A11" s="9" t="inlineStr">
        <is>
          <t>Anna Kowalska</t>
        </is>
      </c>
      <c r="B11" s="9" t="inlineStr">
        <is>
          <t>Plan next sprint</t>
        </is>
      </c>
      <c r="C11" s="9" t="inlineStr">
        <is>
          <t>anna@mail.com</t>
        </is>
      </c>
      <c r="D11" s="9" t="inlineStr">
        <is>
          <t>Responded</t>
        </is>
      </c>
      <c r="E11" s="9" t="n">
        <v>34.4</v>
      </c>
    </row>
    <row r="12">
      <c r="A12" s="7" t="inlineStr">
        <is>
          <t>David Chen</t>
        </is>
      </c>
      <c r="B12" s="7" t="inlineStr">
        <is>
          <t>Publish blog post</t>
        </is>
      </c>
      <c r="C12" s="7" t="inlineStr">
        <is>
          <t>david@mail.com</t>
        </is>
      </c>
      <c r="D12" s="7" t="inlineStr">
        <is>
          <t>Confirmed</t>
        </is>
      </c>
      <c r="E12" s="7" t="n">
        <v>47.3</v>
      </c>
    </row>
    <row r="13">
      <c r="A13" s="9" t="inlineStr">
        <is>
          <t>Lea Moreau</t>
        </is>
      </c>
      <c r="B13" s="9" t="inlineStr">
        <is>
          <t>Team sync</t>
        </is>
      </c>
      <c r="C13" s="9" t="inlineStr">
        <is>
          <t>lea@mail.com</t>
        </is>
      </c>
      <c r="D13" s="9" t="inlineStr">
        <is>
          <t>Recorded</t>
        </is>
      </c>
      <c r="E13" s="9" t="n">
        <v>32.25</v>
      </c>
    </row>
  </sheetData>
  <dataValidations count="1">
    <dataValidation sqref="D2:D500" showDropDown="0" showInputMessage="0" showErrorMessage="0" allowBlank="1" type="list">
      <formula1>"Identified,Outreach Sent,Responded,Confirmed,Recorded,Published,Declined"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0" customWidth="1" min="5" max="5"/>
  </cols>
  <sheetData>
    <row r="1">
      <c r="A1" s="6" t="inlineStr">
        <is>
          <t>Episode</t>
        </is>
      </c>
      <c r="B1" s="6" t="inlineStr">
        <is>
          <t>Publish Date</t>
        </is>
      </c>
      <c r="C1" s="6" t="inlineStr">
        <is>
          <t>Downloads</t>
        </is>
      </c>
      <c r="D1" s="6" t="inlineStr">
        <is>
          <t>Comments</t>
        </is>
      </c>
      <c r="E1" s="6" t="inlineStr">
        <is>
          <t>Rating</t>
        </is>
      </c>
    </row>
    <row r="2">
      <c r="A2" s="7" t="inlineStr">
        <is>
          <t>Ep 42: Build Passive Income</t>
        </is>
      </c>
      <c r="B2" s="8" t="n">
        <v>46174</v>
      </c>
      <c r="C2" s="7" t="n">
        <v>1240</v>
      </c>
      <c r="D2" s="7" t="n">
        <v>23</v>
      </c>
      <c r="E2" s="7" t="n">
        <v>4.8</v>
      </c>
    </row>
    <row r="3">
      <c r="A3" s="9" t="inlineStr">
        <is>
          <t>Ep 42: Build Passive Income</t>
        </is>
      </c>
      <c r="B3" s="10" t="n">
        <v>46180</v>
      </c>
      <c r="C3" s="9" t="n">
        <v>868</v>
      </c>
      <c r="D3" s="9" t="n">
        <v>16.1</v>
      </c>
      <c r="E3" s="9" t="n">
        <v>3.36</v>
      </c>
    </row>
    <row r="4">
      <c r="A4" s="7" t="inlineStr"/>
      <c r="B4" s="8" t="n">
        <v>46186</v>
      </c>
      <c r="C4" s="7" t="n">
        <v>1612</v>
      </c>
      <c r="D4" s="7" t="n">
        <v>29.9</v>
      </c>
      <c r="E4" s="7" t="n">
        <v>6.24</v>
      </c>
    </row>
    <row r="5">
      <c r="A5" s="9" t="inlineStr">
        <is>
          <t>Ep 42: Build Passive Income</t>
        </is>
      </c>
      <c r="B5" s="10" t="n">
        <v>46189</v>
      </c>
      <c r="C5" s="9" t="n">
        <v>1054</v>
      </c>
      <c r="D5" s="9" t="n">
        <v>19.55</v>
      </c>
      <c r="E5" s="9" t="n">
        <v>4.08</v>
      </c>
    </row>
    <row r="6">
      <c r="A6" s="7" t="inlineStr">
        <is>
          <t>Ep 42: Build Passive Income</t>
        </is>
      </c>
      <c r="B6" s="8" t="n">
        <v>46195</v>
      </c>
      <c r="C6" s="7" t="n">
        <v>1426</v>
      </c>
      <c r="D6" s="7" t="n">
        <v>26.45</v>
      </c>
      <c r="E6" s="7" t="n">
        <v>5.52</v>
      </c>
    </row>
    <row r="7">
      <c r="A7" s="9" t="inlineStr"/>
      <c r="B7" s="10" t="n">
        <v>46201</v>
      </c>
      <c r="C7" s="9" t="n">
        <v>744</v>
      </c>
      <c r="D7" s="9" t="n">
        <v>13.8</v>
      </c>
      <c r="E7" s="9" t="n">
        <v>2.88</v>
      </c>
    </row>
    <row r="8">
      <c r="A8" s="7" t="inlineStr">
        <is>
          <t>Ep 42: Build Passive Income</t>
        </is>
      </c>
      <c r="B8" s="8" t="n">
        <v>46176</v>
      </c>
      <c r="C8" s="7" t="n">
        <v>1798</v>
      </c>
      <c r="D8" s="7" t="n">
        <v>33.35</v>
      </c>
      <c r="E8" s="7" t="n">
        <v>6.96</v>
      </c>
    </row>
    <row r="9">
      <c r="A9" s="9" t="inlineStr">
        <is>
          <t>Ep 42: Build Passive Income</t>
        </is>
      </c>
      <c r="B9" s="10" t="n">
        <v>46182</v>
      </c>
      <c r="C9" s="9" t="n">
        <v>1178</v>
      </c>
      <c r="D9" s="9" t="n">
        <v>21.85</v>
      </c>
      <c r="E9" s="9" t="n">
        <v>4.56</v>
      </c>
    </row>
    <row r="10">
      <c r="A10" s="7" t="inlineStr"/>
      <c r="B10" s="8" t="n">
        <v>46188</v>
      </c>
      <c r="C10" s="7" t="n">
        <v>1550</v>
      </c>
      <c r="D10" s="7" t="n">
        <v>28.75</v>
      </c>
      <c r="E10" s="7" t="n">
        <v>6</v>
      </c>
    </row>
    <row r="11">
      <c r="A11" s="9" t="inlineStr">
        <is>
          <t>Ep 42: Build Passive Income</t>
        </is>
      </c>
      <c r="B11" s="10" t="n">
        <v>46191</v>
      </c>
      <c r="C11" s="9" t="n">
        <v>992</v>
      </c>
      <c r="D11" s="9" t="n">
        <v>18.4</v>
      </c>
      <c r="E11" s="9" t="n">
        <v>3.84</v>
      </c>
    </row>
    <row r="12">
      <c r="A12" s="7" t="inlineStr">
        <is>
          <t>Ep 42: Build Passive Income</t>
        </is>
      </c>
      <c r="B12" s="8" t="n">
        <v>46197</v>
      </c>
      <c r="C12" s="7" t="n">
        <v>1364</v>
      </c>
      <c r="D12" s="7" t="n">
        <v>25.3</v>
      </c>
      <c r="E12" s="7" t="n">
        <v>5.28</v>
      </c>
    </row>
    <row r="13">
      <c r="A13" s="9" t="inlineStr"/>
      <c r="B13" s="10" t="n">
        <v>46175</v>
      </c>
      <c r="C13" s="9" t="n">
        <v>930</v>
      </c>
      <c r="D13" s="9" t="n">
        <v>17.25</v>
      </c>
      <c r="E13" s="9" t="n">
        <v>3.6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8" customWidth="1" min="4" max="4"/>
    <col width="18" customWidth="1" min="5" max="5"/>
  </cols>
  <sheetData>
    <row r="1">
      <c r="A1" s="6" t="inlineStr">
        <is>
          <t>Brand</t>
        </is>
      </c>
      <c r="B1" s="6" t="inlineStr">
        <is>
          <t>Episodes</t>
        </is>
      </c>
      <c r="C1" s="6" t="inlineStr">
        <is>
          <t>Rate $</t>
        </is>
      </c>
      <c r="D1" s="6" t="inlineStr">
        <is>
          <t>Type</t>
        </is>
      </c>
      <c r="E1" s="6" t="inlineStr">
        <is>
          <t>Status</t>
        </is>
      </c>
    </row>
    <row r="2">
      <c r="A2" s="7" t="inlineStr">
        <is>
          <t>BrightWave Studio</t>
        </is>
      </c>
      <c r="B2" s="7" t="inlineStr">
        <is>
          <t>Ep 40-45</t>
        </is>
      </c>
      <c r="C2" s="7" t="n">
        <v>500</v>
      </c>
      <c r="D2" s="7" t="inlineStr">
        <is>
          <t>Pre-roll</t>
        </is>
      </c>
      <c r="E2" s="7" t="inlineStr">
        <is>
          <t>Negotiating</t>
        </is>
      </c>
    </row>
    <row r="3">
      <c r="A3" s="9" t="inlineStr">
        <is>
          <t>GreenLeaf Co.</t>
        </is>
      </c>
      <c r="B3" s="9" t="inlineStr">
        <is>
          <t>Ep 40-46</t>
        </is>
      </c>
      <c r="C3" s="9" t="n">
        <v>350</v>
      </c>
      <c r="D3" s="9" t="inlineStr">
        <is>
          <t>Mid-roll</t>
        </is>
      </c>
      <c r="E3" s="9" t="inlineStr">
        <is>
          <t>Confirmed</t>
        </is>
      </c>
    </row>
    <row r="4">
      <c r="A4" s="7" t="inlineStr">
        <is>
          <t>Nova Digital</t>
        </is>
      </c>
      <c r="B4" s="7" t="inlineStr">
        <is>
          <t>Ep 40-47</t>
        </is>
      </c>
      <c r="C4" s="7" t="n">
        <v>650</v>
      </c>
      <c r="D4" s="7" t="inlineStr">
        <is>
          <t>Post-roll</t>
        </is>
      </c>
      <c r="E4" s="7" t="inlineStr">
        <is>
          <t>Live</t>
        </is>
      </c>
    </row>
    <row r="5">
      <c r="A5" s="9" t="inlineStr">
        <is>
          <t>Atlas Consulting</t>
        </is>
      </c>
      <c r="B5" s="9" t="inlineStr">
        <is>
          <t>Ep 40-48</t>
        </is>
      </c>
      <c r="C5" s="9" t="n">
        <v>425</v>
      </c>
      <c r="D5" s="9" t="inlineStr">
        <is>
          <t>Whole Ep</t>
        </is>
      </c>
      <c r="E5" s="9" t="inlineStr">
        <is>
          <t>Paid</t>
        </is>
      </c>
    </row>
    <row r="6">
      <c r="A6" s="7" t="inlineStr">
        <is>
          <t>Pixel &amp; Co</t>
        </is>
      </c>
      <c r="B6" s="7" t="inlineStr">
        <is>
          <t>Ep 40-49</t>
        </is>
      </c>
      <c r="C6" s="7" t="n">
        <v>575</v>
      </c>
      <c r="D6" s="7" t="inlineStr">
        <is>
          <t>Pre-roll</t>
        </is>
      </c>
      <c r="E6" s="7" t="inlineStr">
        <is>
          <t>Done</t>
        </is>
      </c>
    </row>
    <row r="7">
      <c r="A7" s="9" t="inlineStr">
        <is>
          <t>Blue Harbor Ltd</t>
        </is>
      </c>
      <c r="B7" s="9" t="inlineStr">
        <is>
          <t>Ep 40-50</t>
        </is>
      </c>
      <c r="C7" s="9" t="n">
        <v>300</v>
      </c>
      <c r="D7" s="9" t="inlineStr">
        <is>
          <t>Mid-roll</t>
        </is>
      </c>
      <c r="E7" s="9" t="inlineStr">
        <is>
          <t>Negotiating</t>
        </is>
      </c>
    </row>
    <row r="8">
      <c r="A8" s="7" t="inlineStr">
        <is>
          <t>Sunrise Media</t>
        </is>
      </c>
      <c r="B8" s="7" t="inlineStr">
        <is>
          <t>Ep 40-51</t>
        </is>
      </c>
      <c r="C8" s="7" t="n">
        <v>725</v>
      </c>
      <c r="D8" s="7" t="inlineStr">
        <is>
          <t>Post-roll</t>
        </is>
      </c>
      <c r="E8" s="7" t="inlineStr">
        <is>
          <t>Confirmed</t>
        </is>
      </c>
    </row>
    <row r="9">
      <c r="A9" s="9" t="inlineStr">
        <is>
          <t>UrbanCraft</t>
        </is>
      </c>
      <c r="B9" s="9" t="inlineStr">
        <is>
          <t>Ep 40-52</t>
        </is>
      </c>
      <c r="C9" s="9" t="n">
        <v>475</v>
      </c>
      <c r="D9" s="9" t="inlineStr">
        <is>
          <t>Whole Ep</t>
        </is>
      </c>
      <c r="E9" s="9" t="inlineStr">
        <is>
          <t>Live</t>
        </is>
      </c>
    </row>
    <row r="10">
      <c r="A10" s="7" t="inlineStr">
        <is>
          <t>PrimeWorks</t>
        </is>
      </c>
      <c r="B10" s="7" t="inlineStr">
        <is>
          <t>Ep 40-53</t>
        </is>
      </c>
      <c r="C10" s="7" t="n">
        <v>625</v>
      </c>
      <c r="D10" s="7" t="inlineStr">
        <is>
          <t>Pre-roll</t>
        </is>
      </c>
      <c r="E10" s="7" t="inlineStr">
        <is>
          <t>Paid</t>
        </is>
      </c>
    </row>
    <row r="11">
      <c r="A11" s="9" t="inlineStr">
        <is>
          <t>EchoLab</t>
        </is>
      </c>
      <c r="B11" s="9" t="inlineStr">
        <is>
          <t>Ep 40-54</t>
        </is>
      </c>
      <c r="C11" s="9" t="n">
        <v>400</v>
      </c>
      <c r="D11" s="9" t="inlineStr">
        <is>
          <t>Mid-roll</t>
        </is>
      </c>
      <c r="E11" s="9" t="inlineStr">
        <is>
          <t>Done</t>
        </is>
      </c>
    </row>
    <row r="12">
      <c r="A12" s="7" t="inlineStr">
        <is>
          <t>Vertex Group</t>
        </is>
      </c>
      <c r="B12" s="7" t="inlineStr">
        <is>
          <t>Ep 40-55</t>
        </is>
      </c>
      <c r="C12" s="7" t="n">
        <v>550</v>
      </c>
      <c r="D12" s="7" t="inlineStr">
        <is>
          <t>Post-roll</t>
        </is>
      </c>
      <c r="E12" s="7" t="inlineStr">
        <is>
          <t>Negotiating</t>
        </is>
      </c>
    </row>
    <row r="13">
      <c r="A13" s="9" t="inlineStr">
        <is>
          <t>ClearPath Inc</t>
        </is>
      </c>
      <c r="B13" s="9" t="inlineStr">
        <is>
          <t>Ep 40-56</t>
        </is>
      </c>
      <c r="C13" s="9" t="n">
        <v>375</v>
      </c>
      <c r="D13" s="9" t="inlineStr">
        <is>
          <t>Whole Ep</t>
        </is>
      </c>
      <c r="E13" s="9" t="inlineStr">
        <is>
          <t>Confirmed</t>
        </is>
      </c>
    </row>
  </sheetData>
  <dataValidations count="2">
    <dataValidation sqref="D2:D500" showDropDown="0" showInputMessage="0" showErrorMessage="0" allowBlank="1" type="list">
      <formula1>"Pre-roll,Mid-roll,Post-roll,Whole Ep"</formula1>
    </dataValidation>
    <dataValidation sqref="E2:E500" showDropDown="0" showInputMessage="0" showErrorMessage="0" allowBlank="1" type="list">
      <formula1>"Negotiating,Confirmed,Live,Paid,Done"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2026-07-16T21:44:38Z</dcterms:created>
  <dcterms:modified xsi:type="dcterms:W3CDTF">2026-07-16T21:44:38Z</dcterms:modified>
</cp:coreProperties>
</file>