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uppliers" sheetId="2" state="visible" r:id="rId2"/>
    <sheet name="Dashboard" sheetId="3" state="visible" r:id="rId3"/>
    <sheet name="PurchaseOrders" sheetId="4" state="visible" r:id="rId4"/>
    <sheet name="Items" sheetId="5" state="visible" r:id="rId5"/>
    <sheet name="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C1A2E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0369A1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C1A2E"/>
      </patternFill>
    </fill>
    <fill>
      <patternFill patternType="solid">
        <fgColor rgb="00FFF7F0"/>
      </patternFill>
    </fill>
    <fill>
      <patternFill patternType="solid">
        <fgColor rgb="000369A1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🏭  SUPPLY CHAIN TRACKER</t>
        </is>
      </c>
    </row>
    <row r="3"/>
    <row r="4">
      <c r="B4" s="2" t="inlineStr">
        <is>
          <t>Suppliers, Orders &amp; Lead Time Google Sheets</t>
        </is>
      </c>
    </row>
    <row r="6">
      <c r="B6" s="3" t="inlineStr">
        <is>
          <t>STEP 1 — Fill in “Suppliers”</t>
        </is>
      </c>
    </row>
    <row r="7" ht="28" customHeight="1">
      <c r="B7" s="4" t="inlineStr">
        <is>
          <t>Supplier directory with performance and lead times.</t>
        </is>
      </c>
    </row>
    <row r="9">
      <c r="B9" s="3" t="inlineStr">
        <is>
          <t>STEP 2 — Fill in “PurchaseOrders”</t>
        </is>
      </c>
    </row>
    <row r="10" ht="28" customHeight="1">
      <c r="B10" s="4" t="inlineStr">
        <is>
          <t>All purchase orders with dates, status, and delivery tracking.</t>
        </is>
      </c>
    </row>
    <row r="12">
      <c r="B12" s="3" t="inlineStr">
        <is>
          <t>STEP 3 — Fill in “Items”</t>
        </is>
      </c>
    </row>
    <row r="13" ht="28" customHeight="1">
      <c r="B13" s="4" t="inlineStr">
        <is>
          <t>Ordered items within each PO.</t>
        </is>
      </c>
    </row>
    <row r="15">
      <c r="B15" s="3" t="inlineStr">
        <is>
          <t>STEP 4 — Fill in “Performance”</t>
        </is>
      </c>
    </row>
    <row r="16" ht="28" customHeight="1">
      <c r="B16" s="4" t="inlineStr">
        <is>
          <t>Supplier performance scorecard by quarter.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</cols>
  <sheetData>
    <row r="1">
      <c r="A1" s="6" t="inlineStr">
        <is>
          <t>Supplier</t>
        </is>
      </c>
      <c r="B1" s="6" t="inlineStr">
        <is>
          <t>Country</t>
        </is>
      </c>
      <c r="C1" s="6" t="inlineStr">
        <is>
          <t>Category</t>
        </is>
      </c>
      <c r="D1" s="6" t="inlineStr">
        <is>
          <t>Contact</t>
        </is>
      </c>
      <c r="E1" s="6" t="inlineStr">
        <is>
          <t>Lead Time (days)</t>
        </is>
      </c>
      <c r="F1" s="6" t="inlineStr">
        <is>
          <t>Reliability</t>
        </is>
      </c>
      <c r="G1" s="6" t="inlineStr">
        <is>
          <t>Min Order $</t>
        </is>
      </c>
    </row>
    <row r="2">
      <c r="A2" s="7" t="inlineStr">
        <is>
          <t>BrightWave Studio</t>
        </is>
      </c>
      <c r="B2" s="7" t="inlineStr">
        <is>
          <t>China</t>
        </is>
      </c>
      <c r="C2" s="7" t="inlineStr">
        <is>
          <t>Electronics</t>
        </is>
      </c>
      <c r="D2" s="7" t="inlineStr">
        <is>
          <t>alex@mail.com</t>
        </is>
      </c>
      <c r="E2" s="7" t="n">
        <v>28</v>
      </c>
      <c r="F2" s="7" t="inlineStr">
        <is>
          <t>Excellent</t>
        </is>
      </c>
      <c r="G2" s="7" t="n">
        <v>500</v>
      </c>
    </row>
    <row r="3">
      <c r="A3" s="8" t="inlineStr">
        <is>
          <t>GreenLeaf Co.</t>
        </is>
      </c>
      <c r="B3" s="8" t="inlineStr">
        <is>
          <t>China</t>
        </is>
      </c>
      <c r="C3" s="8" t="inlineStr">
        <is>
          <t>Packaging</t>
        </is>
      </c>
      <c r="D3" s="8" t="inlineStr">
        <is>
          <t>sara@mail.com</t>
        </is>
      </c>
      <c r="E3" s="8" t="n">
        <v>19.6</v>
      </c>
      <c r="F3" s="8" t="inlineStr">
        <is>
          <t>Good</t>
        </is>
      </c>
      <c r="G3" s="8" t="n">
        <v>350</v>
      </c>
    </row>
    <row r="4">
      <c r="A4" s="7" t="inlineStr">
        <is>
          <t>Nova Digital</t>
        </is>
      </c>
      <c r="B4" s="7" t="inlineStr"/>
      <c r="C4" s="7" t="inlineStr">
        <is>
          <t>Raw Materials</t>
        </is>
      </c>
      <c r="D4" s="7" t="inlineStr">
        <is>
          <t>omar@mail.com</t>
        </is>
      </c>
      <c r="E4" s="7" t="n">
        <v>36.4</v>
      </c>
      <c r="F4" s="7" t="inlineStr">
        <is>
          <t>Fair</t>
        </is>
      </c>
      <c r="G4" s="7" t="n">
        <v>650</v>
      </c>
    </row>
    <row r="5">
      <c r="A5" s="8" t="inlineStr">
        <is>
          <t>Atlas Consulting</t>
        </is>
      </c>
      <c r="B5" s="8" t="inlineStr">
        <is>
          <t>China</t>
        </is>
      </c>
      <c r="C5" s="8" t="inlineStr">
        <is>
          <t>Finished Goods</t>
        </is>
      </c>
      <c r="D5" s="8" t="inlineStr">
        <is>
          <t>emma@mail.com</t>
        </is>
      </c>
      <c r="E5" s="8" t="n">
        <v>23.8</v>
      </c>
      <c r="F5" s="8" t="inlineStr">
        <is>
          <t>Poor</t>
        </is>
      </c>
      <c r="G5" s="8" t="n">
        <v>425</v>
      </c>
    </row>
    <row r="6">
      <c r="A6" s="7" t="inlineStr">
        <is>
          <t>Pixel &amp; Co</t>
        </is>
      </c>
      <c r="B6" s="7" t="inlineStr">
        <is>
          <t>China</t>
        </is>
      </c>
      <c r="C6" s="7" t="inlineStr">
        <is>
          <t>Components</t>
        </is>
      </c>
      <c r="D6" s="7" t="inlineStr">
        <is>
          <t>liam@mail.com</t>
        </is>
      </c>
      <c r="E6" s="7" t="n">
        <v>32.2</v>
      </c>
      <c r="F6" s="7" t="inlineStr">
        <is>
          <t>Excellent</t>
        </is>
      </c>
      <c r="G6" s="7" t="n">
        <v>575</v>
      </c>
    </row>
    <row r="7">
      <c r="A7" s="8" t="inlineStr">
        <is>
          <t>Blue Harbor Ltd</t>
        </is>
      </c>
      <c r="B7" s="8" t="inlineStr"/>
      <c r="C7" s="8" t="inlineStr">
        <is>
          <t>Electronics</t>
        </is>
      </c>
      <c r="D7" s="8" t="inlineStr">
        <is>
          <t>nadia@mail.com</t>
        </is>
      </c>
      <c r="E7" s="8" t="n">
        <v>16.8</v>
      </c>
      <c r="F7" s="8" t="inlineStr">
        <is>
          <t>Good</t>
        </is>
      </c>
      <c r="G7" s="8" t="n">
        <v>300</v>
      </c>
    </row>
    <row r="8">
      <c r="A8" s="7" t="inlineStr">
        <is>
          <t>Sunrise Media</t>
        </is>
      </c>
      <c r="B8" s="7" t="inlineStr">
        <is>
          <t>China</t>
        </is>
      </c>
      <c r="C8" s="7" t="inlineStr">
        <is>
          <t>Packaging</t>
        </is>
      </c>
      <c r="D8" s="7" t="inlineStr">
        <is>
          <t>tom@mail.com</t>
        </is>
      </c>
      <c r="E8" s="7" t="n">
        <v>40.6</v>
      </c>
      <c r="F8" s="7" t="inlineStr">
        <is>
          <t>Fair</t>
        </is>
      </c>
      <c r="G8" s="7" t="n">
        <v>725</v>
      </c>
    </row>
    <row r="9">
      <c r="A9" s="8" t="inlineStr">
        <is>
          <t>UrbanCraft</t>
        </is>
      </c>
      <c r="B9" s="8" t="inlineStr">
        <is>
          <t>China</t>
        </is>
      </c>
      <c r="C9" s="8" t="inlineStr">
        <is>
          <t>Raw Materials</t>
        </is>
      </c>
      <c r="D9" s="8" t="inlineStr">
        <is>
          <t>julia@mail.com</t>
        </is>
      </c>
      <c r="E9" s="8" t="n">
        <v>26.6</v>
      </c>
      <c r="F9" s="8" t="inlineStr">
        <is>
          <t>Poor</t>
        </is>
      </c>
      <c r="G9" s="8" t="n">
        <v>475</v>
      </c>
    </row>
    <row r="10">
      <c r="A10" s="7" t="inlineStr">
        <is>
          <t>PrimeWorks</t>
        </is>
      </c>
      <c r="B10" s="7" t="inlineStr"/>
      <c r="C10" s="7" t="inlineStr">
        <is>
          <t>Finished Goods</t>
        </is>
      </c>
      <c r="D10" s="7" t="inlineStr">
        <is>
          <t>karim@mail.com</t>
        </is>
      </c>
      <c r="E10" s="7" t="n">
        <v>35</v>
      </c>
      <c r="F10" s="7" t="inlineStr">
        <is>
          <t>Excellent</t>
        </is>
      </c>
      <c r="G10" s="7" t="n">
        <v>625</v>
      </c>
    </row>
    <row r="11">
      <c r="A11" s="8" t="inlineStr">
        <is>
          <t>EchoLab</t>
        </is>
      </c>
      <c r="B11" s="8" t="inlineStr">
        <is>
          <t>China</t>
        </is>
      </c>
      <c r="C11" s="8" t="inlineStr">
        <is>
          <t>Components</t>
        </is>
      </c>
      <c r="D11" s="8" t="inlineStr">
        <is>
          <t>anna@mail.com</t>
        </is>
      </c>
      <c r="E11" s="8" t="n">
        <v>22.4</v>
      </c>
      <c r="F11" s="8" t="inlineStr">
        <is>
          <t>Good</t>
        </is>
      </c>
      <c r="G11" s="8" t="n">
        <v>400</v>
      </c>
    </row>
    <row r="12">
      <c r="A12" s="7" t="inlineStr">
        <is>
          <t>Vertex Group</t>
        </is>
      </c>
      <c r="B12" s="7" t="inlineStr">
        <is>
          <t>China</t>
        </is>
      </c>
      <c r="C12" s="7" t="inlineStr">
        <is>
          <t>Electronics</t>
        </is>
      </c>
      <c r="D12" s="7" t="inlineStr">
        <is>
          <t>david@mail.com</t>
        </is>
      </c>
      <c r="E12" s="7" t="n">
        <v>30.8</v>
      </c>
      <c r="F12" s="7" t="inlineStr">
        <is>
          <t>Fair</t>
        </is>
      </c>
      <c r="G12" s="7" t="n">
        <v>550</v>
      </c>
    </row>
    <row r="13">
      <c r="A13" s="8" t="inlineStr">
        <is>
          <t>ClearPath Inc</t>
        </is>
      </c>
      <c r="B13" s="8" t="inlineStr"/>
      <c r="C13" s="8" t="inlineStr">
        <is>
          <t>Packaging</t>
        </is>
      </c>
      <c r="D13" s="8" t="inlineStr">
        <is>
          <t>lea@mail.com</t>
        </is>
      </c>
      <c r="E13" s="8" t="n">
        <v>21</v>
      </c>
      <c r="F13" s="8" t="inlineStr">
        <is>
          <t>Poor</t>
        </is>
      </c>
      <c r="G13" s="8" t="n">
        <v>375</v>
      </c>
    </row>
  </sheetData>
  <dataValidations count="2">
    <dataValidation sqref="C2:C500" showDropDown="0" showInputMessage="0" showErrorMessage="0" allowBlank="1" type="list">
      <formula1>"Electronics,Packaging,Raw Materials,Finished Goods,Components"</formula1>
    </dataValidation>
    <dataValidation sqref="F2:F500" showDropDown="0" showInputMessage="0" showErrorMessage="0" allowBlank="1" type="list">
      <formula1>"Excellent,Good,Fair,Poor"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9" t="inlineStr">
        <is>
          <t>📊  SUPPLY CHAIN TRACKER — DASHBOARD</t>
        </is>
      </c>
    </row>
    <row r="4">
      <c r="B4" s="10" t="inlineStr">
        <is>
          <t>OPEN POS</t>
        </is>
      </c>
      <c r="D4" s="11" t="inlineStr">
        <is>
          <t>ON-TIME RATE %</t>
        </is>
      </c>
      <c r="F4" s="12" t="inlineStr">
        <is>
          <t>AVG LEAD TIME (DAYS)</t>
        </is>
      </c>
      <c r="H4" s="13" t="inlineStr">
        <is>
          <t>TOTAL OPEN PO VALUE</t>
        </is>
      </c>
    </row>
    <row r="5" ht="26" customHeight="1">
      <c r="B5" s="14">
        <f>COUNTIF(PurchaseOrders!G:G,"Open")</f>
        <v/>
      </c>
      <c r="D5" s="15">
        <f>COUNTIF(PurchaseOrders!H:H,"On Time")/COUNTA(PurchaseOrders!A:A)</f>
        <v/>
      </c>
      <c r="F5" s="16">
        <f>AVERAGE(Suppliers!E:E)</f>
        <v/>
      </c>
      <c r="H5" s="17">
        <f>SUMIF(PurchaseOrders!G:G,"Open",PurchaseOrders!F:F)</f>
        <v/>
      </c>
    </row>
    <row r="8">
      <c r="B8" s="18" t="inlineStr">
        <is>
          <t>WHAT'S INSIDE</t>
        </is>
      </c>
    </row>
    <row r="9">
      <c r="B9" s="19" t="inlineStr">
        <is>
          <t>🏢  Suppliers — Supplier directory with performance and lead times.</t>
        </is>
      </c>
    </row>
    <row r="10">
      <c r="B10" s="19" t="inlineStr">
        <is>
          <t>📋  PurchaseOrders — All purchase orders with dates, status, and delivery tracking.</t>
        </is>
      </c>
    </row>
    <row r="11">
      <c r="B11" s="19" t="inlineStr">
        <is>
          <t>📦  Items — Ordered items within each PO.</t>
        </is>
      </c>
    </row>
    <row r="12">
      <c r="B12" s="19" t="inlineStr">
        <is>
          <t>📊  Performance — Supplier performance scorecard by quarter.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PO Number</t>
        </is>
      </c>
      <c r="B1" s="6" t="inlineStr">
        <is>
          <t>Supplier</t>
        </is>
      </c>
      <c r="C1" s="6" t="inlineStr">
        <is>
          <t>Order Date</t>
        </is>
      </c>
      <c r="D1" s="6" t="inlineStr">
        <is>
          <t>Expected Date</t>
        </is>
      </c>
      <c r="E1" s="6" t="inlineStr">
        <is>
          <t>Actual Date</t>
        </is>
      </c>
      <c r="F1" s="6" t="inlineStr">
        <is>
          <t>Value $</t>
        </is>
      </c>
      <c r="G1" s="6" t="inlineStr">
        <is>
          <t>Status</t>
        </is>
      </c>
      <c r="H1" s="6" t="inlineStr">
        <is>
          <t>Delivery</t>
        </is>
      </c>
    </row>
    <row r="2">
      <c r="A2" s="7" t="inlineStr">
        <is>
          <t>PO-2024-001</t>
        </is>
      </c>
      <c r="B2" s="7" t="inlineStr">
        <is>
          <t>BrightWave Studio</t>
        </is>
      </c>
      <c r="C2" s="20" t="n">
        <v>46174</v>
      </c>
      <c r="D2" s="20" t="n">
        <v>46174</v>
      </c>
      <c r="E2" s="20" t="n">
        <v>46174</v>
      </c>
      <c r="F2" s="21" t="n">
        <v>4500</v>
      </c>
      <c r="G2" s="7" t="inlineStr">
        <is>
          <t>Open</t>
        </is>
      </c>
      <c r="H2" s="7" t="inlineStr">
        <is>
          <t>On Time</t>
        </is>
      </c>
    </row>
    <row r="3">
      <c r="A3" s="8" t="inlineStr">
        <is>
          <t>PO-2024-002</t>
        </is>
      </c>
      <c r="B3" s="8" t="inlineStr">
        <is>
          <t>GreenLeaf Co.</t>
        </is>
      </c>
      <c r="C3" s="22" t="n">
        <v>46180</v>
      </c>
      <c r="D3" s="22" t="n">
        <v>46180</v>
      </c>
      <c r="E3" s="22" t="n">
        <v>46180</v>
      </c>
      <c r="F3" s="23" t="n">
        <v>3150</v>
      </c>
      <c r="G3" s="8" t="inlineStr">
        <is>
          <t>Shipped</t>
        </is>
      </c>
      <c r="H3" s="8" t="inlineStr">
        <is>
          <t>Late</t>
        </is>
      </c>
    </row>
    <row r="4">
      <c r="A4" s="7" t="inlineStr">
        <is>
          <t>PO-2024-003</t>
        </is>
      </c>
      <c r="B4" s="7" t="inlineStr">
        <is>
          <t>Nova Digital</t>
        </is>
      </c>
      <c r="C4" s="20" t="n">
        <v>46186</v>
      </c>
      <c r="D4" s="20" t="n">
        <v>46186</v>
      </c>
      <c r="E4" s="20" t="n">
        <v>46186</v>
      </c>
      <c r="F4" s="21" t="n">
        <v>5850</v>
      </c>
      <c r="G4" s="7" t="inlineStr">
        <is>
          <t>Received</t>
        </is>
      </c>
      <c r="H4" s="7" t="inlineStr">
        <is>
          <t>Early</t>
        </is>
      </c>
    </row>
    <row r="5">
      <c r="A5" s="8" t="inlineStr">
        <is>
          <t>PO-2024-004</t>
        </is>
      </c>
      <c r="B5" s="8" t="inlineStr">
        <is>
          <t>Atlas Consulting</t>
        </is>
      </c>
      <c r="C5" s="22" t="n">
        <v>46189</v>
      </c>
      <c r="D5" s="22" t="n">
        <v>46189</v>
      </c>
      <c r="E5" s="22" t="n">
        <v>46189</v>
      </c>
      <c r="F5" s="23" t="n">
        <v>3825</v>
      </c>
      <c r="G5" s="8" t="inlineStr">
        <is>
          <t>Cancelled</t>
        </is>
      </c>
      <c r="H5" s="8" t="inlineStr">
        <is>
          <t>N/A</t>
        </is>
      </c>
    </row>
    <row r="6">
      <c r="A6" s="7" t="inlineStr">
        <is>
          <t>PO-2024-005</t>
        </is>
      </c>
      <c r="B6" s="7" t="inlineStr">
        <is>
          <t>Pixel &amp; Co</t>
        </is>
      </c>
      <c r="C6" s="20" t="n">
        <v>46195</v>
      </c>
      <c r="D6" s="20" t="n">
        <v>46195</v>
      </c>
      <c r="E6" s="20" t="n">
        <v>46195</v>
      </c>
      <c r="F6" s="21" t="n">
        <v>5175</v>
      </c>
      <c r="G6" s="7" t="inlineStr">
        <is>
          <t>Open</t>
        </is>
      </c>
      <c r="H6" s="7" t="inlineStr">
        <is>
          <t>On Time</t>
        </is>
      </c>
    </row>
    <row r="7">
      <c r="A7" s="8" t="inlineStr">
        <is>
          <t>PO-2024-006</t>
        </is>
      </c>
      <c r="B7" s="8" t="inlineStr">
        <is>
          <t>Blue Harbor Ltd</t>
        </is>
      </c>
      <c r="C7" s="22" t="n">
        <v>46201</v>
      </c>
      <c r="D7" s="22" t="n">
        <v>46201</v>
      </c>
      <c r="E7" s="22" t="n">
        <v>46201</v>
      </c>
      <c r="F7" s="23" t="n">
        <v>2700</v>
      </c>
      <c r="G7" s="8" t="inlineStr">
        <is>
          <t>Shipped</t>
        </is>
      </c>
      <c r="H7" s="8" t="inlineStr">
        <is>
          <t>Late</t>
        </is>
      </c>
    </row>
    <row r="8">
      <c r="A8" s="7" t="inlineStr">
        <is>
          <t>PO-2024-007</t>
        </is>
      </c>
      <c r="B8" s="7" t="inlineStr">
        <is>
          <t>Sunrise Media</t>
        </is>
      </c>
      <c r="C8" s="20" t="n">
        <v>46176</v>
      </c>
      <c r="D8" s="20" t="n">
        <v>46176</v>
      </c>
      <c r="E8" s="20" t="n">
        <v>46176</v>
      </c>
      <c r="F8" s="21" t="n">
        <v>6525</v>
      </c>
      <c r="G8" s="7" t="inlineStr">
        <is>
          <t>Received</t>
        </is>
      </c>
      <c r="H8" s="7" t="inlineStr">
        <is>
          <t>Early</t>
        </is>
      </c>
    </row>
    <row r="9">
      <c r="A9" s="8" t="inlineStr">
        <is>
          <t>PO-2024-008</t>
        </is>
      </c>
      <c r="B9" s="8" t="inlineStr">
        <is>
          <t>UrbanCraft</t>
        </is>
      </c>
      <c r="C9" s="22" t="n">
        <v>46182</v>
      </c>
      <c r="D9" s="22" t="n">
        <v>46182</v>
      </c>
      <c r="E9" s="22" t="n">
        <v>46182</v>
      </c>
      <c r="F9" s="23" t="n">
        <v>4275</v>
      </c>
      <c r="G9" s="8" t="inlineStr">
        <is>
          <t>Cancelled</t>
        </is>
      </c>
      <c r="H9" s="8" t="inlineStr">
        <is>
          <t>N/A</t>
        </is>
      </c>
    </row>
    <row r="10">
      <c r="A10" s="7" t="inlineStr">
        <is>
          <t>PO-2024-009</t>
        </is>
      </c>
      <c r="B10" s="7" t="inlineStr">
        <is>
          <t>PrimeWorks</t>
        </is>
      </c>
      <c r="C10" s="20" t="n">
        <v>46188</v>
      </c>
      <c r="D10" s="20" t="n">
        <v>46188</v>
      </c>
      <c r="E10" s="20" t="n">
        <v>46188</v>
      </c>
      <c r="F10" s="21" t="n">
        <v>5625</v>
      </c>
      <c r="G10" s="7" t="inlineStr">
        <is>
          <t>Open</t>
        </is>
      </c>
      <c r="H10" s="7" t="inlineStr">
        <is>
          <t>On Time</t>
        </is>
      </c>
    </row>
    <row r="11">
      <c r="A11" s="8" t="inlineStr">
        <is>
          <t>PO-2024-010</t>
        </is>
      </c>
      <c r="B11" s="8" t="inlineStr">
        <is>
          <t>EchoLab</t>
        </is>
      </c>
      <c r="C11" s="22" t="n">
        <v>46191</v>
      </c>
      <c r="D11" s="22" t="n">
        <v>46191</v>
      </c>
      <c r="E11" s="22" t="n">
        <v>46191</v>
      </c>
      <c r="F11" s="23" t="n">
        <v>3600</v>
      </c>
      <c r="G11" s="8" t="inlineStr">
        <is>
          <t>Shipped</t>
        </is>
      </c>
      <c r="H11" s="8" t="inlineStr">
        <is>
          <t>Late</t>
        </is>
      </c>
    </row>
    <row r="12">
      <c r="A12" s="7" t="inlineStr">
        <is>
          <t>PO-2024-011</t>
        </is>
      </c>
      <c r="B12" s="7" t="inlineStr">
        <is>
          <t>Vertex Group</t>
        </is>
      </c>
      <c r="C12" s="20" t="n">
        <v>46197</v>
      </c>
      <c r="D12" s="20" t="n">
        <v>46197</v>
      </c>
      <c r="E12" s="20" t="n">
        <v>46197</v>
      </c>
      <c r="F12" s="21" t="n">
        <v>4950</v>
      </c>
      <c r="G12" s="7" t="inlineStr">
        <is>
          <t>Received</t>
        </is>
      </c>
      <c r="H12" s="7" t="inlineStr">
        <is>
          <t>Early</t>
        </is>
      </c>
    </row>
    <row r="13">
      <c r="A13" s="8" t="inlineStr">
        <is>
          <t>PO-2024-012</t>
        </is>
      </c>
      <c r="B13" s="8" t="inlineStr">
        <is>
          <t>ClearPath Inc</t>
        </is>
      </c>
      <c r="C13" s="22" t="n">
        <v>46175</v>
      </c>
      <c r="D13" s="22" t="n">
        <v>46175</v>
      </c>
      <c r="E13" s="22" t="n">
        <v>46175</v>
      </c>
      <c r="F13" s="23" t="n">
        <v>3375</v>
      </c>
      <c r="G13" s="8" t="inlineStr">
        <is>
          <t>Cancelled</t>
        </is>
      </c>
      <c r="H13" s="8" t="inlineStr">
        <is>
          <t>N/A</t>
        </is>
      </c>
    </row>
  </sheetData>
  <dataValidations count="2">
    <dataValidation sqref="G2:G500" showDropDown="0" showInputMessage="0" showErrorMessage="0" allowBlank="1" type="list">
      <formula1>"Open,Shipped,Received,Cancelled"</formula1>
    </dataValidation>
    <dataValidation sqref="H2:H500" showDropDown="0" showInputMessage="0" showErrorMessage="0" allowBlank="1" type="list">
      <formula1>"On Time,Late,Early,N/A"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6" t="inlineStr">
        <is>
          <t>PO Number</t>
        </is>
      </c>
      <c r="B1" s="6" t="inlineStr">
        <is>
          <t>SKU</t>
        </is>
      </c>
      <c r="C1" s="6" t="inlineStr">
        <is>
          <t>Description</t>
        </is>
      </c>
      <c r="D1" s="6" t="inlineStr">
        <is>
          <t>Qty Ordered</t>
        </is>
      </c>
      <c r="E1" s="6" t="inlineStr">
        <is>
          <t>Unit Cost $</t>
        </is>
      </c>
      <c r="F1" s="6" t="inlineStr">
        <is>
          <t>Total Cost $</t>
        </is>
      </c>
      <c r="G1" s="6" t="inlineStr">
        <is>
          <t>Qty Received</t>
        </is>
      </c>
    </row>
    <row r="2">
      <c r="A2" s="7" t="inlineStr">
        <is>
          <t>PO-2024-001</t>
        </is>
      </c>
      <c r="B2" s="7" t="inlineStr">
        <is>
          <t>SKU-1001</t>
        </is>
      </c>
      <c r="C2" s="7" t="inlineStr">
        <is>
          <t>Bluetooth Speaker Unit</t>
        </is>
      </c>
      <c r="D2" s="7" t="n">
        <v>200</v>
      </c>
      <c r="E2" s="21" t="n">
        <v>22.5</v>
      </c>
      <c r="F2" s="7">
        <f>D2*E2</f>
        <v/>
      </c>
      <c r="G2" s="7" t="n">
        <v>198</v>
      </c>
    </row>
    <row r="3">
      <c r="A3" s="8" t="inlineStr">
        <is>
          <t>PO-2024-002</t>
        </is>
      </c>
      <c r="B3" s="8" t="inlineStr">
        <is>
          <t>SKU-1002</t>
        </is>
      </c>
      <c r="C3" s="8" t="inlineStr">
        <is>
          <t>Bluetooth Speaker Unit</t>
        </is>
      </c>
      <c r="D3" s="8" t="n">
        <v>140</v>
      </c>
      <c r="E3" s="23" t="n">
        <v>15.75</v>
      </c>
      <c r="F3" s="8">
        <f>D3*E3</f>
        <v/>
      </c>
      <c r="G3" s="8" t="n">
        <v>139</v>
      </c>
    </row>
    <row r="4">
      <c r="A4" s="7" t="inlineStr">
        <is>
          <t>PO-2024-003</t>
        </is>
      </c>
      <c r="B4" s="7" t="inlineStr">
        <is>
          <t>SKU-1003</t>
        </is>
      </c>
      <c r="C4" s="7" t="inlineStr"/>
      <c r="D4" s="7" t="n">
        <v>260</v>
      </c>
      <c r="E4" s="21" t="n">
        <v>29.25</v>
      </c>
      <c r="F4" s="7">
        <f>D4*E4</f>
        <v/>
      </c>
      <c r="G4" s="7" t="n">
        <v>257</v>
      </c>
    </row>
    <row r="5">
      <c r="A5" s="8" t="inlineStr">
        <is>
          <t>PO-2024-004</t>
        </is>
      </c>
      <c r="B5" s="8" t="inlineStr">
        <is>
          <t>SKU-1004</t>
        </is>
      </c>
      <c r="C5" s="8" t="inlineStr">
        <is>
          <t>Bluetooth Speaker Unit</t>
        </is>
      </c>
      <c r="D5" s="8" t="n">
        <v>170</v>
      </c>
      <c r="E5" s="23" t="n">
        <v>19.12</v>
      </c>
      <c r="F5" s="8">
        <f>D5*E5</f>
        <v/>
      </c>
      <c r="G5" s="8" t="n">
        <v>168</v>
      </c>
    </row>
    <row r="6">
      <c r="A6" s="7" t="inlineStr">
        <is>
          <t>PO-2024-005</t>
        </is>
      </c>
      <c r="B6" s="7" t="inlineStr">
        <is>
          <t>SKU-1005</t>
        </is>
      </c>
      <c r="C6" s="7" t="inlineStr">
        <is>
          <t>Bluetooth Speaker Unit</t>
        </is>
      </c>
      <c r="D6" s="7" t="n">
        <v>230</v>
      </c>
      <c r="E6" s="21" t="n">
        <v>25.87</v>
      </c>
      <c r="F6" s="7">
        <f>D6*E6</f>
        <v/>
      </c>
      <c r="G6" s="7" t="n">
        <v>228</v>
      </c>
    </row>
    <row r="7">
      <c r="A7" s="8" t="inlineStr">
        <is>
          <t>PO-2024-006</t>
        </is>
      </c>
      <c r="B7" s="8" t="inlineStr">
        <is>
          <t>SKU-1006</t>
        </is>
      </c>
      <c r="C7" s="8" t="inlineStr"/>
      <c r="D7" s="8" t="n">
        <v>120</v>
      </c>
      <c r="E7" s="23" t="n">
        <v>13.5</v>
      </c>
      <c r="F7" s="8">
        <f>D7*E7</f>
        <v/>
      </c>
      <c r="G7" s="8" t="n">
        <v>119</v>
      </c>
    </row>
    <row r="8">
      <c r="A8" s="7" t="inlineStr">
        <is>
          <t>PO-2024-007</t>
        </is>
      </c>
      <c r="B8" s="7" t="inlineStr">
        <is>
          <t>SKU-1007</t>
        </is>
      </c>
      <c r="C8" s="7" t="inlineStr">
        <is>
          <t>Bluetooth Speaker Unit</t>
        </is>
      </c>
      <c r="D8" s="7" t="n">
        <v>290</v>
      </c>
      <c r="E8" s="21" t="n">
        <v>32.62</v>
      </c>
      <c r="F8" s="7">
        <f>D8*E8</f>
        <v/>
      </c>
      <c r="G8" s="7" t="n">
        <v>287</v>
      </c>
    </row>
    <row r="9">
      <c r="A9" s="8" t="inlineStr">
        <is>
          <t>PO-2024-008</t>
        </is>
      </c>
      <c r="B9" s="8" t="inlineStr">
        <is>
          <t>SKU-1008</t>
        </is>
      </c>
      <c r="C9" s="8" t="inlineStr">
        <is>
          <t>Bluetooth Speaker Unit</t>
        </is>
      </c>
      <c r="D9" s="8" t="n">
        <v>190</v>
      </c>
      <c r="E9" s="23" t="n">
        <v>21.38</v>
      </c>
      <c r="F9" s="8">
        <f>D9*E9</f>
        <v/>
      </c>
      <c r="G9" s="8" t="n">
        <v>188</v>
      </c>
    </row>
    <row r="10">
      <c r="A10" s="7" t="inlineStr">
        <is>
          <t>PO-2024-009</t>
        </is>
      </c>
      <c r="B10" s="7" t="inlineStr">
        <is>
          <t>SKU-1009</t>
        </is>
      </c>
      <c r="C10" s="7" t="inlineStr"/>
      <c r="D10" s="7" t="n">
        <v>250</v>
      </c>
      <c r="E10" s="21" t="n">
        <v>28.12</v>
      </c>
      <c r="F10" s="7">
        <f>D10*E10</f>
        <v/>
      </c>
      <c r="G10" s="7" t="n">
        <v>248</v>
      </c>
    </row>
    <row r="11">
      <c r="A11" s="8" t="inlineStr">
        <is>
          <t>PO-2024-010</t>
        </is>
      </c>
      <c r="B11" s="8" t="inlineStr">
        <is>
          <t>SKU-1010</t>
        </is>
      </c>
      <c r="C11" s="8" t="inlineStr">
        <is>
          <t>Bluetooth Speaker Unit</t>
        </is>
      </c>
      <c r="D11" s="8" t="n">
        <v>160</v>
      </c>
      <c r="E11" s="23" t="n">
        <v>18</v>
      </c>
      <c r="F11" s="8">
        <f>D11*E11</f>
        <v/>
      </c>
      <c r="G11" s="8" t="n">
        <v>158</v>
      </c>
    </row>
    <row r="12">
      <c r="A12" s="7" t="inlineStr">
        <is>
          <t>PO-2024-011</t>
        </is>
      </c>
      <c r="B12" s="7" t="inlineStr">
        <is>
          <t>SKU-1011</t>
        </is>
      </c>
      <c r="C12" s="7" t="inlineStr">
        <is>
          <t>Bluetooth Speaker Unit</t>
        </is>
      </c>
      <c r="D12" s="7" t="n">
        <v>220</v>
      </c>
      <c r="E12" s="21" t="n">
        <v>24.75</v>
      </c>
      <c r="F12" s="7">
        <f>D12*E12</f>
        <v/>
      </c>
      <c r="G12" s="7" t="n">
        <v>218</v>
      </c>
    </row>
    <row r="13">
      <c r="A13" s="8" t="inlineStr">
        <is>
          <t>PO-2024-012</t>
        </is>
      </c>
      <c r="B13" s="8" t="inlineStr">
        <is>
          <t>SKU-1012</t>
        </is>
      </c>
      <c r="C13" s="8" t="inlineStr"/>
      <c r="D13" s="8" t="n">
        <v>150</v>
      </c>
      <c r="E13" s="23" t="n">
        <v>16.88</v>
      </c>
      <c r="F13" s="8">
        <f>D13*E13</f>
        <v/>
      </c>
      <c r="G13" s="8" t="n">
        <v>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>
      <c r="A1" s="6" t="inlineStr">
        <is>
          <t>Quarter</t>
        </is>
      </c>
      <c r="B1" s="6" t="inlineStr">
        <is>
          <t>Supplier</t>
        </is>
      </c>
      <c r="C1" s="6" t="inlineStr">
        <is>
          <t>On-Time %</t>
        </is>
      </c>
      <c r="D1" s="6" t="inlineStr">
        <is>
          <t>Quality %</t>
        </is>
      </c>
      <c r="E1" s="6" t="inlineStr">
        <is>
          <t>Avg Lead Days</t>
        </is>
      </c>
      <c r="F1" s="6" t="inlineStr">
        <is>
          <t>Score (1-5)</t>
        </is>
      </c>
      <c r="G1" s="6" t="inlineStr">
        <is>
          <t>Status</t>
        </is>
      </c>
    </row>
    <row r="2">
      <c r="A2" s="7" t="inlineStr">
        <is>
          <t>Q1 2024</t>
        </is>
      </c>
      <c r="B2" s="7" t="inlineStr">
        <is>
          <t>BrightWave Studio</t>
        </is>
      </c>
      <c r="C2" s="7" t="inlineStr">
        <is>
          <t>88%</t>
        </is>
      </c>
      <c r="D2" s="7" t="inlineStr">
        <is>
          <t>97%</t>
        </is>
      </c>
      <c r="E2" s="7" t="n">
        <v>26</v>
      </c>
      <c r="F2" s="7" t="n">
        <v>4.2</v>
      </c>
      <c r="G2" s="7" t="inlineStr">
        <is>
          <t>Approved</t>
        </is>
      </c>
    </row>
    <row r="3">
      <c r="A3" s="8" t="inlineStr">
        <is>
          <t>Q1 2025</t>
        </is>
      </c>
      <c r="B3" s="8" t="inlineStr">
        <is>
          <t>GreenLeaf Co.</t>
        </is>
      </c>
      <c r="C3" s="8" t="inlineStr">
        <is>
          <t>88%</t>
        </is>
      </c>
      <c r="D3" s="8" t="inlineStr">
        <is>
          <t>97%</t>
        </is>
      </c>
      <c r="E3" s="8" t="n">
        <v>18.2</v>
      </c>
      <c r="F3" s="8" t="n">
        <v>2.94</v>
      </c>
      <c r="G3" s="8" t="inlineStr">
        <is>
          <t>Probation</t>
        </is>
      </c>
    </row>
    <row r="4">
      <c r="A4" s="7" t="inlineStr">
        <is>
          <t>Q1 2026</t>
        </is>
      </c>
      <c r="B4" s="7" t="inlineStr">
        <is>
          <t>Nova Digital</t>
        </is>
      </c>
      <c r="C4" s="7" t="inlineStr"/>
      <c r="D4" s="7" t="inlineStr"/>
      <c r="E4" s="7" t="n">
        <v>33.8</v>
      </c>
      <c r="F4" s="7" t="n">
        <v>5.46</v>
      </c>
      <c r="G4" s="7" t="inlineStr">
        <is>
          <t>Under Review</t>
        </is>
      </c>
    </row>
    <row r="5">
      <c r="A5" s="8" t="inlineStr">
        <is>
          <t>Q1 2027</t>
        </is>
      </c>
      <c r="B5" s="8" t="inlineStr">
        <is>
          <t>Atlas Consulting</t>
        </is>
      </c>
      <c r="C5" s="8" t="inlineStr">
        <is>
          <t>88%</t>
        </is>
      </c>
      <c r="D5" s="8" t="inlineStr">
        <is>
          <t>97%</t>
        </is>
      </c>
      <c r="E5" s="8" t="n">
        <v>22.1</v>
      </c>
      <c r="F5" s="8" t="n">
        <v>3.57</v>
      </c>
      <c r="G5" s="8" t="inlineStr">
        <is>
          <t>Removed</t>
        </is>
      </c>
    </row>
    <row r="6">
      <c r="A6" s="7" t="inlineStr">
        <is>
          <t>Q1 2028</t>
        </is>
      </c>
      <c r="B6" s="7" t="inlineStr">
        <is>
          <t>Pixel &amp; Co</t>
        </is>
      </c>
      <c r="C6" s="7" t="inlineStr">
        <is>
          <t>88%</t>
        </is>
      </c>
      <c r="D6" s="7" t="inlineStr">
        <is>
          <t>97%</t>
        </is>
      </c>
      <c r="E6" s="7" t="n">
        <v>29.9</v>
      </c>
      <c r="F6" s="7" t="n">
        <v>4.83</v>
      </c>
      <c r="G6" s="7" t="inlineStr">
        <is>
          <t>Approved</t>
        </is>
      </c>
    </row>
    <row r="7">
      <c r="A7" s="8" t="inlineStr">
        <is>
          <t>Q1 2029</t>
        </is>
      </c>
      <c r="B7" s="8" t="inlineStr">
        <is>
          <t>Blue Harbor Ltd</t>
        </is>
      </c>
      <c r="C7" s="8" t="inlineStr"/>
      <c r="D7" s="8" t="inlineStr"/>
      <c r="E7" s="8" t="n">
        <v>15.6</v>
      </c>
      <c r="F7" s="8" t="n">
        <v>2.52</v>
      </c>
      <c r="G7" s="8" t="inlineStr">
        <is>
          <t>Probation</t>
        </is>
      </c>
    </row>
    <row r="8">
      <c r="A8" s="7" t="inlineStr">
        <is>
          <t>Q1 2030</t>
        </is>
      </c>
      <c r="B8" s="7" t="inlineStr">
        <is>
          <t>Sunrise Media</t>
        </is>
      </c>
      <c r="C8" s="7" t="inlineStr">
        <is>
          <t>88%</t>
        </is>
      </c>
      <c r="D8" s="7" t="inlineStr">
        <is>
          <t>97%</t>
        </is>
      </c>
      <c r="E8" s="7" t="n">
        <v>37.7</v>
      </c>
      <c r="F8" s="7" t="n">
        <v>6.09</v>
      </c>
      <c r="G8" s="7" t="inlineStr">
        <is>
          <t>Under Review</t>
        </is>
      </c>
    </row>
    <row r="9">
      <c r="A9" s="8" t="inlineStr">
        <is>
          <t>Q1 2031</t>
        </is>
      </c>
      <c r="B9" s="8" t="inlineStr">
        <is>
          <t>UrbanCraft</t>
        </is>
      </c>
      <c r="C9" s="8" t="inlineStr">
        <is>
          <t>88%</t>
        </is>
      </c>
      <c r="D9" s="8" t="inlineStr">
        <is>
          <t>97%</t>
        </is>
      </c>
      <c r="E9" s="8" t="n">
        <v>24.7</v>
      </c>
      <c r="F9" s="8" t="n">
        <v>3.99</v>
      </c>
      <c r="G9" s="8" t="inlineStr">
        <is>
          <t>Removed</t>
        </is>
      </c>
    </row>
    <row r="10">
      <c r="A10" s="7" t="inlineStr">
        <is>
          <t>Q1 2032</t>
        </is>
      </c>
      <c r="B10" s="7" t="inlineStr">
        <is>
          <t>PrimeWorks</t>
        </is>
      </c>
      <c r="C10" s="7" t="inlineStr"/>
      <c r="D10" s="7" t="inlineStr"/>
      <c r="E10" s="7" t="n">
        <v>32.5</v>
      </c>
      <c r="F10" s="7" t="n">
        <v>5.25</v>
      </c>
      <c r="G10" s="7" t="inlineStr">
        <is>
          <t>Approved</t>
        </is>
      </c>
    </row>
    <row r="11">
      <c r="A11" s="8" t="inlineStr">
        <is>
          <t>Q1 2033</t>
        </is>
      </c>
      <c r="B11" s="8" t="inlineStr">
        <is>
          <t>EchoLab</t>
        </is>
      </c>
      <c r="C11" s="8" t="inlineStr">
        <is>
          <t>88%</t>
        </is>
      </c>
      <c r="D11" s="8" t="inlineStr">
        <is>
          <t>97%</t>
        </is>
      </c>
      <c r="E11" s="8" t="n">
        <v>20.8</v>
      </c>
      <c r="F11" s="8" t="n">
        <v>3.36</v>
      </c>
      <c r="G11" s="8" t="inlineStr">
        <is>
          <t>Probation</t>
        </is>
      </c>
    </row>
    <row r="12">
      <c r="A12" s="7" t="inlineStr">
        <is>
          <t>Q1 2034</t>
        </is>
      </c>
      <c r="B12" s="7" t="inlineStr">
        <is>
          <t>Vertex Group</t>
        </is>
      </c>
      <c r="C12" s="7" t="inlineStr">
        <is>
          <t>88%</t>
        </is>
      </c>
      <c r="D12" s="7" t="inlineStr">
        <is>
          <t>97%</t>
        </is>
      </c>
      <c r="E12" s="7" t="n">
        <v>28.6</v>
      </c>
      <c r="F12" s="7" t="n">
        <v>4.62</v>
      </c>
      <c r="G12" s="7" t="inlineStr">
        <is>
          <t>Under Review</t>
        </is>
      </c>
    </row>
    <row r="13">
      <c r="A13" s="8" t="inlineStr">
        <is>
          <t>Q1 2035</t>
        </is>
      </c>
      <c r="B13" s="8" t="inlineStr">
        <is>
          <t>ClearPath Inc</t>
        </is>
      </c>
      <c r="C13" s="8" t="inlineStr"/>
      <c r="D13" s="8" t="inlineStr"/>
      <c r="E13" s="8" t="n">
        <v>19.5</v>
      </c>
      <c r="F13" s="8" t="n">
        <v>3.15</v>
      </c>
      <c r="G13" s="8" t="inlineStr">
        <is>
          <t>Removed</t>
        </is>
      </c>
    </row>
  </sheetData>
  <dataValidations count="1">
    <dataValidation sqref="G2:G500" showDropDown="0" showInputMessage="0" showErrorMessage="0" allowBlank="1" type="list">
      <formula1>"Approved,Probation,Under Review,Removed"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