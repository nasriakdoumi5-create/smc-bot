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erts" sheetId="2" state="visible" r:id="rId2"/>
    <sheet name="Dashboard" sheetId="3" state="visible" r:id="rId3"/>
    <sheet name="CEUs" sheetId="4" state="visible" r:id="rId4"/>
    <sheet name="StudyPlan" sheetId="5" state="visible" r:id="rId5"/>
    <sheet name="Ex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1C1000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F59E0B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1C1000"/>
      </patternFill>
    </fill>
    <fill>
      <patternFill patternType="solid">
        <fgColor rgb="00FFF7F0"/>
      </patternFill>
    </fill>
    <fill>
      <patternFill patternType="solid">
        <fgColor rgb="00F59E0B"/>
      </patternFill>
    </fill>
    <fill>
      <patternFill patternType="solid">
        <fgColor rgb="0022C55E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5" fontId="2" fillId="3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🏅  CERTIFICATION TRACKER</t>
        </is>
      </c>
    </row>
    <row r="3"/>
    <row r="4">
      <c r="B4" s="2" t="inlineStr">
        <is>
          <t>Professional Certs &amp; Renewal Manager Google Sheets</t>
        </is>
      </c>
    </row>
    <row r="6">
      <c r="B6" s="3" t="inlineStr">
        <is>
          <t>STEP 1 — Fill in “Certs”</t>
        </is>
      </c>
    </row>
    <row r="7" ht="28" customHeight="1">
      <c r="B7" s="4" t="inlineStr">
        <is>
          <t>All certifications with body, earned date, and expiry.</t>
        </is>
      </c>
    </row>
    <row r="9">
      <c r="B9" s="3" t="inlineStr">
        <is>
          <t>STEP 2 — Fill in “CEUs”</t>
        </is>
      </c>
    </row>
    <row r="10" ht="28" customHeight="1">
      <c r="B10" s="4" t="inlineStr">
        <is>
          <t>Continuing education units logged per certification.</t>
        </is>
      </c>
    </row>
    <row r="12">
      <c r="B12" s="3" t="inlineStr">
        <is>
          <t>STEP 3 — Fill in “StudyPlan”</t>
        </is>
      </c>
    </row>
    <row r="13" ht="28" customHeight="1">
      <c r="B13" s="4" t="inlineStr">
        <is>
          <t>Study plan for upcoming certification exams.</t>
        </is>
      </c>
    </row>
    <row r="15">
      <c r="B15" s="3" t="inlineStr">
        <is>
          <t>STEP 4 — Fill in “Exams”</t>
        </is>
      </c>
    </row>
    <row r="16" ht="28" customHeight="1">
      <c r="B16" s="4" t="inlineStr">
        <is>
          <t>Upcoming exam registrations and prep status.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Certification</t>
        </is>
      </c>
      <c r="B1" s="6" t="inlineStr">
        <is>
          <t>Issuing Body</t>
        </is>
      </c>
      <c r="C1" s="6" t="inlineStr">
        <is>
          <t>Cert Number</t>
        </is>
      </c>
      <c r="D1" s="6" t="inlineStr">
        <is>
          <t>Date Earned</t>
        </is>
      </c>
      <c r="E1" s="6" t="inlineStr">
        <is>
          <t>Valid Years</t>
        </is>
      </c>
      <c r="F1" s="6" t="inlineStr">
        <is>
          <t>Expiry Date</t>
        </is>
      </c>
      <c r="G1" s="6" t="inlineStr">
        <is>
          <t>Status</t>
        </is>
      </c>
      <c r="H1" s="6" t="inlineStr">
        <is>
          <t>CEUs Required</t>
        </is>
      </c>
    </row>
    <row r="2">
      <c r="A2" s="7" t="inlineStr">
        <is>
          <t>PMP - Project Management Professional</t>
        </is>
      </c>
      <c r="B2" s="7" t="inlineStr">
        <is>
          <t>PMI</t>
        </is>
      </c>
      <c r="C2" s="7" t="inlineStr">
        <is>
          <t>PMI-1234567</t>
        </is>
      </c>
      <c r="D2" s="8" t="n">
        <v>46174</v>
      </c>
      <c r="E2" s="7" t="n">
        <v>3</v>
      </c>
      <c r="F2" s="8" t="n">
        <v>46174</v>
      </c>
      <c r="G2" s="7" t="inlineStr">
        <is>
          <t>Active</t>
        </is>
      </c>
      <c r="H2" s="7" t="n">
        <v>60</v>
      </c>
    </row>
    <row r="3">
      <c r="A3" s="9" t="inlineStr">
        <is>
          <t>PMP - Project Management Professional</t>
        </is>
      </c>
      <c r="B3" s="9" t="inlineStr">
        <is>
          <t>PMI</t>
        </is>
      </c>
      <c r="C3" s="9" t="inlineStr">
        <is>
          <t>PMI-1234568</t>
        </is>
      </c>
      <c r="D3" s="10" t="n">
        <v>46180</v>
      </c>
      <c r="E3" s="9" t="n">
        <v>2.1</v>
      </c>
      <c r="F3" s="10" t="n">
        <v>46180</v>
      </c>
      <c r="G3" s="9" t="inlineStr">
        <is>
          <t>Expired</t>
        </is>
      </c>
      <c r="H3" s="9" t="n">
        <v>42</v>
      </c>
    </row>
    <row r="4">
      <c r="A4" s="7" t="inlineStr"/>
      <c r="B4" s="7" t="inlineStr"/>
      <c r="C4" s="7" t="inlineStr">
        <is>
          <t>PMI-1234569</t>
        </is>
      </c>
      <c r="D4" s="8" t="n">
        <v>46186</v>
      </c>
      <c r="E4" s="7" t="n">
        <v>3.9</v>
      </c>
      <c r="F4" s="8" t="n">
        <v>46186</v>
      </c>
      <c r="G4" s="7" t="inlineStr">
        <is>
          <t>In Progress</t>
        </is>
      </c>
      <c r="H4" s="7" t="n">
        <v>78</v>
      </c>
    </row>
    <row r="5">
      <c r="A5" s="9" t="inlineStr">
        <is>
          <t>PMP - Project Management Professional</t>
        </is>
      </c>
      <c r="B5" s="9" t="inlineStr">
        <is>
          <t>PMI</t>
        </is>
      </c>
      <c r="C5" s="9" t="inlineStr">
        <is>
          <t>PMI-1234570</t>
        </is>
      </c>
      <c r="D5" s="10" t="n">
        <v>46189</v>
      </c>
      <c r="E5" s="9" t="n">
        <v>2.55</v>
      </c>
      <c r="F5" s="10" t="n">
        <v>46189</v>
      </c>
      <c r="G5" s="9" t="inlineStr">
        <is>
          <t>Planned</t>
        </is>
      </c>
      <c r="H5" s="9" t="n">
        <v>51</v>
      </c>
    </row>
    <row r="6">
      <c r="A6" s="7" t="inlineStr">
        <is>
          <t>PMP - Project Management Professional</t>
        </is>
      </c>
      <c r="B6" s="7" t="inlineStr">
        <is>
          <t>PMI</t>
        </is>
      </c>
      <c r="C6" s="7" t="inlineStr">
        <is>
          <t>PMI-1234571</t>
        </is>
      </c>
      <c r="D6" s="8" t="n">
        <v>46195</v>
      </c>
      <c r="E6" s="7" t="n">
        <v>3.45</v>
      </c>
      <c r="F6" s="8" t="n">
        <v>46195</v>
      </c>
      <c r="G6" s="7" t="inlineStr">
        <is>
          <t>Active</t>
        </is>
      </c>
      <c r="H6" s="7" t="n">
        <v>69</v>
      </c>
    </row>
    <row r="7">
      <c r="A7" s="9" t="inlineStr"/>
      <c r="B7" s="9" t="inlineStr"/>
      <c r="C7" s="9" t="inlineStr">
        <is>
          <t>PMI-1234572</t>
        </is>
      </c>
      <c r="D7" s="10" t="n">
        <v>46201</v>
      </c>
      <c r="E7" s="9" t="n">
        <v>1.8</v>
      </c>
      <c r="F7" s="10" t="n">
        <v>46201</v>
      </c>
      <c r="G7" s="9" t="inlineStr">
        <is>
          <t>Expired</t>
        </is>
      </c>
      <c r="H7" s="9" t="n">
        <v>36</v>
      </c>
    </row>
    <row r="8">
      <c r="A8" s="7" t="inlineStr">
        <is>
          <t>PMP - Project Management Professional</t>
        </is>
      </c>
      <c r="B8" s="7" t="inlineStr">
        <is>
          <t>PMI</t>
        </is>
      </c>
      <c r="C8" s="7" t="inlineStr">
        <is>
          <t>PMI-1234573</t>
        </is>
      </c>
      <c r="D8" s="8" t="n">
        <v>46176</v>
      </c>
      <c r="E8" s="7" t="n">
        <v>4.35</v>
      </c>
      <c r="F8" s="8" t="n">
        <v>46176</v>
      </c>
      <c r="G8" s="7" t="inlineStr">
        <is>
          <t>In Progress</t>
        </is>
      </c>
      <c r="H8" s="7" t="n">
        <v>87</v>
      </c>
    </row>
    <row r="9">
      <c r="A9" s="9" t="inlineStr">
        <is>
          <t>PMP - Project Management Professional</t>
        </is>
      </c>
      <c r="B9" s="9" t="inlineStr">
        <is>
          <t>PMI</t>
        </is>
      </c>
      <c r="C9" s="9" t="inlineStr">
        <is>
          <t>PMI-1234574</t>
        </is>
      </c>
      <c r="D9" s="10" t="n">
        <v>46182</v>
      </c>
      <c r="E9" s="9" t="n">
        <v>2.85</v>
      </c>
      <c r="F9" s="10" t="n">
        <v>46182</v>
      </c>
      <c r="G9" s="9" t="inlineStr">
        <is>
          <t>Planned</t>
        </is>
      </c>
      <c r="H9" s="9" t="n">
        <v>57</v>
      </c>
    </row>
    <row r="10">
      <c r="A10" s="7" t="inlineStr"/>
      <c r="B10" s="7" t="inlineStr"/>
      <c r="C10" s="7" t="inlineStr">
        <is>
          <t>PMI-1234575</t>
        </is>
      </c>
      <c r="D10" s="8" t="n">
        <v>46188</v>
      </c>
      <c r="E10" s="7" t="n">
        <v>3.75</v>
      </c>
      <c r="F10" s="8" t="n">
        <v>46188</v>
      </c>
      <c r="G10" s="7" t="inlineStr">
        <is>
          <t>Active</t>
        </is>
      </c>
      <c r="H10" s="7" t="n">
        <v>75</v>
      </c>
    </row>
    <row r="11">
      <c r="A11" s="9" t="inlineStr">
        <is>
          <t>PMP - Project Management Professional</t>
        </is>
      </c>
      <c r="B11" s="9" t="inlineStr">
        <is>
          <t>PMI</t>
        </is>
      </c>
      <c r="C11" s="9" t="inlineStr">
        <is>
          <t>PMI-1234576</t>
        </is>
      </c>
      <c r="D11" s="10" t="n">
        <v>46191</v>
      </c>
      <c r="E11" s="9" t="n">
        <v>2.4</v>
      </c>
      <c r="F11" s="10" t="n">
        <v>46191</v>
      </c>
      <c r="G11" s="9" t="inlineStr">
        <is>
          <t>Expired</t>
        </is>
      </c>
      <c r="H11" s="9" t="n">
        <v>48</v>
      </c>
    </row>
    <row r="12">
      <c r="A12" s="7" t="inlineStr">
        <is>
          <t>PMP - Project Management Professional</t>
        </is>
      </c>
      <c r="B12" s="7" t="inlineStr">
        <is>
          <t>PMI</t>
        </is>
      </c>
      <c r="C12" s="7" t="inlineStr">
        <is>
          <t>PMI-1234577</t>
        </is>
      </c>
      <c r="D12" s="8" t="n">
        <v>46197</v>
      </c>
      <c r="E12" s="7" t="n">
        <v>3.3</v>
      </c>
      <c r="F12" s="8" t="n">
        <v>46197</v>
      </c>
      <c r="G12" s="7" t="inlineStr">
        <is>
          <t>In Progress</t>
        </is>
      </c>
      <c r="H12" s="7" t="n">
        <v>66</v>
      </c>
    </row>
    <row r="13">
      <c r="A13" s="9" t="inlineStr"/>
      <c r="B13" s="9" t="inlineStr"/>
      <c r="C13" s="9" t="inlineStr">
        <is>
          <t>PMI-1234578</t>
        </is>
      </c>
      <c r="D13" s="10" t="n">
        <v>46175</v>
      </c>
      <c r="E13" s="9" t="n">
        <v>2.25</v>
      </c>
      <c r="F13" s="10" t="n">
        <v>46175</v>
      </c>
      <c r="G13" s="9" t="inlineStr">
        <is>
          <t>Planned</t>
        </is>
      </c>
      <c r="H13" s="9" t="n">
        <v>45</v>
      </c>
    </row>
  </sheetData>
  <dataValidations count="1">
    <dataValidation sqref="G2:G500" showDropDown="0" showInputMessage="0" showErrorMessage="0" allowBlank="1" type="list">
      <formula1>"Active,Expired,In Progress,Planned"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1" t="inlineStr">
        <is>
          <t>📊  CERTIFICATION TRACKER — DASHBOARD</t>
        </is>
      </c>
    </row>
    <row r="4">
      <c r="B4" s="12" t="inlineStr">
        <is>
          <t>ACTIVE CERTS</t>
        </is>
      </c>
      <c r="D4" s="13" t="inlineStr">
        <is>
          <t>EXPIRING IN 90 DAYS</t>
        </is>
      </c>
      <c r="F4" s="14" t="inlineStr">
        <is>
          <t>CEUS EARNED</t>
        </is>
      </c>
      <c r="H4" s="15" t="inlineStr">
        <is>
          <t>STUDY HOURS</t>
        </is>
      </c>
    </row>
    <row r="5" ht="26" customHeight="1">
      <c r="B5" s="16">
        <f>COUNTIF(Certs!G:G,"Active")</f>
        <v/>
      </c>
      <c r="D5" s="17">
        <f>COUNTIFS(Certs!F:F,"&lt;="&amp;TODAY()+90,Certs!F:F,"&gt;="&amp;TODAY())</f>
        <v/>
      </c>
      <c r="F5" s="18">
        <f>SUM(CEUs!D:D)</f>
        <v/>
      </c>
      <c r="H5" s="19">
        <f>SUM(StudyPlan!D:D)</f>
        <v/>
      </c>
    </row>
    <row r="8">
      <c r="B8" s="20" t="inlineStr">
        <is>
          <t>WHAT'S INSIDE</t>
        </is>
      </c>
    </row>
    <row r="9">
      <c r="B9" s="21" t="inlineStr">
        <is>
          <t>🏅  Certs — All certifications with body, earned date, and expiry.</t>
        </is>
      </c>
    </row>
    <row r="10">
      <c r="B10" s="21" t="inlineStr">
        <is>
          <t>📚  CEUs — Continuing education units logged per certification.</t>
        </is>
      </c>
    </row>
    <row r="11">
      <c r="B11" s="21" t="inlineStr">
        <is>
          <t>📝  StudyPlan — Study plan for upcoming certification exams.</t>
        </is>
      </c>
    </row>
    <row r="12">
      <c r="B12" s="21" t="inlineStr">
        <is>
          <t>📝  Exams — Upcoming exam registrations and prep status.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4" customWidth="1" min="4" max="4"/>
    <col width="18" customWidth="1" min="5" max="5"/>
    <col width="22" customWidth="1" min="6" max="6"/>
  </cols>
  <sheetData>
    <row r="1">
      <c r="A1" s="6" t="inlineStr">
        <is>
          <t>Date</t>
        </is>
      </c>
      <c r="B1" s="6" t="inlineStr">
        <is>
          <t>Certification</t>
        </is>
      </c>
      <c r="C1" s="6" t="inlineStr">
        <is>
          <t>Activity</t>
        </is>
      </c>
      <c r="D1" s="6" t="inlineStr">
        <is>
          <t>CEUs Earned</t>
        </is>
      </c>
      <c r="E1" s="6" t="inlineStr">
        <is>
          <t>Type</t>
        </is>
      </c>
      <c r="F1" s="6" t="inlineStr">
        <is>
          <t>Provider</t>
        </is>
      </c>
    </row>
    <row r="2">
      <c r="A2" s="8" t="n">
        <v>46174</v>
      </c>
      <c r="B2" s="7" t="inlineStr">
        <is>
          <t>PMP</t>
        </is>
      </c>
      <c r="C2" s="7" t="inlineStr">
        <is>
          <t>Kickoff meeting</t>
        </is>
      </c>
      <c r="D2" s="7" t="n">
        <v>1.5</v>
      </c>
      <c r="E2" s="7" t="inlineStr">
        <is>
          <t>Webinar</t>
        </is>
      </c>
      <c r="F2" s="7" t="inlineStr">
        <is>
          <t>PMI Chapter Chicago</t>
        </is>
      </c>
    </row>
    <row r="3">
      <c r="A3" s="10" t="n">
        <v>46180</v>
      </c>
      <c r="B3" s="9" t="inlineStr">
        <is>
          <t>PMP</t>
        </is>
      </c>
      <c r="C3" s="9" t="inlineStr">
        <is>
          <t>Send proposal</t>
        </is>
      </c>
      <c r="D3" s="9" t="n">
        <v>1.05</v>
      </c>
      <c r="E3" s="9" t="inlineStr">
        <is>
          <t>Course</t>
        </is>
      </c>
      <c r="F3" s="9" t="inlineStr">
        <is>
          <t>PMI Chapter Chicago</t>
        </is>
      </c>
    </row>
    <row r="4">
      <c r="A4" s="8" t="n">
        <v>46186</v>
      </c>
      <c r="B4" s="7" t="inlineStr"/>
      <c r="C4" s="7" t="inlineStr">
        <is>
          <t>Review feedback</t>
        </is>
      </c>
      <c r="D4" s="7" t="n">
        <v>1.95</v>
      </c>
      <c r="E4" s="7" t="inlineStr">
        <is>
          <t>Conference</t>
        </is>
      </c>
      <c r="F4" s="7" t="inlineStr"/>
    </row>
    <row r="5">
      <c r="A5" s="10" t="n">
        <v>46189</v>
      </c>
      <c r="B5" s="9" t="inlineStr">
        <is>
          <t>PMP</t>
        </is>
      </c>
      <c r="C5" s="9" t="inlineStr">
        <is>
          <t>Update website copy</t>
        </is>
      </c>
      <c r="D5" s="9" t="n">
        <v>1.27</v>
      </c>
      <c r="E5" s="9" t="inlineStr">
        <is>
          <t>Reading</t>
        </is>
      </c>
      <c r="F5" s="9" t="inlineStr">
        <is>
          <t>PMI Chapter Chicago</t>
        </is>
      </c>
    </row>
    <row r="6">
      <c r="A6" s="8" t="n">
        <v>46195</v>
      </c>
      <c r="B6" s="7" t="inlineStr">
        <is>
          <t>PMP</t>
        </is>
      </c>
      <c r="C6" s="7" t="inlineStr">
        <is>
          <t>Prepare invoice</t>
        </is>
      </c>
      <c r="D6" s="7" t="n">
        <v>1.72</v>
      </c>
      <c r="E6" s="7" t="inlineStr">
        <is>
          <t>Teaching</t>
        </is>
      </c>
      <c r="F6" s="7" t="inlineStr">
        <is>
          <t>PMI Chapter Chicago</t>
        </is>
      </c>
    </row>
    <row r="7">
      <c r="A7" s="10" t="n">
        <v>46201</v>
      </c>
      <c r="B7" s="9" t="inlineStr"/>
      <c r="C7" s="9" t="inlineStr">
        <is>
          <t>Client call</t>
        </is>
      </c>
      <c r="D7" s="9" t="n">
        <v>0.9</v>
      </c>
      <c r="E7" s="9" t="inlineStr">
        <is>
          <t>Other</t>
        </is>
      </c>
      <c r="F7" s="9" t="inlineStr"/>
    </row>
    <row r="8">
      <c r="A8" s="8" t="n">
        <v>46176</v>
      </c>
      <c r="B8" s="7" t="inlineStr">
        <is>
          <t>PMP</t>
        </is>
      </c>
      <c r="C8" s="7" t="inlineStr">
        <is>
          <t>Design first draft</t>
        </is>
      </c>
      <c r="D8" s="7" t="n">
        <v>2.17</v>
      </c>
      <c r="E8" s="7" t="inlineStr">
        <is>
          <t>Webinar</t>
        </is>
      </c>
      <c r="F8" s="7" t="inlineStr">
        <is>
          <t>PMI Chapter Chicago</t>
        </is>
      </c>
    </row>
    <row r="9">
      <c r="A9" s="10" t="n">
        <v>46182</v>
      </c>
      <c r="B9" s="9" t="inlineStr">
        <is>
          <t>PMP</t>
        </is>
      </c>
      <c r="C9" s="9" t="inlineStr">
        <is>
          <t>Fix reported bug</t>
        </is>
      </c>
      <c r="D9" s="9" t="n">
        <v>1.42</v>
      </c>
      <c r="E9" s="9" t="inlineStr">
        <is>
          <t>Course</t>
        </is>
      </c>
      <c r="F9" s="9" t="inlineStr">
        <is>
          <t>PMI Chapter Chicago</t>
        </is>
      </c>
    </row>
    <row r="10">
      <c r="A10" s="8" t="n">
        <v>46188</v>
      </c>
      <c r="B10" s="7" t="inlineStr"/>
      <c r="C10" s="7" t="inlineStr">
        <is>
          <t>Weekly report</t>
        </is>
      </c>
      <c r="D10" s="7" t="n">
        <v>1.88</v>
      </c>
      <c r="E10" s="7" t="inlineStr">
        <is>
          <t>Conference</t>
        </is>
      </c>
      <c r="F10" s="7" t="inlineStr"/>
    </row>
    <row r="11">
      <c r="A11" s="10" t="n">
        <v>46191</v>
      </c>
      <c r="B11" s="9" t="inlineStr">
        <is>
          <t>PMP</t>
        </is>
      </c>
      <c r="C11" s="9" t="inlineStr">
        <is>
          <t>Plan next sprint</t>
        </is>
      </c>
      <c r="D11" s="9" t="n">
        <v>1.2</v>
      </c>
      <c r="E11" s="9" t="inlineStr">
        <is>
          <t>Reading</t>
        </is>
      </c>
      <c r="F11" s="9" t="inlineStr">
        <is>
          <t>PMI Chapter Chicago</t>
        </is>
      </c>
    </row>
    <row r="12">
      <c r="A12" s="8" t="n">
        <v>46197</v>
      </c>
      <c r="B12" s="7" t="inlineStr">
        <is>
          <t>PMP</t>
        </is>
      </c>
      <c r="C12" s="7" t="inlineStr">
        <is>
          <t>Publish blog post</t>
        </is>
      </c>
      <c r="D12" s="7" t="n">
        <v>1.65</v>
      </c>
      <c r="E12" s="7" t="inlineStr">
        <is>
          <t>Teaching</t>
        </is>
      </c>
      <c r="F12" s="7" t="inlineStr">
        <is>
          <t>PMI Chapter Chicago</t>
        </is>
      </c>
    </row>
    <row r="13">
      <c r="A13" s="10" t="n">
        <v>46175</v>
      </c>
      <c r="B13" s="9" t="inlineStr"/>
      <c r="C13" s="9" t="inlineStr">
        <is>
          <t>Team sync</t>
        </is>
      </c>
      <c r="D13" s="9" t="n">
        <v>1.12</v>
      </c>
      <c r="E13" s="9" t="inlineStr">
        <is>
          <t>Other</t>
        </is>
      </c>
      <c r="F13" s="9" t="inlineStr"/>
    </row>
  </sheetData>
  <dataValidations count="1">
    <dataValidation sqref="E2:E500" showDropDown="0" showInputMessage="0" showErrorMessage="0" allowBlank="1" type="list">
      <formula1>"Webinar,Course,Conference,Reading,Teaching,Other"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2" customWidth="1" min="3" max="3"/>
    <col width="10" customWidth="1" min="4" max="4"/>
    <col width="14" customWidth="1" min="5" max="5"/>
  </cols>
  <sheetData>
    <row r="1">
      <c r="A1" s="6" t="inlineStr">
        <is>
          <t>Cert Goal</t>
        </is>
      </c>
      <c r="B1" s="6" t="inlineStr">
        <is>
          <t>Exam Date</t>
        </is>
      </c>
      <c r="C1" s="6" t="inlineStr">
        <is>
          <t>Study Topic</t>
        </is>
      </c>
      <c r="D1" s="6" t="inlineStr">
        <is>
          <t>Hours</t>
        </is>
      </c>
      <c r="E1" s="6" t="inlineStr">
        <is>
          <t>Status</t>
        </is>
      </c>
    </row>
    <row r="2">
      <c r="A2" s="7" t="inlineStr">
        <is>
          <t>Kickoff meeting</t>
        </is>
      </c>
      <c r="B2" s="8" t="n">
        <v>46174</v>
      </c>
      <c r="C2" s="7" t="inlineStr">
        <is>
          <t>Kickoff meeting</t>
        </is>
      </c>
      <c r="D2" s="7" t="n">
        <v>3</v>
      </c>
      <c r="E2" s="7" t="inlineStr">
        <is>
          <t>Planned</t>
        </is>
      </c>
    </row>
    <row r="3">
      <c r="A3" s="9" t="inlineStr">
        <is>
          <t>Send proposal</t>
        </is>
      </c>
      <c r="B3" s="10" t="n">
        <v>46180</v>
      </c>
      <c r="C3" s="9" t="inlineStr">
        <is>
          <t>Send proposal</t>
        </is>
      </c>
      <c r="D3" s="9" t="n">
        <v>2.1</v>
      </c>
      <c r="E3" s="9" t="inlineStr">
        <is>
          <t>Done</t>
        </is>
      </c>
    </row>
    <row r="4">
      <c r="A4" s="7" t="inlineStr">
        <is>
          <t>Review feedback</t>
        </is>
      </c>
      <c r="B4" s="8" t="n">
        <v>46186</v>
      </c>
      <c r="C4" s="7" t="inlineStr">
        <is>
          <t>Review feedback</t>
        </is>
      </c>
      <c r="D4" s="7" t="n">
        <v>3.9</v>
      </c>
      <c r="E4" s="7" t="inlineStr">
        <is>
          <t>Skipped</t>
        </is>
      </c>
    </row>
    <row r="5">
      <c r="A5" s="9" t="inlineStr">
        <is>
          <t>Update website copy</t>
        </is>
      </c>
      <c r="B5" s="10" t="n">
        <v>46189</v>
      </c>
      <c r="C5" s="9" t="inlineStr">
        <is>
          <t>Update website copy</t>
        </is>
      </c>
      <c r="D5" s="9" t="n">
        <v>2.55</v>
      </c>
      <c r="E5" s="9" t="inlineStr">
        <is>
          <t>Planned</t>
        </is>
      </c>
    </row>
    <row r="6">
      <c r="A6" s="7" t="inlineStr">
        <is>
          <t>Prepare invoice</t>
        </is>
      </c>
      <c r="B6" s="8" t="n">
        <v>46195</v>
      </c>
      <c r="C6" s="7" t="inlineStr">
        <is>
          <t>Prepare invoice</t>
        </is>
      </c>
      <c r="D6" s="7" t="n">
        <v>3.45</v>
      </c>
      <c r="E6" s="7" t="inlineStr">
        <is>
          <t>Done</t>
        </is>
      </c>
    </row>
    <row r="7">
      <c r="A7" s="9" t="inlineStr">
        <is>
          <t>Client call</t>
        </is>
      </c>
      <c r="B7" s="10" t="n">
        <v>46201</v>
      </c>
      <c r="C7" s="9" t="inlineStr">
        <is>
          <t>Client call</t>
        </is>
      </c>
      <c r="D7" s="9" t="n">
        <v>1.8</v>
      </c>
      <c r="E7" s="9" t="inlineStr">
        <is>
          <t>Skipped</t>
        </is>
      </c>
    </row>
    <row r="8">
      <c r="A8" s="7" t="inlineStr">
        <is>
          <t>Design first draft</t>
        </is>
      </c>
      <c r="B8" s="8" t="n">
        <v>46176</v>
      </c>
      <c r="C8" s="7" t="inlineStr">
        <is>
          <t>Design first draft</t>
        </is>
      </c>
      <c r="D8" s="7" t="n">
        <v>4.35</v>
      </c>
      <c r="E8" s="7" t="inlineStr">
        <is>
          <t>Planned</t>
        </is>
      </c>
    </row>
    <row r="9">
      <c r="A9" s="9" t="inlineStr">
        <is>
          <t>Fix reported bug</t>
        </is>
      </c>
      <c r="B9" s="10" t="n">
        <v>46182</v>
      </c>
      <c r="C9" s="9" t="inlineStr">
        <is>
          <t>Fix reported bug</t>
        </is>
      </c>
      <c r="D9" s="9" t="n">
        <v>2.85</v>
      </c>
      <c r="E9" s="9" t="inlineStr">
        <is>
          <t>Done</t>
        </is>
      </c>
    </row>
    <row r="10">
      <c r="A10" s="7" t="inlineStr">
        <is>
          <t>Weekly report</t>
        </is>
      </c>
      <c r="B10" s="8" t="n">
        <v>46188</v>
      </c>
      <c r="C10" s="7" t="inlineStr">
        <is>
          <t>Weekly report</t>
        </is>
      </c>
      <c r="D10" s="7" t="n">
        <v>3.75</v>
      </c>
      <c r="E10" s="7" t="inlineStr">
        <is>
          <t>Skipped</t>
        </is>
      </c>
    </row>
    <row r="11">
      <c r="A11" s="9" t="inlineStr">
        <is>
          <t>Plan next sprint</t>
        </is>
      </c>
      <c r="B11" s="10" t="n">
        <v>46191</v>
      </c>
      <c r="C11" s="9" t="inlineStr">
        <is>
          <t>Plan next sprint</t>
        </is>
      </c>
      <c r="D11" s="9" t="n">
        <v>2.4</v>
      </c>
      <c r="E11" s="9" t="inlineStr">
        <is>
          <t>Planned</t>
        </is>
      </c>
    </row>
    <row r="12">
      <c r="A12" s="7" t="inlineStr">
        <is>
          <t>Publish blog post</t>
        </is>
      </c>
      <c r="B12" s="8" t="n">
        <v>46197</v>
      </c>
      <c r="C12" s="7" t="inlineStr">
        <is>
          <t>Publish blog post</t>
        </is>
      </c>
      <c r="D12" s="7" t="n">
        <v>3.3</v>
      </c>
      <c r="E12" s="7" t="inlineStr">
        <is>
          <t>Done</t>
        </is>
      </c>
    </row>
    <row r="13">
      <c r="A13" s="9" t="inlineStr">
        <is>
          <t>Team sync</t>
        </is>
      </c>
      <c r="B13" s="10" t="n">
        <v>46175</v>
      </c>
      <c r="C13" s="9" t="inlineStr">
        <is>
          <t>Team sync</t>
        </is>
      </c>
      <c r="D13" s="9" t="n">
        <v>2.25</v>
      </c>
      <c r="E13" s="9" t="inlineStr">
        <is>
          <t>Skipped</t>
        </is>
      </c>
    </row>
  </sheetData>
  <dataValidations count="1">
    <dataValidation sqref="E2:E500" showDropDown="0" showInputMessage="0" showErrorMessage="0" allowBlank="1" type="list">
      <formula1>"Planned,Done,Skipped"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4" customWidth="1" min="4" max="4"/>
    <col width="12" customWidth="1" min="5" max="5"/>
    <col width="12" customWidth="1" min="6" max="6"/>
    <col width="16" customWidth="1" min="7" max="7"/>
  </cols>
  <sheetData>
    <row r="1">
      <c r="A1" s="6" t="inlineStr">
        <is>
          <t>Certification</t>
        </is>
      </c>
      <c r="B1" s="6" t="inlineStr">
        <is>
          <t>Exam Date</t>
        </is>
      </c>
      <c r="C1" s="6" t="inlineStr">
        <is>
          <t>Location</t>
        </is>
      </c>
      <c r="D1" s="6" t="inlineStr">
        <is>
          <t>Reg Deadline</t>
        </is>
      </c>
      <c r="E1" s="6" t="inlineStr">
        <is>
          <t>Exam Fee $</t>
        </is>
      </c>
      <c r="F1" s="6" t="inlineStr">
        <is>
          <t>Prep %</t>
        </is>
      </c>
      <c r="G1" s="6" t="inlineStr">
        <is>
          <t>Status</t>
        </is>
      </c>
    </row>
    <row r="2">
      <c r="A2" s="7" t="inlineStr">
        <is>
          <t>AWS Solutions Architect</t>
        </is>
      </c>
      <c r="B2" s="8" t="n">
        <v>46174</v>
      </c>
      <c r="C2" s="7" t="inlineStr">
        <is>
          <t>Online - Pearson Vue</t>
        </is>
      </c>
      <c r="D2" s="8" t="n">
        <v>46174</v>
      </c>
      <c r="E2" s="22" t="n">
        <v>300</v>
      </c>
      <c r="F2" s="7" t="inlineStr">
        <is>
          <t>65%</t>
        </is>
      </c>
      <c r="G2" s="7" t="inlineStr">
        <is>
          <t>Not Registered</t>
        </is>
      </c>
    </row>
    <row r="3">
      <c r="A3" s="9" t="inlineStr">
        <is>
          <t>AWS Solutions Architect</t>
        </is>
      </c>
      <c r="B3" s="10" t="n">
        <v>46180</v>
      </c>
      <c r="C3" s="9" t="inlineStr">
        <is>
          <t>Online - Pearson Vue</t>
        </is>
      </c>
      <c r="D3" s="10" t="n">
        <v>46180</v>
      </c>
      <c r="E3" s="23" t="n">
        <v>210</v>
      </c>
      <c r="F3" s="9" t="inlineStr">
        <is>
          <t>65%</t>
        </is>
      </c>
      <c r="G3" s="9" t="inlineStr">
        <is>
          <t>Registered</t>
        </is>
      </c>
    </row>
    <row r="4">
      <c r="A4" s="7" t="inlineStr"/>
      <c r="B4" s="8" t="n">
        <v>46186</v>
      </c>
      <c r="C4" s="7" t="inlineStr"/>
      <c r="D4" s="8" t="n">
        <v>46186</v>
      </c>
      <c r="E4" s="22" t="n">
        <v>390</v>
      </c>
      <c r="F4" s="7" t="inlineStr"/>
      <c r="G4" s="7" t="inlineStr">
        <is>
          <t>Complete</t>
        </is>
      </c>
    </row>
    <row r="5">
      <c r="A5" s="9" t="inlineStr">
        <is>
          <t>AWS Solutions Architect</t>
        </is>
      </c>
      <c r="B5" s="10" t="n">
        <v>46189</v>
      </c>
      <c r="C5" s="9" t="inlineStr">
        <is>
          <t>Online - Pearson Vue</t>
        </is>
      </c>
      <c r="D5" s="10" t="n">
        <v>46189</v>
      </c>
      <c r="E5" s="23" t="n">
        <v>255</v>
      </c>
      <c r="F5" s="9" t="inlineStr">
        <is>
          <t>65%</t>
        </is>
      </c>
      <c r="G5" s="9" t="inlineStr">
        <is>
          <t>Passed</t>
        </is>
      </c>
    </row>
    <row r="6">
      <c r="A6" s="7" t="inlineStr">
        <is>
          <t>AWS Solutions Architect</t>
        </is>
      </c>
      <c r="B6" s="8" t="n">
        <v>46195</v>
      </c>
      <c r="C6" s="7" t="inlineStr">
        <is>
          <t>Online - Pearson Vue</t>
        </is>
      </c>
      <c r="D6" s="8" t="n">
        <v>46195</v>
      </c>
      <c r="E6" s="22" t="n">
        <v>345</v>
      </c>
      <c r="F6" s="7" t="inlineStr">
        <is>
          <t>65%</t>
        </is>
      </c>
      <c r="G6" s="7" t="inlineStr">
        <is>
          <t>Failed</t>
        </is>
      </c>
    </row>
    <row r="7">
      <c r="A7" s="9" t="inlineStr"/>
      <c r="B7" s="10" t="n">
        <v>46201</v>
      </c>
      <c r="C7" s="9" t="inlineStr"/>
      <c r="D7" s="10" t="n">
        <v>46201</v>
      </c>
      <c r="E7" s="23" t="n">
        <v>180</v>
      </c>
      <c r="F7" s="9" t="inlineStr"/>
      <c r="G7" s="9" t="inlineStr">
        <is>
          <t>Rescheduled</t>
        </is>
      </c>
    </row>
    <row r="8">
      <c r="A8" s="7" t="inlineStr">
        <is>
          <t>AWS Solutions Architect</t>
        </is>
      </c>
      <c r="B8" s="8" t="n">
        <v>46176</v>
      </c>
      <c r="C8" s="7" t="inlineStr">
        <is>
          <t>Online - Pearson Vue</t>
        </is>
      </c>
      <c r="D8" s="8" t="n">
        <v>46176</v>
      </c>
      <c r="E8" s="22" t="n">
        <v>435</v>
      </c>
      <c r="F8" s="7" t="inlineStr">
        <is>
          <t>65%</t>
        </is>
      </c>
      <c r="G8" s="7" t="inlineStr">
        <is>
          <t>Not Registered</t>
        </is>
      </c>
    </row>
    <row r="9">
      <c r="A9" s="9" t="inlineStr">
        <is>
          <t>AWS Solutions Architect</t>
        </is>
      </c>
      <c r="B9" s="10" t="n">
        <v>46182</v>
      </c>
      <c r="C9" s="9" t="inlineStr">
        <is>
          <t>Online - Pearson Vue</t>
        </is>
      </c>
      <c r="D9" s="10" t="n">
        <v>46182</v>
      </c>
      <c r="E9" s="23" t="n">
        <v>285</v>
      </c>
      <c r="F9" s="9" t="inlineStr">
        <is>
          <t>65%</t>
        </is>
      </c>
      <c r="G9" s="9" t="inlineStr">
        <is>
          <t>Registered</t>
        </is>
      </c>
    </row>
    <row r="10">
      <c r="A10" s="7" t="inlineStr"/>
      <c r="B10" s="8" t="n">
        <v>46188</v>
      </c>
      <c r="C10" s="7" t="inlineStr"/>
      <c r="D10" s="8" t="n">
        <v>46188</v>
      </c>
      <c r="E10" s="22" t="n">
        <v>375</v>
      </c>
      <c r="F10" s="7" t="inlineStr"/>
      <c r="G10" s="7" t="inlineStr">
        <is>
          <t>Complete</t>
        </is>
      </c>
    </row>
    <row r="11">
      <c r="A11" s="9" t="inlineStr">
        <is>
          <t>AWS Solutions Architect</t>
        </is>
      </c>
      <c r="B11" s="10" t="n">
        <v>46191</v>
      </c>
      <c r="C11" s="9" t="inlineStr">
        <is>
          <t>Online - Pearson Vue</t>
        </is>
      </c>
      <c r="D11" s="10" t="n">
        <v>46191</v>
      </c>
      <c r="E11" s="23" t="n">
        <v>240</v>
      </c>
      <c r="F11" s="9" t="inlineStr">
        <is>
          <t>65%</t>
        </is>
      </c>
      <c r="G11" s="9" t="inlineStr">
        <is>
          <t>Passed</t>
        </is>
      </c>
    </row>
    <row r="12">
      <c r="A12" s="7" t="inlineStr">
        <is>
          <t>AWS Solutions Architect</t>
        </is>
      </c>
      <c r="B12" s="8" t="n">
        <v>46197</v>
      </c>
      <c r="C12" s="7" t="inlineStr">
        <is>
          <t>Online - Pearson Vue</t>
        </is>
      </c>
      <c r="D12" s="8" t="n">
        <v>46197</v>
      </c>
      <c r="E12" s="22" t="n">
        <v>330</v>
      </c>
      <c r="F12" s="7" t="inlineStr">
        <is>
          <t>65%</t>
        </is>
      </c>
      <c r="G12" s="7" t="inlineStr">
        <is>
          <t>Failed</t>
        </is>
      </c>
    </row>
    <row r="13">
      <c r="A13" s="9" t="inlineStr"/>
      <c r="B13" s="10" t="n">
        <v>46175</v>
      </c>
      <c r="C13" s="9" t="inlineStr"/>
      <c r="D13" s="10" t="n">
        <v>46175</v>
      </c>
      <c r="E13" s="23" t="n">
        <v>225</v>
      </c>
      <c r="F13" s="9" t="inlineStr"/>
      <c r="G13" s="9" t="inlineStr">
        <is>
          <t>Rescheduled</t>
        </is>
      </c>
    </row>
  </sheetData>
  <dataValidations count="1">
    <dataValidation sqref="G2:G500" showDropDown="0" showInputMessage="0" showErrorMessage="0" allowBlank="1" type="list">
      <formula1>"Not Registered,Registered,Complete,Passed,Failed,Rescheduled"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2026-07-16T21:44:40Z</dcterms:created>
  <dcterms:modified xsi:type="dcterms:W3CDTF">2026-07-16T21:44:40Z</dcterms:modified>
</cp:coreProperties>
</file>