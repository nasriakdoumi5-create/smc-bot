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ograms" sheetId="2" state="visible" r:id="rId2"/>
    <sheet name="Dashboard" sheetId="3" state="visible" r:id="rId3"/>
    <sheet name="Links" sheetId="4" state="visible" r:id="rId4"/>
    <sheet name="Commissions" sheetId="5" state="visible" r:id="rId5"/>
    <sheet name="Repo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7C3AED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2E1065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E1065"/>
      </patternFill>
    </fill>
    <fill>
      <patternFill patternType="solid">
        <fgColor rgb="00FFF7F0"/>
      </patternFill>
    </fill>
    <fill>
      <patternFill patternType="solid">
        <fgColor rgb="007C3AED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164" fontId="2" fillId="3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165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🔗  AFFILIATE MARKETING INCOME TRACKER</t>
        </is>
      </c>
    </row>
    <row r="3"/>
    <row r="4">
      <c r="B4" s="2" t="inlineStr">
        <is>
          <t>Commission, Links &amp; Partner Revenue Google Sheets</t>
        </is>
      </c>
    </row>
    <row r="6">
      <c r="B6" s="3" t="inlineStr">
        <is>
          <t>STEP 1 — Fill in “Programs”</t>
        </is>
      </c>
    </row>
    <row r="7" ht="28" customHeight="1">
      <c r="B7" s="4" t="inlineStr">
        <is>
          <t>All affiliate programs: commission rate, niche, and status.</t>
        </is>
      </c>
    </row>
    <row r="9">
      <c r="B9" s="3" t="inlineStr">
        <is>
          <t>STEP 2 — Fill in “Links”</t>
        </is>
      </c>
    </row>
    <row r="10" ht="28" customHeight="1">
      <c r="B10" s="4" t="inlineStr">
        <is>
          <t>All affiliate links with placement and performance.</t>
        </is>
      </c>
    </row>
    <row r="12">
      <c r="B12" s="3" t="inlineStr">
        <is>
          <t>STEP 3 — Fill in “Commissions”</t>
        </is>
      </c>
    </row>
    <row r="13" ht="28" customHeight="1">
      <c r="B13" s="4" t="inlineStr">
        <is>
          <t>All commission earnings by program and date.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>
      <c r="A1" s="6" t="inlineStr">
        <is>
          <t>Program</t>
        </is>
      </c>
      <c r="B1" s="6" t="inlineStr">
        <is>
          <t>Niche</t>
        </is>
      </c>
      <c r="C1" s="6" t="inlineStr">
        <is>
          <t>Commission %</t>
        </is>
      </c>
      <c r="D1" s="6" t="inlineStr">
        <is>
          <t>Status</t>
        </is>
      </c>
      <c r="E1" s="6" t="inlineStr">
        <is>
          <t>Payout Min $</t>
        </is>
      </c>
      <c r="F1" s="6" t="inlineStr">
        <is>
          <t>Notes</t>
        </is>
      </c>
    </row>
    <row r="2">
      <c r="A2" s="7" t="inlineStr">
        <is>
          <t>Amazon Associates</t>
        </is>
      </c>
      <c r="B2" s="7" t="inlineStr">
        <is>
          <t>E-commerce</t>
        </is>
      </c>
      <c r="C2" s="7" t="n">
        <v>4</v>
      </c>
      <c r="D2" s="7" t="inlineStr">
        <is>
          <t>Active</t>
        </is>
      </c>
      <c r="E2" s="7" t="n">
        <v>10</v>
      </c>
      <c r="F2" s="7" t="inlineStr"/>
    </row>
    <row r="3">
      <c r="A3" s="8" t="inlineStr">
        <is>
          <t>Amazon Associates</t>
        </is>
      </c>
      <c r="B3" s="8" t="inlineStr">
        <is>
          <t>E-commerce</t>
        </is>
      </c>
      <c r="C3" s="8" t="n">
        <v>2.8</v>
      </c>
      <c r="D3" s="8" t="inlineStr">
        <is>
          <t>Paused</t>
        </is>
      </c>
      <c r="E3" s="8" t="n">
        <v>7</v>
      </c>
      <c r="F3" s="8" t="inlineStr">
        <is>
          <t>Paid</t>
        </is>
      </c>
    </row>
    <row r="4">
      <c r="A4" s="7" t="inlineStr"/>
      <c r="B4" s="7" t="inlineStr"/>
      <c r="C4" s="7" t="n">
        <v>5.2</v>
      </c>
      <c r="D4" s="7" t="inlineStr">
        <is>
          <t>Applied</t>
        </is>
      </c>
      <c r="E4" s="7" t="n">
        <v>13</v>
      </c>
      <c r="F4" s="7" t="inlineStr">
        <is>
          <t>Urgent</t>
        </is>
      </c>
    </row>
    <row r="5">
      <c r="A5" s="8" t="inlineStr">
        <is>
          <t>Amazon Associates</t>
        </is>
      </c>
      <c r="B5" s="8" t="inlineStr">
        <is>
          <t>E-commerce</t>
        </is>
      </c>
      <c r="C5" s="8" t="n">
        <v>3.4</v>
      </c>
      <c r="D5" s="8" t="inlineStr">
        <is>
          <t>Rejected</t>
        </is>
      </c>
      <c r="E5" s="8" t="n">
        <v>8.5</v>
      </c>
      <c r="F5" s="8" t="inlineStr">
        <is>
          <t>Follow up Friday</t>
        </is>
      </c>
    </row>
    <row r="6">
      <c r="A6" s="7" t="inlineStr">
        <is>
          <t>Amazon Associates</t>
        </is>
      </c>
      <c r="B6" s="7" t="inlineStr">
        <is>
          <t>E-commerce</t>
        </is>
      </c>
      <c r="C6" s="7" t="n">
        <v>4.6</v>
      </c>
      <c r="D6" s="7" t="inlineStr">
        <is>
          <t>Closed</t>
        </is>
      </c>
      <c r="E6" s="7" t="n">
        <v>11.5</v>
      </c>
      <c r="F6" s="7" t="inlineStr"/>
    </row>
    <row r="7">
      <c r="A7" s="8" t="inlineStr"/>
      <c r="B7" s="8" t="inlineStr"/>
      <c r="C7" s="8" t="n">
        <v>2.4</v>
      </c>
      <c r="D7" s="8" t="inlineStr">
        <is>
          <t>Active</t>
        </is>
      </c>
      <c r="E7" s="8" t="n">
        <v>6</v>
      </c>
      <c r="F7" s="8" t="inlineStr">
        <is>
          <t>Monthly</t>
        </is>
      </c>
    </row>
    <row r="8">
      <c r="A8" s="7" t="inlineStr">
        <is>
          <t>Amazon Associates</t>
        </is>
      </c>
      <c r="B8" s="7" t="inlineStr">
        <is>
          <t>E-commerce</t>
        </is>
      </c>
      <c r="C8" s="7" t="n">
        <v>5.8</v>
      </c>
      <c r="D8" s="7" t="inlineStr">
        <is>
          <t>Paused</t>
        </is>
      </c>
      <c r="E8" s="7" t="n">
        <v>14.5</v>
      </c>
      <c r="F8" s="7" t="inlineStr">
        <is>
          <t>Confirmed</t>
        </is>
      </c>
    </row>
    <row r="9">
      <c r="A9" s="8" t="inlineStr">
        <is>
          <t>Amazon Associates</t>
        </is>
      </c>
      <c r="B9" s="8" t="inlineStr">
        <is>
          <t>E-commerce</t>
        </is>
      </c>
      <c r="C9" s="8" t="n">
        <v>3.8</v>
      </c>
      <c r="D9" s="8" t="inlineStr">
        <is>
          <t>Applied</t>
        </is>
      </c>
      <c r="E9" s="8" t="n">
        <v>9.5</v>
      </c>
      <c r="F9" s="8" t="inlineStr"/>
    </row>
    <row r="10">
      <c r="A10" s="7" t="inlineStr"/>
      <c r="B10" s="7" t="inlineStr"/>
      <c r="C10" s="7" t="n">
        <v>5</v>
      </c>
      <c r="D10" s="7" t="inlineStr">
        <is>
          <t>Rejected</t>
        </is>
      </c>
      <c r="E10" s="7" t="n">
        <v>12.5</v>
      </c>
      <c r="F10" s="7" t="inlineStr">
        <is>
          <t>Waiting reply</t>
        </is>
      </c>
    </row>
    <row r="11">
      <c r="A11" s="8" t="inlineStr">
        <is>
          <t>Amazon Associates</t>
        </is>
      </c>
      <c r="B11" s="8" t="inlineStr">
        <is>
          <t>E-commerce</t>
        </is>
      </c>
      <c r="C11" s="8" t="n">
        <v>3.2</v>
      </c>
      <c r="D11" s="8" t="inlineStr">
        <is>
          <t>Closed</t>
        </is>
      </c>
      <c r="E11" s="8" t="n">
        <v>8</v>
      </c>
      <c r="F11" s="8" t="inlineStr">
        <is>
          <t>Done early</t>
        </is>
      </c>
    </row>
    <row r="12">
      <c r="A12" s="7" t="inlineStr">
        <is>
          <t>Amazon Associates</t>
        </is>
      </c>
      <c r="B12" s="7" t="inlineStr">
        <is>
          <t>E-commerce</t>
        </is>
      </c>
      <c r="C12" s="7" t="n">
        <v>4.4</v>
      </c>
      <c r="D12" s="7" t="inlineStr">
        <is>
          <t>Active</t>
        </is>
      </c>
      <c r="E12" s="7" t="n">
        <v>11</v>
      </c>
      <c r="F12" s="7" t="inlineStr"/>
    </row>
    <row r="13">
      <c r="A13" s="8" t="inlineStr"/>
      <c r="B13" s="8" t="inlineStr"/>
      <c r="C13" s="8" t="n">
        <v>3</v>
      </c>
      <c r="D13" s="8" t="inlineStr">
        <is>
          <t>Paused</t>
        </is>
      </c>
      <c r="E13" s="8" t="n">
        <v>7.5</v>
      </c>
      <c r="F13" s="8" t="inlineStr">
        <is>
          <t>Recheck</t>
        </is>
      </c>
    </row>
  </sheetData>
  <dataValidations count="1">
    <dataValidation sqref="D2:D500" showDropDown="0" showInputMessage="0" showErrorMessage="0" allowBlank="1" type="list">
      <formula1>"Active,Paused,Applied,Rejected,Closed"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9" t="inlineStr">
        <is>
          <t>📊  AFFILIATE MARKETING INCOME TRACKER — DASHBOARD</t>
        </is>
      </c>
    </row>
    <row r="4">
      <c r="B4" s="10" t="inlineStr">
        <is>
          <t>TOTAL EARNED $</t>
        </is>
      </c>
      <c r="D4" s="11" t="inlineStr">
        <is>
          <t>TOTAL PAID OUT $</t>
        </is>
      </c>
      <c r="F4" s="12" t="inlineStr">
        <is>
          <t>PENDING $</t>
        </is>
      </c>
      <c r="H4" s="13" t="inlineStr">
        <is>
          <t>ACTIVE PROGRAMS</t>
        </is>
      </c>
    </row>
    <row r="5" ht="26" customHeight="1">
      <c r="B5" s="14">
        <f>SUM(Commissions!E:E)</f>
        <v/>
      </c>
      <c r="D5" s="15">
        <f>SUMIF(Commissions!F:F,"Paid",Commissions!E:E)</f>
        <v/>
      </c>
      <c r="F5" s="16">
        <f>SUMIF(Commissions!F:F,"Pending",Commissions!E:E)</f>
        <v/>
      </c>
      <c r="H5" s="17">
        <f>COUNTIF(Programs!D:D,"Active")</f>
        <v/>
      </c>
    </row>
    <row r="8">
      <c r="B8" s="18" t="inlineStr">
        <is>
          <t>WHAT'S INSIDE</t>
        </is>
      </c>
    </row>
    <row r="9">
      <c r="B9" s="19" t="inlineStr">
        <is>
          <t>📋  Programs — All affiliate programs: commission rate, niche, and status.</t>
        </is>
      </c>
    </row>
    <row r="10">
      <c r="B10" s="19" t="inlineStr">
        <is>
          <t>🔗  Links — All affiliate links with placement and performance.</t>
        </is>
      </c>
    </row>
    <row r="11">
      <c r="B11" s="19" t="inlineStr">
        <is>
          <t>💰  Commissions — All commission earnings by program and date.</t>
        </is>
      </c>
    </row>
    <row r="12">
      <c r="B12" s="19" t="inlineStr">
        <is>
          <t>📊  Reports — Monthly affiliate income by program with best performers.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2" customWidth="1" min="4" max="4"/>
    <col width="14" customWidth="1" min="5" max="5"/>
    <col width="16" customWidth="1" min="6" max="6"/>
  </cols>
  <sheetData>
    <row r="1">
      <c r="A1" s="6" t="inlineStr">
        <is>
          <t>Product</t>
        </is>
      </c>
      <c r="B1" s="6" t="inlineStr">
        <is>
          <t>Program</t>
        </is>
      </c>
      <c r="C1" s="6" t="inlineStr">
        <is>
          <t>Platform</t>
        </is>
      </c>
      <c r="D1" s="6" t="inlineStr">
        <is>
          <t>Clicks</t>
        </is>
      </c>
      <c r="E1" s="6" t="inlineStr">
        <is>
          <t>Conversions</t>
        </is>
      </c>
      <c r="F1" s="6" t="inlineStr">
        <is>
          <t>Conversion %</t>
        </is>
      </c>
    </row>
    <row r="2">
      <c r="A2" s="7" t="inlineStr">
        <is>
          <t>ConvertKit Email Marketing</t>
        </is>
      </c>
      <c r="B2" s="7" t="inlineStr">
        <is>
          <t>ConvertKit</t>
        </is>
      </c>
      <c r="C2" s="7" t="inlineStr">
        <is>
          <t>Blog</t>
        </is>
      </c>
      <c r="D2" s="7" t="n">
        <v>340</v>
      </c>
      <c r="E2" s="7" t="n">
        <v>12</v>
      </c>
      <c r="F2" s="7">
        <f>TEXT(E2/D2,"0.0%")</f>
        <v/>
      </c>
    </row>
    <row r="3">
      <c r="A3" s="8" t="inlineStr">
        <is>
          <t>ConvertKit Email Marketing</t>
        </is>
      </c>
      <c r="B3" s="8" t="inlineStr">
        <is>
          <t>ConvertKit</t>
        </is>
      </c>
      <c r="C3" s="8" t="inlineStr">
        <is>
          <t>YouTube</t>
        </is>
      </c>
      <c r="D3" s="8" t="n">
        <v>238</v>
      </c>
      <c r="E3" s="8" t="n">
        <v>8.4</v>
      </c>
      <c r="F3" s="8">
        <f>TEXT(E3/D3,"0.0%")</f>
        <v/>
      </c>
    </row>
    <row r="4">
      <c r="A4" s="7" t="inlineStr"/>
      <c r="B4" s="7" t="inlineStr"/>
      <c r="C4" s="7" t="inlineStr">
        <is>
          <t>Instagram</t>
        </is>
      </c>
      <c r="D4" s="7" t="n">
        <v>442</v>
      </c>
      <c r="E4" s="7" t="n">
        <v>15.6</v>
      </c>
      <c r="F4" s="7">
        <f>TEXT(E4/D4,"0.0%")</f>
        <v/>
      </c>
    </row>
    <row r="5">
      <c r="A5" s="8" t="inlineStr">
        <is>
          <t>ConvertKit Email Marketing</t>
        </is>
      </c>
      <c r="B5" s="8" t="inlineStr">
        <is>
          <t>ConvertKit</t>
        </is>
      </c>
      <c r="C5" s="8" t="inlineStr">
        <is>
          <t>Email</t>
        </is>
      </c>
      <c r="D5" s="8" t="n">
        <v>289</v>
      </c>
      <c r="E5" s="8" t="n">
        <v>10.2</v>
      </c>
      <c r="F5" s="8">
        <f>TEXT(E5/D5,"0.0%")</f>
        <v/>
      </c>
    </row>
    <row r="6">
      <c r="A6" s="7" t="inlineStr">
        <is>
          <t>ConvertKit Email Marketing</t>
        </is>
      </c>
      <c r="B6" s="7" t="inlineStr">
        <is>
          <t>ConvertKit</t>
        </is>
      </c>
      <c r="C6" s="7" t="inlineStr">
        <is>
          <t>TikTok</t>
        </is>
      </c>
      <c r="D6" s="7" t="n">
        <v>391</v>
      </c>
      <c r="E6" s="7" t="n">
        <v>13.8</v>
      </c>
      <c r="F6" s="7">
        <f>TEXT(E6/D6,"0.0%")</f>
        <v/>
      </c>
    </row>
    <row r="7">
      <c r="A7" s="8" t="inlineStr"/>
      <c r="B7" s="8" t="inlineStr"/>
      <c r="C7" s="8" t="inlineStr">
        <is>
          <t>Pinterest</t>
        </is>
      </c>
      <c r="D7" s="8" t="n">
        <v>204</v>
      </c>
      <c r="E7" s="8" t="n">
        <v>7.2</v>
      </c>
      <c r="F7" s="8">
        <f>TEXT(E7/D7,"0.0%")</f>
        <v/>
      </c>
    </row>
    <row r="8">
      <c r="A8" s="7" t="inlineStr">
        <is>
          <t>ConvertKit Email Marketing</t>
        </is>
      </c>
      <c r="B8" s="7" t="inlineStr">
        <is>
          <t>ConvertKit</t>
        </is>
      </c>
      <c r="C8" s="7" t="inlineStr">
        <is>
          <t>Other</t>
        </is>
      </c>
      <c r="D8" s="7" t="n">
        <v>493</v>
      </c>
      <c r="E8" s="7" t="n">
        <v>17.4</v>
      </c>
      <c r="F8" s="7">
        <f>TEXT(E8/D8,"0.0%")</f>
        <v/>
      </c>
    </row>
    <row r="9">
      <c r="A9" s="8" t="inlineStr">
        <is>
          <t>ConvertKit Email Marketing</t>
        </is>
      </c>
      <c r="B9" s="8" t="inlineStr">
        <is>
          <t>ConvertKit</t>
        </is>
      </c>
      <c r="C9" s="8" t="inlineStr">
        <is>
          <t>Blog</t>
        </is>
      </c>
      <c r="D9" s="8" t="n">
        <v>323</v>
      </c>
      <c r="E9" s="8" t="n">
        <v>11.4</v>
      </c>
      <c r="F9" s="8">
        <f>TEXT(E9/D9,"0.0%")</f>
        <v/>
      </c>
    </row>
    <row r="10">
      <c r="A10" s="7" t="inlineStr"/>
      <c r="B10" s="7" t="inlineStr"/>
      <c r="C10" s="7" t="inlineStr">
        <is>
          <t>YouTube</t>
        </is>
      </c>
      <c r="D10" s="7" t="n">
        <v>425</v>
      </c>
      <c r="E10" s="7" t="n">
        <v>15</v>
      </c>
      <c r="F10" s="7">
        <f>TEXT(E10/D10,"0.0%")</f>
        <v/>
      </c>
    </row>
    <row r="11">
      <c r="A11" s="8" t="inlineStr">
        <is>
          <t>ConvertKit Email Marketing</t>
        </is>
      </c>
      <c r="B11" s="8" t="inlineStr">
        <is>
          <t>ConvertKit</t>
        </is>
      </c>
      <c r="C11" s="8" t="inlineStr">
        <is>
          <t>Instagram</t>
        </is>
      </c>
      <c r="D11" s="8" t="n">
        <v>272</v>
      </c>
      <c r="E11" s="8" t="n">
        <v>9.6</v>
      </c>
      <c r="F11" s="8">
        <f>TEXT(E11/D11,"0.0%")</f>
        <v/>
      </c>
    </row>
    <row r="12">
      <c r="A12" s="7" t="inlineStr">
        <is>
          <t>ConvertKit Email Marketing</t>
        </is>
      </c>
      <c r="B12" s="7" t="inlineStr">
        <is>
          <t>ConvertKit</t>
        </is>
      </c>
      <c r="C12" s="7" t="inlineStr">
        <is>
          <t>Email</t>
        </is>
      </c>
      <c r="D12" s="7" t="n">
        <v>374</v>
      </c>
      <c r="E12" s="7" t="n">
        <v>13.2</v>
      </c>
      <c r="F12" s="7">
        <f>TEXT(E12/D12,"0.0%")</f>
        <v/>
      </c>
    </row>
    <row r="13">
      <c r="A13" s="8" t="inlineStr"/>
      <c r="B13" s="8" t="inlineStr"/>
      <c r="C13" s="8" t="inlineStr">
        <is>
          <t>TikTok</t>
        </is>
      </c>
      <c r="D13" s="8" t="n">
        <v>255</v>
      </c>
      <c r="E13" s="8" t="n">
        <v>9</v>
      </c>
      <c r="F13" s="8">
        <f>TEXT(E13/D13,"0.0%")</f>
        <v/>
      </c>
    </row>
  </sheetData>
  <dataValidations count="1">
    <dataValidation sqref="C2:C500" showDropDown="0" showInputMessage="0" showErrorMessage="0" allowBlank="1" type="list">
      <formula1>"Blog,YouTube,Instagram,Email,TikTok,Pinterest,Other"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2" customWidth="1" min="4" max="4"/>
    <col width="16" customWidth="1" min="5" max="5"/>
    <col width="16" customWidth="1" min="6" max="6"/>
  </cols>
  <sheetData>
    <row r="1">
      <c r="A1" s="6" t="inlineStr">
        <is>
          <t>Date</t>
        </is>
      </c>
      <c r="B1" s="6" t="inlineStr">
        <is>
          <t>Program</t>
        </is>
      </c>
      <c r="C1" s="6" t="inlineStr">
        <is>
          <t>Description</t>
        </is>
      </c>
      <c r="D1" s="6" t="inlineStr">
        <is>
          <t>Clicks</t>
        </is>
      </c>
      <c r="E1" s="6" t="inlineStr">
        <is>
          <t>Commission $</t>
        </is>
      </c>
      <c r="F1" s="6" t="inlineStr">
        <is>
          <t>Status</t>
        </is>
      </c>
    </row>
    <row r="2">
      <c r="A2" s="20" t="n">
        <v>46174</v>
      </c>
      <c r="B2" s="7" t="inlineStr">
        <is>
          <t>ConvertKit</t>
        </is>
      </c>
      <c r="C2" s="7" t="inlineStr">
        <is>
          <t>New subscriber referral</t>
        </is>
      </c>
      <c r="D2" s="7" t="n">
        <v>45</v>
      </c>
      <c r="E2" s="7" t="n">
        <v>29</v>
      </c>
      <c r="F2" s="7" t="inlineStr">
        <is>
          <t>Pending</t>
        </is>
      </c>
    </row>
    <row r="3">
      <c r="A3" s="21" t="n">
        <v>46180</v>
      </c>
      <c r="B3" s="8" t="inlineStr">
        <is>
          <t>ConvertKit</t>
        </is>
      </c>
      <c r="C3" s="8" t="inlineStr">
        <is>
          <t>New subscriber referral</t>
        </is>
      </c>
      <c r="D3" s="8" t="n">
        <v>31.5</v>
      </c>
      <c r="E3" s="8" t="n">
        <v>20.3</v>
      </c>
      <c r="F3" s="8" t="inlineStr">
        <is>
          <t>Approved</t>
        </is>
      </c>
    </row>
    <row r="4">
      <c r="A4" s="20" t="n">
        <v>46186</v>
      </c>
      <c r="B4" s="7" t="inlineStr"/>
      <c r="C4" s="7" t="inlineStr"/>
      <c r="D4" s="7" t="n">
        <v>58.5</v>
      </c>
      <c r="E4" s="7" t="n">
        <v>37.7</v>
      </c>
      <c r="F4" s="7" t="inlineStr">
        <is>
          <t>Paid</t>
        </is>
      </c>
    </row>
    <row r="5">
      <c r="A5" s="21" t="n">
        <v>46189</v>
      </c>
      <c r="B5" s="8" t="inlineStr">
        <is>
          <t>ConvertKit</t>
        </is>
      </c>
      <c r="C5" s="8" t="inlineStr">
        <is>
          <t>New subscriber referral</t>
        </is>
      </c>
      <c r="D5" s="8" t="n">
        <v>38.25</v>
      </c>
      <c r="E5" s="8" t="n">
        <v>24.65</v>
      </c>
      <c r="F5" s="8" t="inlineStr">
        <is>
          <t>Reversed</t>
        </is>
      </c>
    </row>
    <row r="6">
      <c r="A6" s="20" t="n">
        <v>46195</v>
      </c>
      <c r="B6" s="7" t="inlineStr">
        <is>
          <t>ConvertKit</t>
        </is>
      </c>
      <c r="C6" s="7" t="inlineStr">
        <is>
          <t>New subscriber referral</t>
        </is>
      </c>
      <c r="D6" s="7" t="n">
        <v>51.75</v>
      </c>
      <c r="E6" s="7" t="n">
        <v>33.35</v>
      </c>
      <c r="F6" s="7" t="inlineStr">
        <is>
          <t>Pending</t>
        </is>
      </c>
    </row>
    <row r="7">
      <c r="A7" s="21" t="n">
        <v>46201</v>
      </c>
      <c r="B7" s="8" t="inlineStr"/>
      <c r="C7" s="8" t="inlineStr"/>
      <c r="D7" s="8" t="n">
        <v>27</v>
      </c>
      <c r="E7" s="8" t="n">
        <v>17.4</v>
      </c>
      <c r="F7" s="8" t="inlineStr">
        <is>
          <t>Approved</t>
        </is>
      </c>
    </row>
    <row r="8">
      <c r="A8" s="20" t="n">
        <v>46176</v>
      </c>
      <c r="B8" s="7" t="inlineStr">
        <is>
          <t>ConvertKit</t>
        </is>
      </c>
      <c r="C8" s="7" t="inlineStr">
        <is>
          <t>New subscriber referral</t>
        </is>
      </c>
      <c r="D8" s="7" t="n">
        <v>65.25</v>
      </c>
      <c r="E8" s="7" t="n">
        <v>42.05</v>
      </c>
      <c r="F8" s="7" t="inlineStr">
        <is>
          <t>Paid</t>
        </is>
      </c>
    </row>
    <row r="9">
      <c r="A9" s="21" t="n">
        <v>46182</v>
      </c>
      <c r="B9" s="8" t="inlineStr">
        <is>
          <t>ConvertKit</t>
        </is>
      </c>
      <c r="C9" s="8" t="inlineStr">
        <is>
          <t>New subscriber referral</t>
        </is>
      </c>
      <c r="D9" s="8" t="n">
        <v>42.75</v>
      </c>
      <c r="E9" s="8" t="n">
        <v>27.55</v>
      </c>
      <c r="F9" s="8" t="inlineStr">
        <is>
          <t>Reversed</t>
        </is>
      </c>
    </row>
    <row r="10">
      <c r="A10" s="20" t="n">
        <v>46188</v>
      </c>
      <c r="B10" s="7" t="inlineStr"/>
      <c r="C10" s="7" t="inlineStr"/>
      <c r="D10" s="7" t="n">
        <v>56.25</v>
      </c>
      <c r="E10" s="7" t="n">
        <v>36.25</v>
      </c>
      <c r="F10" s="7" t="inlineStr">
        <is>
          <t>Pending</t>
        </is>
      </c>
    </row>
    <row r="11">
      <c r="A11" s="21" t="n">
        <v>46191</v>
      </c>
      <c r="B11" s="8" t="inlineStr">
        <is>
          <t>ConvertKit</t>
        </is>
      </c>
      <c r="C11" s="8" t="inlineStr">
        <is>
          <t>New subscriber referral</t>
        </is>
      </c>
      <c r="D11" s="8" t="n">
        <v>36</v>
      </c>
      <c r="E11" s="8" t="n">
        <v>23.2</v>
      </c>
      <c r="F11" s="8" t="inlineStr">
        <is>
          <t>Approved</t>
        </is>
      </c>
    </row>
    <row r="12">
      <c r="A12" s="20" t="n">
        <v>46197</v>
      </c>
      <c r="B12" s="7" t="inlineStr">
        <is>
          <t>ConvertKit</t>
        </is>
      </c>
      <c r="C12" s="7" t="inlineStr">
        <is>
          <t>New subscriber referral</t>
        </is>
      </c>
      <c r="D12" s="7" t="n">
        <v>49.5</v>
      </c>
      <c r="E12" s="7" t="n">
        <v>31.9</v>
      </c>
      <c r="F12" s="7" t="inlineStr">
        <is>
          <t>Paid</t>
        </is>
      </c>
    </row>
    <row r="13">
      <c r="A13" s="21" t="n">
        <v>46175</v>
      </c>
      <c r="B13" s="8" t="inlineStr"/>
      <c r="C13" s="8" t="inlineStr"/>
      <c r="D13" s="8" t="n">
        <v>33.75</v>
      </c>
      <c r="E13" s="8" t="n">
        <v>21.75</v>
      </c>
      <c r="F13" s="8" t="inlineStr">
        <is>
          <t>Reversed</t>
        </is>
      </c>
    </row>
  </sheetData>
  <dataValidations count="1">
    <dataValidation sqref="F2:F500" showDropDown="0" showInputMessage="0" showErrorMessage="0" allowBlank="1" type="list">
      <formula1>"Pending,Approved,Paid,Reversed"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2" t="inlineStr">
        <is>
          <t>📈  REPORTS</t>
        </is>
      </c>
    </row>
    <row r="4">
      <c r="B4" s="3" t="inlineStr">
        <is>
          <t>Affiliate Summary</t>
        </is>
      </c>
    </row>
    <row r="5">
      <c r="B5" s="8" t="inlineStr">
        <is>
          <t>Total Earned</t>
        </is>
      </c>
      <c r="C5" s="23">
        <f>SUM(Commissions!E:E)</f>
        <v/>
      </c>
    </row>
    <row r="6">
      <c r="B6" s="7" t="inlineStr">
        <is>
          <t>Paid Out</t>
        </is>
      </c>
      <c r="C6" s="24">
        <f>SUMIF(Commissions!F:F,"Paid",Commissions!E:E)</f>
        <v/>
      </c>
    </row>
    <row r="7">
      <c r="B7" s="8" t="inlineStr">
        <is>
          <t>Pending</t>
        </is>
      </c>
      <c r="C7" s="25">
        <f>SUMIF(Commissions!F:F,"Pending",Commissions!E:E)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