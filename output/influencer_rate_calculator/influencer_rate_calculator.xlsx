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tats" sheetId="2" state="visible" r:id="rId2"/>
    <sheet name="Dashboard" sheetId="3" state="visible" r:id="rId3"/>
    <sheet name="Rate Card" sheetId="4" state="visible" r:id="rId4"/>
    <sheet name="Deals" sheetId="5" state="visible" r:id="rId5"/>
    <sheet name="Pitch Tra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D1B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E91E8C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FF7F0"/>
      </patternFill>
    </fill>
    <fill>
      <patternFill patternType="solid">
        <fgColor rgb="00E91E8C"/>
      </patternFill>
    </fill>
    <fill>
      <patternFill patternType="solid">
        <fgColor rgb="0000BCD4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⭐  INFLUENCER MEDIA KIT &amp; RATE CALCULATOR</t>
        </is>
      </c>
    </row>
    <row r="3"/>
    <row r="4">
      <c r="B4" s="2" t="inlineStr">
        <is>
          <t>Brand Deal Rates, Stats &amp; Pitch Tracker Google Sheets</t>
        </is>
      </c>
    </row>
    <row r="6">
      <c r="B6" s="3" t="inlineStr">
        <is>
          <t>STEP 1 — Fill in “Stats”</t>
        </is>
      </c>
    </row>
    <row r="7" ht="28" customHeight="1">
      <c r="B7" s="4" t="inlineStr">
        <is>
          <t>Platform stats for your media kit.</t>
        </is>
      </c>
    </row>
    <row r="9">
      <c r="B9" s="3" t="inlineStr">
        <is>
          <t>STEP 2 — Fill in “Rate Card”</t>
        </is>
      </c>
    </row>
    <row r="10" ht="28" customHeight="1">
      <c r="B10" s="4" t="inlineStr">
        <is>
          <t>Your rates for each content type per platform.</t>
        </is>
      </c>
    </row>
    <row r="12">
      <c r="B12" s="3" t="inlineStr">
        <is>
          <t>STEP 3 — Fill in “Deals”</t>
        </is>
      </c>
    </row>
    <row r="13" ht="28" customHeight="1">
      <c r="B13" s="4" t="inlineStr">
        <is>
          <t>All brand deal negotiations and completed campaigns.</t>
        </is>
      </c>
    </row>
    <row r="15">
      <c r="B15" s="3" t="inlineStr">
        <is>
          <t>STEP 4 — Fill in “Pitch Tracker”</t>
        </is>
      </c>
    </row>
    <row r="16" ht="28" customHeight="1">
      <c r="B16" s="4" t="inlineStr">
        <is>
          <t>Brand outreach tracker: pitch status and follow-up.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Platform</t>
        </is>
      </c>
      <c r="B1" s="6" t="inlineStr">
        <is>
          <t>Handle</t>
        </is>
      </c>
      <c r="C1" s="6" t="inlineStr">
        <is>
          <t>Followers</t>
        </is>
      </c>
      <c r="D1" s="6" t="inlineStr">
        <is>
          <t>Avg Reach</t>
        </is>
      </c>
      <c r="E1" s="6" t="inlineStr">
        <is>
          <t>Engagement %</t>
        </is>
      </c>
      <c r="F1" s="6" t="inlineStr">
        <is>
          <t>Audience Age</t>
        </is>
      </c>
      <c r="G1" s="6" t="inlineStr">
        <is>
          <t>Top Country</t>
        </is>
      </c>
    </row>
    <row r="2">
      <c r="A2" s="7" t="inlineStr">
        <is>
          <t>Instagram</t>
        </is>
      </c>
      <c r="B2" s="7" t="inlineStr">
        <is>
          <t>alex@mail.com</t>
        </is>
      </c>
      <c r="C2" s="7" t="n">
        <v>45000</v>
      </c>
      <c r="D2" s="7" t="n">
        <v>12000</v>
      </c>
      <c r="E2" s="7" t="n">
        <v>4.2</v>
      </c>
      <c r="F2" s="7" t="inlineStr">
        <is>
          <t>25-34</t>
        </is>
      </c>
      <c r="G2" s="7" t="inlineStr">
        <is>
          <t>United States</t>
        </is>
      </c>
    </row>
    <row r="3">
      <c r="A3" s="8" t="inlineStr">
        <is>
          <t>YouTube</t>
        </is>
      </c>
      <c r="B3" s="8" t="inlineStr">
        <is>
          <t>sara@mail.com</t>
        </is>
      </c>
      <c r="C3" s="8" t="n">
        <v>31500</v>
      </c>
      <c r="D3" s="8" t="n">
        <v>8400</v>
      </c>
      <c r="E3" s="8" t="n">
        <v>2.94</v>
      </c>
      <c r="F3" s="8" t="inlineStr">
        <is>
          <t>25-35</t>
        </is>
      </c>
      <c r="G3" s="8" t="inlineStr">
        <is>
          <t>United States</t>
        </is>
      </c>
    </row>
    <row r="4">
      <c r="A4" s="7" t="inlineStr">
        <is>
          <t>TikTok</t>
        </is>
      </c>
      <c r="B4" s="7" t="inlineStr">
        <is>
          <t>omar@mail.com</t>
        </is>
      </c>
      <c r="C4" s="7" t="n">
        <v>58500</v>
      </c>
      <c r="D4" s="7" t="n">
        <v>15600</v>
      </c>
      <c r="E4" s="7" t="n">
        <v>5.46</v>
      </c>
      <c r="F4" s="7" t="inlineStr">
        <is>
          <t>25-36</t>
        </is>
      </c>
      <c r="G4" s="7" t="inlineStr"/>
    </row>
    <row r="5">
      <c r="A5" s="8" t="inlineStr">
        <is>
          <t>Twitter/X</t>
        </is>
      </c>
      <c r="B5" s="8" t="inlineStr">
        <is>
          <t>emma@mail.com</t>
        </is>
      </c>
      <c r="C5" s="8" t="n">
        <v>38250</v>
      </c>
      <c r="D5" s="8" t="n">
        <v>10200</v>
      </c>
      <c r="E5" s="8" t="n">
        <v>3.57</v>
      </c>
      <c r="F5" s="8" t="inlineStr">
        <is>
          <t>25-37</t>
        </is>
      </c>
      <c r="G5" s="8" t="inlineStr">
        <is>
          <t>United States</t>
        </is>
      </c>
    </row>
    <row r="6">
      <c r="A6" s="7" t="inlineStr">
        <is>
          <t>LinkedIn</t>
        </is>
      </c>
      <c r="B6" s="7" t="inlineStr">
        <is>
          <t>liam@mail.com</t>
        </is>
      </c>
      <c r="C6" s="7" t="n">
        <v>51750</v>
      </c>
      <c r="D6" s="7" t="n">
        <v>13800</v>
      </c>
      <c r="E6" s="7" t="n">
        <v>4.83</v>
      </c>
      <c r="F6" s="7" t="inlineStr">
        <is>
          <t>25-38</t>
        </is>
      </c>
      <c r="G6" s="7" t="inlineStr">
        <is>
          <t>United States</t>
        </is>
      </c>
    </row>
    <row r="7">
      <c r="A7" s="8" t="inlineStr">
        <is>
          <t>Pinterest</t>
        </is>
      </c>
      <c r="B7" s="8" t="inlineStr">
        <is>
          <t>nadia@mail.com</t>
        </is>
      </c>
      <c r="C7" s="8" t="n">
        <v>27000</v>
      </c>
      <c r="D7" s="8" t="n">
        <v>7200</v>
      </c>
      <c r="E7" s="8" t="n">
        <v>2.52</v>
      </c>
      <c r="F7" s="8" t="inlineStr">
        <is>
          <t>25-39</t>
        </is>
      </c>
      <c r="G7" s="8" t="inlineStr"/>
    </row>
    <row r="8">
      <c r="A8" s="7" t="inlineStr">
        <is>
          <t>Blog</t>
        </is>
      </c>
      <c r="B8" s="7" t="inlineStr">
        <is>
          <t>tom@mail.com</t>
        </is>
      </c>
      <c r="C8" s="7" t="n">
        <v>65250</v>
      </c>
      <c r="D8" s="7" t="n">
        <v>17400</v>
      </c>
      <c r="E8" s="7" t="n">
        <v>6.09</v>
      </c>
      <c r="F8" s="7" t="inlineStr">
        <is>
          <t>25-40</t>
        </is>
      </c>
      <c r="G8" s="7" t="inlineStr">
        <is>
          <t>United States</t>
        </is>
      </c>
    </row>
    <row r="9">
      <c r="A9" s="8" t="inlineStr">
        <is>
          <t>Podcast</t>
        </is>
      </c>
      <c r="B9" s="8" t="inlineStr">
        <is>
          <t>julia@mail.com</t>
        </is>
      </c>
      <c r="C9" s="8" t="n">
        <v>42750</v>
      </c>
      <c r="D9" s="8" t="n">
        <v>11400</v>
      </c>
      <c r="E9" s="8" t="n">
        <v>3.99</v>
      </c>
      <c r="F9" s="8" t="inlineStr">
        <is>
          <t>25-41</t>
        </is>
      </c>
      <c r="G9" s="8" t="inlineStr">
        <is>
          <t>United States</t>
        </is>
      </c>
    </row>
    <row r="10">
      <c r="A10" s="7" t="inlineStr">
        <is>
          <t>Instagram</t>
        </is>
      </c>
      <c r="B10" s="7" t="inlineStr">
        <is>
          <t>karim@mail.com</t>
        </is>
      </c>
      <c r="C10" s="7" t="n">
        <v>56250</v>
      </c>
      <c r="D10" s="7" t="n">
        <v>15000</v>
      </c>
      <c r="E10" s="7" t="n">
        <v>5.25</v>
      </c>
      <c r="F10" s="7" t="inlineStr">
        <is>
          <t>25-42</t>
        </is>
      </c>
      <c r="G10" s="7" t="inlineStr"/>
    </row>
    <row r="11">
      <c r="A11" s="8" t="inlineStr">
        <is>
          <t>YouTube</t>
        </is>
      </c>
      <c r="B11" s="8" t="inlineStr">
        <is>
          <t>anna@mail.com</t>
        </is>
      </c>
      <c r="C11" s="8" t="n">
        <v>36000</v>
      </c>
      <c r="D11" s="8" t="n">
        <v>9600</v>
      </c>
      <c r="E11" s="8" t="n">
        <v>3.36</v>
      </c>
      <c r="F11" s="8" t="inlineStr">
        <is>
          <t>25-43</t>
        </is>
      </c>
      <c r="G11" s="8" t="inlineStr">
        <is>
          <t>United States</t>
        </is>
      </c>
    </row>
    <row r="12">
      <c r="A12" s="7" t="inlineStr">
        <is>
          <t>TikTok</t>
        </is>
      </c>
      <c r="B12" s="7" t="inlineStr">
        <is>
          <t>david@mail.com</t>
        </is>
      </c>
      <c r="C12" s="7" t="n">
        <v>49500</v>
      </c>
      <c r="D12" s="7" t="n">
        <v>13200</v>
      </c>
      <c r="E12" s="7" t="n">
        <v>4.62</v>
      </c>
      <c r="F12" s="7" t="inlineStr">
        <is>
          <t>25-44</t>
        </is>
      </c>
      <c r="G12" s="7" t="inlineStr">
        <is>
          <t>United States</t>
        </is>
      </c>
    </row>
    <row r="13">
      <c r="A13" s="8" t="inlineStr">
        <is>
          <t>Twitter/X</t>
        </is>
      </c>
      <c r="B13" s="8" t="inlineStr">
        <is>
          <t>lea@mail.com</t>
        </is>
      </c>
      <c r="C13" s="8" t="n">
        <v>33750</v>
      </c>
      <c r="D13" s="8" t="n">
        <v>9000</v>
      </c>
      <c r="E13" s="8" t="n">
        <v>3.15</v>
      </c>
      <c r="F13" s="8" t="inlineStr">
        <is>
          <t>25-45</t>
        </is>
      </c>
      <c r="G13" s="8" t="inlineStr"/>
    </row>
  </sheetData>
  <dataValidations count="1">
    <dataValidation sqref="A2:A500" showDropDown="0" showInputMessage="0" showErrorMessage="0" allowBlank="1" type="list">
      <formula1>"Instagram,YouTube,TikTok,Twitter/X,LinkedIn,Pinterest,Blog,Podcast"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INFLUENCER MEDIA KIT &amp; RATE CALCULATOR — DASHBOARD</t>
        </is>
      </c>
    </row>
    <row r="4">
      <c r="B4" s="10" t="inlineStr">
        <is>
          <t>BRAND DEALS</t>
        </is>
      </c>
      <c r="D4" s="11" t="inlineStr">
        <is>
          <t>TOTAL INCOME $</t>
        </is>
      </c>
      <c r="F4" s="12" t="inlineStr">
        <is>
          <t>AVG DEAL VALUE $</t>
        </is>
      </c>
      <c r="H4" s="13" t="inlineStr">
        <is>
          <t>PENDING INCOME $</t>
        </is>
      </c>
    </row>
    <row r="5" ht="26" customHeight="1">
      <c r="B5" s="14">
        <f>COUNTA(Deals!A:A)-1</f>
        <v/>
      </c>
      <c r="D5" s="15">
        <f>SUMIF(Deals!G:G,"Paid",Deals!F:F)</f>
        <v/>
      </c>
      <c r="F5" s="16">
        <f>AVERAGE(Deals!F:F)</f>
        <v/>
      </c>
      <c r="H5" s="17">
        <f>SUMIF(Deals!G:G,"Pending",Deals!F:F)</f>
        <v/>
      </c>
    </row>
    <row r="8">
      <c r="B8" s="18" t="inlineStr">
        <is>
          <t>WHAT'S INSIDE</t>
        </is>
      </c>
    </row>
    <row r="9">
      <c r="B9" s="19" t="inlineStr">
        <is>
          <t>📊  Stats — Platform stats for your media kit.</t>
        </is>
      </c>
    </row>
    <row r="10">
      <c r="B10" s="19" t="inlineStr">
        <is>
          <t>💰  Rate Card — Your rates for each content type per platform.</t>
        </is>
      </c>
    </row>
    <row r="11">
      <c r="B11" s="19" t="inlineStr">
        <is>
          <t>🤝  Deals — All brand deal negotiations and completed campaigns.</t>
        </is>
      </c>
    </row>
    <row r="12">
      <c r="B12" s="19" t="inlineStr">
        <is>
          <t>📤  Pitch Tracker — Brand outreach tracker: pitch status and follow-up.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30" customWidth="1" min="4" max="4"/>
    <col width="18" customWidth="1" min="5" max="5"/>
  </cols>
  <sheetData>
    <row r="1">
      <c r="A1" s="6" t="inlineStr">
        <is>
          <t>Platform</t>
        </is>
      </c>
      <c r="B1" s="6" t="inlineStr">
        <is>
          <t>Content Type</t>
        </is>
      </c>
      <c r="C1" s="6" t="inlineStr">
        <is>
          <t>Rate $</t>
        </is>
      </c>
      <c r="D1" s="6" t="inlineStr">
        <is>
          <t>Deliverables</t>
        </is>
      </c>
      <c r="E1" s="6" t="inlineStr">
        <is>
          <t>Revision Rounds</t>
        </is>
      </c>
    </row>
    <row r="2">
      <c r="A2" s="7" t="inlineStr">
        <is>
          <t>Instagram</t>
        </is>
      </c>
      <c r="B2" s="7" t="inlineStr">
        <is>
          <t>Feed Post</t>
        </is>
      </c>
      <c r="C2" s="7" t="n">
        <v>800</v>
      </c>
      <c r="D2" s="7" t="inlineStr">
        <is>
          <t>1 Reel + 3 Stories + caption</t>
        </is>
      </c>
      <c r="E2" s="7" t="n">
        <v>2</v>
      </c>
    </row>
    <row r="3">
      <c r="A3" s="8" t="inlineStr">
        <is>
          <t>YouTube</t>
        </is>
      </c>
      <c r="B3" s="8" t="inlineStr">
        <is>
          <t>Story</t>
        </is>
      </c>
      <c r="C3" s="8" t="n">
        <v>560</v>
      </c>
      <c r="D3" s="8" t="inlineStr">
        <is>
          <t>1 Reel + 3 Stories + caption</t>
        </is>
      </c>
      <c r="E3" s="8" t="n">
        <v>1.4</v>
      </c>
    </row>
    <row r="4">
      <c r="A4" s="7" t="inlineStr">
        <is>
          <t>TikTok</t>
        </is>
      </c>
      <c r="B4" s="7" t="inlineStr">
        <is>
          <t>Reel</t>
        </is>
      </c>
      <c r="C4" s="7" t="n">
        <v>1040</v>
      </c>
      <c r="D4" s="7" t="inlineStr"/>
      <c r="E4" s="7" t="n">
        <v>2.6</v>
      </c>
    </row>
    <row r="5">
      <c r="A5" s="8" t="inlineStr">
        <is>
          <t>Twitter/X</t>
        </is>
      </c>
      <c r="B5" s="8" t="inlineStr">
        <is>
          <t>Dedicated Video</t>
        </is>
      </c>
      <c r="C5" s="8" t="n">
        <v>680</v>
      </c>
      <c r="D5" s="8" t="inlineStr">
        <is>
          <t>1 Reel + 3 Stories + caption</t>
        </is>
      </c>
      <c r="E5" s="8" t="n">
        <v>1.7</v>
      </c>
    </row>
    <row r="6">
      <c r="A6" s="7" t="inlineStr">
        <is>
          <t>LinkedIn</t>
        </is>
      </c>
      <c r="B6" s="7" t="inlineStr">
        <is>
          <t>Short</t>
        </is>
      </c>
      <c r="C6" s="7" t="n">
        <v>920</v>
      </c>
      <c r="D6" s="7" t="inlineStr">
        <is>
          <t>1 Reel + 3 Stories + caption</t>
        </is>
      </c>
      <c r="E6" s="7" t="n">
        <v>2.3</v>
      </c>
    </row>
    <row r="7">
      <c r="A7" s="8" t="inlineStr">
        <is>
          <t>Blog</t>
        </is>
      </c>
      <c r="B7" s="8" t="inlineStr">
        <is>
          <t>Newsletter</t>
        </is>
      </c>
      <c r="C7" s="8" t="n">
        <v>480</v>
      </c>
      <c r="D7" s="8" t="inlineStr"/>
      <c r="E7" s="8" t="n">
        <v>1.2</v>
      </c>
    </row>
    <row r="8">
      <c r="A8" s="7" t="inlineStr">
        <is>
          <t>Email</t>
        </is>
      </c>
      <c r="B8" s="7" t="inlineStr">
        <is>
          <t>Sponsored Ep</t>
        </is>
      </c>
      <c r="C8" s="7" t="n">
        <v>1160</v>
      </c>
      <c r="D8" s="7" t="inlineStr">
        <is>
          <t>1 Reel + 3 Stories + caption</t>
        </is>
      </c>
      <c r="E8" s="7" t="n">
        <v>2.9</v>
      </c>
    </row>
    <row r="9">
      <c r="A9" s="8" t="inlineStr">
        <is>
          <t>Podcast</t>
        </is>
      </c>
      <c r="B9" s="8" t="inlineStr">
        <is>
          <t>Review</t>
        </is>
      </c>
      <c r="C9" s="8" t="n">
        <v>760</v>
      </c>
      <c r="D9" s="8" t="inlineStr">
        <is>
          <t>1 Reel + 3 Stories + caption</t>
        </is>
      </c>
      <c r="E9" s="8" t="n">
        <v>1.9</v>
      </c>
    </row>
    <row r="10">
      <c r="A10" s="7" t="inlineStr">
        <is>
          <t>Instagram</t>
        </is>
      </c>
      <c r="B10" s="7" t="inlineStr">
        <is>
          <t>Feed Post</t>
        </is>
      </c>
      <c r="C10" s="7" t="n">
        <v>1000</v>
      </c>
      <c r="D10" s="7" t="inlineStr"/>
      <c r="E10" s="7" t="n">
        <v>2.5</v>
      </c>
    </row>
    <row r="11">
      <c r="A11" s="8" t="inlineStr">
        <is>
          <t>YouTube</t>
        </is>
      </c>
      <c r="B11" s="8" t="inlineStr">
        <is>
          <t>Story</t>
        </is>
      </c>
      <c r="C11" s="8" t="n">
        <v>640</v>
      </c>
      <c r="D11" s="8" t="inlineStr">
        <is>
          <t>1 Reel + 3 Stories + caption</t>
        </is>
      </c>
      <c r="E11" s="8" t="n">
        <v>1.6</v>
      </c>
    </row>
    <row r="12">
      <c r="A12" s="7" t="inlineStr">
        <is>
          <t>TikTok</t>
        </is>
      </c>
      <c r="B12" s="7" t="inlineStr">
        <is>
          <t>Reel</t>
        </is>
      </c>
      <c r="C12" s="7" t="n">
        <v>880</v>
      </c>
      <c r="D12" s="7" t="inlineStr">
        <is>
          <t>1 Reel + 3 Stories + caption</t>
        </is>
      </c>
      <c r="E12" s="7" t="n">
        <v>2.2</v>
      </c>
    </row>
    <row r="13">
      <c r="A13" s="8" t="inlineStr">
        <is>
          <t>Twitter/X</t>
        </is>
      </c>
      <c r="B13" s="8" t="inlineStr">
        <is>
          <t>Dedicated Video</t>
        </is>
      </c>
      <c r="C13" s="8" t="n">
        <v>600</v>
      </c>
      <c r="D13" s="8" t="inlineStr"/>
      <c r="E13" s="8" t="n">
        <v>1.5</v>
      </c>
    </row>
  </sheetData>
  <dataValidations count="2">
    <dataValidation sqref="A2:A500" showDropDown="0" showInputMessage="0" showErrorMessage="0" allowBlank="1" type="list">
      <formula1>"Instagram,YouTube,TikTok,Twitter/X,LinkedIn,Blog,Email,Podcast"</formula1>
    </dataValidation>
    <dataValidation sqref="B2:B500" showDropDown="0" showInputMessage="0" showErrorMessage="0" allowBlank="1" type="list">
      <formula1>"Feed Post,Story,Reel,Dedicated Video,Short,Newsletter,Sponsored Ep,Review"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30" customWidth="1" min="4" max="4"/>
    <col width="14" customWidth="1" min="5" max="5"/>
    <col width="14" customWidth="1" min="6" max="6"/>
    <col width="20" customWidth="1" min="7" max="7"/>
  </cols>
  <sheetData>
    <row r="1">
      <c r="A1" s="6" t="inlineStr">
        <is>
          <t>Brand</t>
        </is>
      </c>
      <c r="B1" s="6" t="inlineStr">
        <is>
          <t>Campaign</t>
        </is>
      </c>
      <c r="C1" s="6" t="inlineStr">
        <is>
          <t>Platform</t>
        </is>
      </c>
      <c r="D1" s="6" t="inlineStr">
        <is>
          <t>Deliverables</t>
        </is>
      </c>
      <c r="E1" s="6" t="inlineStr">
        <is>
          <t>Deadline</t>
        </is>
      </c>
      <c r="F1" s="6" t="inlineStr">
        <is>
          <t>Rate $</t>
        </is>
      </c>
      <c r="G1" s="6" t="inlineStr">
        <is>
          <t>Status</t>
        </is>
      </c>
    </row>
    <row r="2">
      <c r="A2" s="7" t="inlineStr">
        <is>
          <t>BrightWave Studio</t>
        </is>
      </c>
      <c r="B2" s="7" t="inlineStr">
        <is>
          <t>Summer Collection Launch</t>
        </is>
      </c>
      <c r="C2" s="7" t="inlineStr">
        <is>
          <t>Instagram</t>
        </is>
      </c>
      <c r="D2" s="7" t="inlineStr">
        <is>
          <t>2 Reels + 5 Stories</t>
        </is>
      </c>
      <c r="E2" s="20" t="n">
        <v>46174</v>
      </c>
      <c r="F2" s="7" t="n">
        <v>2500</v>
      </c>
      <c r="G2" s="7" t="inlineStr">
        <is>
          <t>Negotiating</t>
        </is>
      </c>
    </row>
    <row r="3">
      <c r="A3" s="8" t="inlineStr">
        <is>
          <t>GreenLeaf Co.</t>
        </is>
      </c>
      <c r="B3" s="8" t="inlineStr">
        <is>
          <t>Summer Collection Launch</t>
        </is>
      </c>
      <c r="C3" s="8" t="inlineStr">
        <is>
          <t>Instagram</t>
        </is>
      </c>
      <c r="D3" s="8" t="inlineStr">
        <is>
          <t>2 Reels + 5 Stories</t>
        </is>
      </c>
      <c r="E3" s="21" t="n">
        <v>46180</v>
      </c>
      <c r="F3" s="8" t="n">
        <v>1750</v>
      </c>
      <c r="G3" s="8" t="inlineStr">
        <is>
          <t>Confirmed</t>
        </is>
      </c>
    </row>
    <row r="4">
      <c r="A4" s="7" t="inlineStr">
        <is>
          <t>Nova Digital</t>
        </is>
      </c>
      <c r="B4" s="7" t="inlineStr"/>
      <c r="C4" s="7" t="inlineStr"/>
      <c r="D4" s="7" t="inlineStr"/>
      <c r="E4" s="20" t="n">
        <v>46186</v>
      </c>
      <c r="F4" s="7" t="n">
        <v>3250</v>
      </c>
      <c r="G4" s="7" t="inlineStr">
        <is>
          <t>Content Sent</t>
        </is>
      </c>
    </row>
    <row r="5">
      <c r="A5" s="8" t="inlineStr">
        <is>
          <t>Atlas Consulting</t>
        </is>
      </c>
      <c r="B5" s="8" t="inlineStr">
        <is>
          <t>Summer Collection Launch</t>
        </is>
      </c>
      <c r="C5" s="8" t="inlineStr">
        <is>
          <t>Instagram</t>
        </is>
      </c>
      <c r="D5" s="8" t="inlineStr">
        <is>
          <t>2 Reels + 5 Stories</t>
        </is>
      </c>
      <c r="E5" s="21" t="n">
        <v>46189</v>
      </c>
      <c r="F5" s="8" t="n">
        <v>2125</v>
      </c>
      <c r="G5" s="8" t="inlineStr">
        <is>
          <t>Approved</t>
        </is>
      </c>
    </row>
    <row r="6">
      <c r="A6" s="7" t="inlineStr">
        <is>
          <t>Pixel &amp; Co</t>
        </is>
      </c>
      <c r="B6" s="7" t="inlineStr">
        <is>
          <t>Summer Collection Launch</t>
        </is>
      </c>
      <c r="C6" s="7" t="inlineStr">
        <is>
          <t>Instagram</t>
        </is>
      </c>
      <c r="D6" s="7" t="inlineStr">
        <is>
          <t>2 Reels + 5 Stories</t>
        </is>
      </c>
      <c r="E6" s="20" t="n">
        <v>46195</v>
      </c>
      <c r="F6" s="7" t="n">
        <v>2875</v>
      </c>
      <c r="G6" s="7" t="inlineStr">
        <is>
          <t>Live</t>
        </is>
      </c>
    </row>
    <row r="7">
      <c r="A7" s="8" t="inlineStr">
        <is>
          <t>Blue Harbor Ltd</t>
        </is>
      </c>
      <c r="B7" s="8" t="inlineStr"/>
      <c r="C7" s="8" t="inlineStr"/>
      <c r="D7" s="8" t="inlineStr"/>
      <c r="E7" s="21" t="n">
        <v>46201</v>
      </c>
      <c r="F7" s="8" t="n">
        <v>1500</v>
      </c>
      <c r="G7" s="8" t="inlineStr">
        <is>
          <t>Paid</t>
        </is>
      </c>
    </row>
    <row r="8">
      <c r="A8" s="7" t="inlineStr">
        <is>
          <t>Sunrise Media</t>
        </is>
      </c>
      <c r="B8" s="7" t="inlineStr">
        <is>
          <t>Summer Collection Launch</t>
        </is>
      </c>
      <c r="C8" s="7" t="inlineStr">
        <is>
          <t>Instagram</t>
        </is>
      </c>
      <c r="D8" s="7" t="inlineStr">
        <is>
          <t>2 Reels + 5 Stories</t>
        </is>
      </c>
      <c r="E8" s="20" t="n">
        <v>46176</v>
      </c>
      <c r="F8" s="7" t="n">
        <v>3625</v>
      </c>
      <c r="G8" s="7" t="inlineStr">
        <is>
          <t>Cancelled</t>
        </is>
      </c>
    </row>
    <row r="9">
      <c r="A9" s="8" t="inlineStr">
        <is>
          <t>UrbanCraft</t>
        </is>
      </c>
      <c r="B9" s="8" t="inlineStr">
        <is>
          <t>Summer Collection Launch</t>
        </is>
      </c>
      <c r="C9" s="8" t="inlineStr">
        <is>
          <t>Instagram</t>
        </is>
      </c>
      <c r="D9" s="8" t="inlineStr">
        <is>
          <t>2 Reels + 5 Stories</t>
        </is>
      </c>
      <c r="E9" s="21" t="n">
        <v>46182</v>
      </c>
      <c r="F9" s="8" t="n">
        <v>2375</v>
      </c>
      <c r="G9" s="8" t="inlineStr">
        <is>
          <t>Negotiating</t>
        </is>
      </c>
    </row>
    <row r="10">
      <c r="A10" s="7" t="inlineStr">
        <is>
          <t>PrimeWorks</t>
        </is>
      </c>
      <c r="B10" s="7" t="inlineStr"/>
      <c r="C10" s="7" t="inlineStr"/>
      <c r="D10" s="7" t="inlineStr"/>
      <c r="E10" s="20" t="n">
        <v>46188</v>
      </c>
      <c r="F10" s="7" t="n">
        <v>3125</v>
      </c>
      <c r="G10" s="7" t="inlineStr">
        <is>
          <t>Confirmed</t>
        </is>
      </c>
    </row>
    <row r="11">
      <c r="A11" s="8" t="inlineStr">
        <is>
          <t>EchoLab</t>
        </is>
      </c>
      <c r="B11" s="8" t="inlineStr">
        <is>
          <t>Summer Collection Launch</t>
        </is>
      </c>
      <c r="C11" s="8" t="inlineStr">
        <is>
          <t>Instagram</t>
        </is>
      </c>
      <c r="D11" s="8" t="inlineStr">
        <is>
          <t>2 Reels + 5 Stories</t>
        </is>
      </c>
      <c r="E11" s="21" t="n">
        <v>46191</v>
      </c>
      <c r="F11" s="8" t="n">
        <v>2000</v>
      </c>
      <c r="G11" s="8" t="inlineStr">
        <is>
          <t>Content Sent</t>
        </is>
      </c>
    </row>
    <row r="12">
      <c r="A12" s="7" t="inlineStr">
        <is>
          <t>Vertex Group</t>
        </is>
      </c>
      <c r="B12" s="7" t="inlineStr">
        <is>
          <t>Summer Collection Launch</t>
        </is>
      </c>
      <c r="C12" s="7" t="inlineStr">
        <is>
          <t>Instagram</t>
        </is>
      </c>
      <c r="D12" s="7" t="inlineStr">
        <is>
          <t>2 Reels + 5 Stories</t>
        </is>
      </c>
      <c r="E12" s="20" t="n">
        <v>46197</v>
      </c>
      <c r="F12" s="7" t="n">
        <v>2750</v>
      </c>
      <c r="G12" s="7" t="inlineStr">
        <is>
          <t>Approved</t>
        </is>
      </c>
    </row>
    <row r="13">
      <c r="A13" s="8" t="inlineStr">
        <is>
          <t>ClearPath Inc</t>
        </is>
      </c>
      <c r="B13" s="8" t="inlineStr"/>
      <c r="C13" s="8" t="inlineStr"/>
      <c r="D13" s="8" t="inlineStr"/>
      <c r="E13" s="21" t="n">
        <v>46175</v>
      </c>
      <c r="F13" s="8" t="n">
        <v>1875</v>
      </c>
      <c r="G13" s="8" t="inlineStr">
        <is>
          <t>Live</t>
        </is>
      </c>
    </row>
  </sheetData>
  <dataValidations count="1">
    <dataValidation sqref="G2:G500" showDropDown="0" showInputMessage="0" showErrorMessage="0" allowBlank="1" type="list">
      <formula1>"Negotiating,Confirmed,Content Sent,Approved,Live,Paid,Cancelled"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>
      <c r="A1" s="6" t="inlineStr">
        <is>
          <t>Brand</t>
        </is>
      </c>
      <c r="B1" s="6" t="inlineStr">
        <is>
          <t>Contact</t>
        </is>
      </c>
      <c r="C1" s="6" t="inlineStr">
        <is>
          <t>Pitch Sent</t>
        </is>
      </c>
      <c r="D1" s="6" t="inlineStr">
        <is>
          <t>Follow-up</t>
        </is>
      </c>
      <c r="E1" s="6" t="inlineStr">
        <is>
          <t>Status</t>
        </is>
      </c>
    </row>
    <row r="2">
      <c r="A2" s="7" t="inlineStr">
        <is>
          <t>BrightWave Studio</t>
        </is>
      </c>
      <c r="B2" s="7" t="inlineStr">
        <is>
          <t>alex@mail.com</t>
        </is>
      </c>
      <c r="C2" s="20" t="n">
        <v>46174</v>
      </c>
      <c r="D2" s="20" t="n">
        <v>46174</v>
      </c>
      <c r="E2" s="7" t="inlineStr">
        <is>
          <t>Identified</t>
        </is>
      </c>
    </row>
    <row r="3">
      <c r="A3" s="8" t="inlineStr">
        <is>
          <t>GreenLeaf Co.</t>
        </is>
      </c>
      <c r="B3" s="8" t="inlineStr">
        <is>
          <t>sara@mail.com</t>
        </is>
      </c>
      <c r="C3" s="21" t="n">
        <v>46180</v>
      </c>
      <c r="D3" s="21" t="n">
        <v>46180</v>
      </c>
      <c r="E3" s="8" t="inlineStr">
        <is>
          <t>Pitch Sent</t>
        </is>
      </c>
    </row>
    <row r="4">
      <c r="A4" s="7" t="inlineStr">
        <is>
          <t>Nova Digital</t>
        </is>
      </c>
      <c r="B4" s="7" t="inlineStr">
        <is>
          <t>omar@mail.com</t>
        </is>
      </c>
      <c r="C4" s="20" t="n">
        <v>46186</v>
      </c>
      <c r="D4" s="20" t="n">
        <v>46186</v>
      </c>
      <c r="E4" s="7" t="inlineStr">
        <is>
          <t>Following Up</t>
        </is>
      </c>
    </row>
    <row r="5">
      <c r="A5" s="8" t="inlineStr">
        <is>
          <t>Atlas Consulting</t>
        </is>
      </c>
      <c r="B5" s="8" t="inlineStr">
        <is>
          <t>emma@mail.com</t>
        </is>
      </c>
      <c r="C5" s="21" t="n">
        <v>46189</v>
      </c>
      <c r="D5" s="21" t="n">
        <v>46189</v>
      </c>
      <c r="E5" s="8" t="inlineStr">
        <is>
          <t>In Talks</t>
        </is>
      </c>
    </row>
    <row r="6">
      <c r="A6" s="7" t="inlineStr">
        <is>
          <t>Pixel &amp; Co</t>
        </is>
      </c>
      <c r="B6" s="7" t="inlineStr">
        <is>
          <t>liam@mail.com</t>
        </is>
      </c>
      <c r="C6" s="20" t="n">
        <v>46195</v>
      </c>
      <c r="D6" s="20" t="n">
        <v>46195</v>
      </c>
      <c r="E6" s="7" t="inlineStr">
        <is>
          <t>Deal Agreed</t>
        </is>
      </c>
    </row>
    <row r="7">
      <c r="A7" s="8" t="inlineStr">
        <is>
          <t>Blue Harbor Ltd</t>
        </is>
      </c>
      <c r="B7" s="8" t="inlineStr">
        <is>
          <t>nadia@mail.com</t>
        </is>
      </c>
      <c r="C7" s="21" t="n">
        <v>46201</v>
      </c>
      <c r="D7" s="21" t="n">
        <v>46201</v>
      </c>
      <c r="E7" s="8" t="inlineStr">
        <is>
          <t>No Response</t>
        </is>
      </c>
    </row>
    <row r="8">
      <c r="A8" s="7" t="inlineStr">
        <is>
          <t>Sunrise Media</t>
        </is>
      </c>
      <c r="B8" s="7" t="inlineStr">
        <is>
          <t>tom@mail.com</t>
        </is>
      </c>
      <c r="C8" s="20" t="n">
        <v>46176</v>
      </c>
      <c r="D8" s="20" t="n">
        <v>46176</v>
      </c>
      <c r="E8" s="7" t="inlineStr">
        <is>
          <t>Declined</t>
        </is>
      </c>
    </row>
    <row r="9">
      <c r="A9" s="8" t="inlineStr">
        <is>
          <t>UrbanCraft</t>
        </is>
      </c>
      <c r="B9" s="8" t="inlineStr">
        <is>
          <t>julia@mail.com</t>
        </is>
      </c>
      <c r="C9" s="21" t="n">
        <v>46182</v>
      </c>
      <c r="D9" s="21" t="n">
        <v>46182</v>
      </c>
      <c r="E9" s="8" t="inlineStr">
        <is>
          <t>Identified</t>
        </is>
      </c>
    </row>
    <row r="10">
      <c r="A10" s="7" t="inlineStr">
        <is>
          <t>PrimeWorks</t>
        </is>
      </c>
      <c r="B10" s="7" t="inlineStr">
        <is>
          <t>karim@mail.com</t>
        </is>
      </c>
      <c r="C10" s="20" t="n">
        <v>46188</v>
      </c>
      <c r="D10" s="20" t="n">
        <v>46188</v>
      </c>
      <c r="E10" s="7" t="inlineStr">
        <is>
          <t>Pitch Sent</t>
        </is>
      </c>
    </row>
    <row r="11">
      <c r="A11" s="8" t="inlineStr">
        <is>
          <t>EchoLab</t>
        </is>
      </c>
      <c r="B11" s="8" t="inlineStr">
        <is>
          <t>anna@mail.com</t>
        </is>
      </c>
      <c r="C11" s="21" t="n">
        <v>46191</v>
      </c>
      <c r="D11" s="21" t="n">
        <v>46191</v>
      </c>
      <c r="E11" s="8" t="inlineStr">
        <is>
          <t>Following Up</t>
        </is>
      </c>
    </row>
    <row r="12">
      <c r="A12" s="7" t="inlineStr">
        <is>
          <t>Vertex Group</t>
        </is>
      </c>
      <c r="B12" s="7" t="inlineStr">
        <is>
          <t>david@mail.com</t>
        </is>
      </c>
      <c r="C12" s="20" t="n">
        <v>46197</v>
      </c>
      <c r="D12" s="20" t="n">
        <v>46197</v>
      </c>
      <c r="E12" s="7" t="inlineStr">
        <is>
          <t>In Talks</t>
        </is>
      </c>
    </row>
    <row r="13">
      <c r="A13" s="8" t="inlineStr">
        <is>
          <t>ClearPath Inc</t>
        </is>
      </c>
      <c r="B13" s="8" t="inlineStr">
        <is>
          <t>lea@mail.com</t>
        </is>
      </c>
      <c r="C13" s="21" t="n">
        <v>46175</v>
      </c>
      <c r="D13" s="21" t="n">
        <v>46175</v>
      </c>
      <c r="E13" s="8" t="inlineStr">
        <is>
          <t>Deal Agreed</t>
        </is>
      </c>
    </row>
  </sheetData>
  <dataValidations count="1">
    <dataValidation sqref="E2:E500" showDropDown="0" showInputMessage="0" showErrorMessage="0" allowBlank="1" type="list">
      <formula1>"Identified,Pitch Sent,Following Up,In Talks,Deal Agreed,No Response,Declined"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