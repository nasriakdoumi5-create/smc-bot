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Expenses" sheetId="3" state="visible" r:id="rId3"/>
    <sheet name="Ministry Budgets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1065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Church Budget &amp; Ministry Planner</t>
        </is>
      </c>
    </row>
    <row r="3">
      <c r="A3" s="2" t="inlineStr">
        <is>
          <t>Weekly Income $</t>
        </is>
      </c>
      <c r="B3" s="2" t="inlineStr">
        <is>
          <t>Monthly Income $</t>
        </is>
      </c>
      <c r="C3" s="2" t="inlineStr">
        <is>
          <t>Total Expenses $</t>
        </is>
      </c>
      <c r="D3" s="2" t="inlineStr">
        <is>
          <t>Surplus $</t>
        </is>
      </c>
    </row>
    <row r="4" ht="36" customHeight="1">
      <c r="A4" s="3">
        <f>SUM(Income!C:C)/52</f>
        <v/>
      </c>
      <c r="B4" s="3">
        <f>SUM(Income!C:C)/12</f>
        <v/>
      </c>
      <c r="C4" s="3">
        <f>SUM(Expenses!D:D)</f>
        <v/>
      </c>
      <c r="D4" s="3">
        <f>SUM(Income!C:C)-SUM(Expenses!D:D)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8" customWidth="1" min="4" max="4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Amount $</t>
        </is>
      </c>
      <c r="D1" s="4" t="inlineStr">
        <is>
          <t>Notes</t>
        </is>
      </c>
    </row>
    <row r="2" ht="22" customHeight="1">
      <c r="A2" s="5" t="inlineStr">
        <is>
          <t>2024-01-07</t>
        </is>
      </c>
      <c r="B2" s="5" t="inlineStr"/>
      <c r="C2" s="5" t="inlineStr">
        <is>
          <t>3200</t>
        </is>
      </c>
      <c r="D2" s="5" t="inlineStr">
        <is>
          <t>Sunday morning service</t>
        </is>
      </c>
    </row>
    <row r="3" ht="22" customHeight="1">
      <c r="A3" s="5" t="inlineStr">
        <is>
          <t>2024-01-07</t>
        </is>
      </c>
      <c r="B3" s="5" t="inlineStr"/>
      <c r="C3" s="5" t="inlineStr">
        <is>
          <t>3200</t>
        </is>
      </c>
      <c r="D3" s="5" t="inlineStr">
        <is>
          <t>Sunday morning service</t>
        </is>
      </c>
    </row>
    <row r="4" ht="22" customHeight="1">
      <c r="A4" s="5" t="inlineStr">
        <is>
          <t>2024-01-07</t>
        </is>
      </c>
      <c r="B4" s="5" t="inlineStr"/>
      <c r="C4" s="5" t="inlineStr">
        <is>
          <t>3200</t>
        </is>
      </c>
      <c r="D4" s="5" t="inlineStr">
        <is>
          <t>Sunday morning service</t>
        </is>
      </c>
    </row>
    <row r="5" ht="22" customHeight="1">
      <c r="A5" s="5" t="inlineStr">
        <is>
          <t>2024-01-07</t>
        </is>
      </c>
      <c r="B5" s="5" t="inlineStr"/>
      <c r="C5" s="5" t="inlineStr">
        <is>
          <t>3200</t>
        </is>
      </c>
      <c r="D5" s="5" t="inlineStr">
        <is>
          <t>Sunday morning service</t>
        </is>
      </c>
    </row>
    <row r="6" ht="22" customHeight="1">
      <c r="A6" s="5" t="inlineStr">
        <is>
          <t>2024-01-07</t>
        </is>
      </c>
      <c r="B6" s="5" t="inlineStr"/>
      <c r="C6" s="5" t="inlineStr">
        <is>
          <t>3200</t>
        </is>
      </c>
      <c r="D6" s="5" t="inlineStr">
        <is>
          <t>Sunday morning service</t>
        </is>
      </c>
    </row>
    <row r="7" ht="22" customHeight="1">
      <c r="A7" s="5" t="inlineStr">
        <is>
          <t>2024-01-07</t>
        </is>
      </c>
      <c r="B7" s="5" t="inlineStr"/>
      <c r="C7" s="5" t="inlineStr">
        <is>
          <t>3200</t>
        </is>
      </c>
      <c r="D7" s="5" t="inlineStr">
        <is>
          <t>Sunday morning service</t>
        </is>
      </c>
    </row>
    <row r="8" ht="22" customHeight="1">
      <c r="A8" s="5" t="inlineStr">
        <is>
          <t>2024-01-07</t>
        </is>
      </c>
      <c r="B8" s="5" t="inlineStr"/>
      <c r="C8" s="5" t="inlineStr">
        <is>
          <t>3200</t>
        </is>
      </c>
      <c r="D8" s="5" t="inlineStr">
        <is>
          <t>Sunday morning service</t>
        </is>
      </c>
    </row>
    <row r="9" ht="22" customHeight="1">
      <c r="A9" s="5" t="inlineStr">
        <is>
          <t>2024-01-07</t>
        </is>
      </c>
      <c r="B9" s="5" t="inlineStr"/>
      <c r="C9" s="5" t="inlineStr">
        <is>
          <t>3200</t>
        </is>
      </c>
      <c r="D9" s="5" t="inlineStr">
        <is>
          <t>Sunday morning service</t>
        </is>
      </c>
    </row>
    <row r="10" ht="22" customHeight="1">
      <c r="A10" s="5" t="inlineStr">
        <is>
          <t>2024-01-07</t>
        </is>
      </c>
      <c r="B10" s="5" t="inlineStr"/>
      <c r="C10" s="5" t="inlineStr">
        <is>
          <t>3200</t>
        </is>
      </c>
      <c r="D10" s="5" t="inlineStr">
        <is>
          <t>Sunday morning service</t>
        </is>
      </c>
    </row>
    <row r="11" ht="22" customHeight="1">
      <c r="A11" s="5" t="inlineStr">
        <is>
          <t>2024-01-07</t>
        </is>
      </c>
      <c r="B11" s="5" t="inlineStr"/>
      <c r="C11" s="5" t="inlineStr">
        <is>
          <t>3200</t>
        </is>
      </c>
      <c r="D11" s="5" t="inlineStr">
        <is>
          <t>Sunday morning service</t>
        </is>
      </c>
    </row>
    <row r="12" ht="22" customHeight="1">
      <c r="A12" s="5" t="inlineStr">
        <is>
          <t>2024-01-07</t>
        </is>
      </c>
      <c r="B12" s="5" t="inlineStr"/>
      <c r="C12" s="5" t="inlineStr">
        <is>
          <t>3200</t>
        </is>
      </c>
      <c r="D12" s="5" t="inlineStr">
        <is>
          <t>Sunday morning service</t>
        </is>
      </c>
    </row>
    <row r="13" ht="22" customHeight="1">
      <c r="A13" s="5" t="inlineStr">
        <is>
          <t>2024-01-07</t>
        </is>
      </c>
      <c r="B13" s="5" t="inlineStr"/>
      <c r="C13" s="5" t="inlineStr">
        <is>
          <t>3200</t>
        </is>
      </c>
      <c r="D13" s="5" t="inlineStr">
        <is>
          <t>Sunday morning service</t>
        </is>
      </c>
    </row>
    <row r="14" ht="22" customHeight="1">
      <c r="A14" s="5" t="inlineStr">
        <is>
          <t>2024-01-07</t>
        </is>
      </c>
      <c r="B14" s="5" t="inlineStr"/>
      <c r="C14" s="5" t="inlineStr">
        <is>
          <t>3200</t>
        </is>
      </c>
      <c r="D14" s="5" t="inlineStr">
        <is>
          <t>Sunday morning service</t>
        </is>
      </c>
    </row>
    <row r="15" ht="22" customHeight="1">
      <c r="A15" s="5" t="inlineStr">
        <is>
          <t>2024-01-07</t>
        </is>
      </c>
      <c r="B15" s="5" t="inlineStr"/>
      <c r="C15" s="5" t="inlineStr">
        <is>
          <t>3200</t>
        </is>
      </c>
      <c r="D15" s="5" t="inlineStr">
        <is>
          <t>Sunday morning service</t>
        </is>
      </c>
    </row>
    <row r="16" ht="22" customHeight="1">
      <c r="A16" s="5" t="inlineStr">
        <is>
          <t>2024-01-07</t>
        </is>
      </c>
      <c r="B16" s="5" t="inlineStr"/>
      <c r="C16" s="5" t="inlineStr">
        <is>
          <t>3200</t>
        </is>
      </c>
      <c r="D16" s="5" t="inlineStr">
        <is>
          <t>Sunday morning service</t>
        </is>
      </c>
    </row>
  </sheetData>
  <dataValidations count="1">
    <dataValidation sqref="B2 B3 B4 B5 B6 B7 B8 B9 B10 B11 B12 B13 B14 B15 B16" showDropDown="0" showInputMessage="0" showErrorMessage="0" allowBlank="1" type="list">
      <formula1>"Sunday Tithes","Special Offering","Building Fund","Missions","Event Revenue","Donation","Grant","Other"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8" customWidth="1" min="5" max="5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Ministry</t>
        </is>
      </c>
      <c r="D1" s="4" t="inlineStr">
        <is>
          <t>Amount $</t>
        </is>
      </c>
      <c r="E1" s="4" t="inlineStr">
        <is>
          <t>Approved By</t>
        </is>
      </c>
    </row>
    <row r="2" ht="22" customHeight="1">
      <c r="A2" s="5" t="inlineStr">
        <is>
          <t>2024-01-15</t>
        </is>
      </c>
      <c r="B2" s="5" t="inlineStr">
        <is>
          <t>Sound system maintenance</t>
        </is>
      </c>
      <c r="C2" s="5" t="inlineStr"/>
      <c r="D2" s="5" t="inlineStr">
        <is>
          <t>450</t>
        </is>
      </c>
      <c r="E2" s="5" t="inlineStr">
        <is>
          <t>Treasurer</t>
        </is>
      </c>
    </row>
    <row r="3" ht="22" customHeight="1">
      <c r="A3" s="5" t="inlineStr">
        <is>
          <t>2024-01-15</t>
        </is>
      </c>
      <c r="B3" s="5" t="inlineStr">
        <is>
          <t>Sound system maintenance</t>
        </is>
      </c>
      <c r="C3" s="5" t="inlineStr"/>
      <c r="D3" s="5" t="inlineStr">
        <is>
          <t>450</t>
        </is>
      </c>
      <c r="E3" s="5" t="inlineStr">
        <is>
          <t>Treasurer</t>
        </is>
      </c>
    </row>
    <row r="4" ht="22" customHeight="1">
      <c r="A4" s="5" t="inlineStr">
        <is>
          <t>2024-01-15</t>
        </is>
      </c>
      <c r="B4" s="5" t="inlineStr">
        <is>
          <t>Sound system maintenance</t>
        </is>
      </c>
      <c r="C4" s="5" t="inlineStr"/>
      <c r="D4" s="5" t="inlineStr">
        <is>
          <t>450</t>
        </is>
      </c>
      <c r="E4" s="5" t="inlineStr">
        <is>
          <t>Treasurer</t>
        </is>
      </c>
    </row>
    <row r="5" ht="22" customHeight="1">
      <c r="A5" s="5" t="inlineStr">
        <is>
          <t>2024-01-15</t>
        </is>
      </c>
      <c r="B5" s="5" t="inlineStr">
        <is>
          <t>Sound system maintenance</t>
        </is>
      </c>
      <c r="C5" s="5" t="inlineStr"/>
      <c r="D5" s="5" t="inlineStr">
        <is>
          <t>450</t>
        </is>
      </c>
      <c r="E5" s="5" t="inlineStr">
        <is>
          <t>Treasurer</t>
        </is>
      </c>
    </row>
    <row r="6" ht="22" customHeight="1">
      <c r="A6" s="5" t="inlineStr">
        <is>
          <t>2024-01-15</t>
        </is>
      </c>
      <c r="B6" s="5" t="inlineStr">
        <is>
          <t>Sound system maintenance</t>
        </is>
      </c>
      <c r="C6" s="5" t="inlineStr"/>
      <c r="D6" s="5" t="inlineStr">
        <is>
          <t>450</t>
        </is>
      </c>
      <c r="E6" s="5" t="inlineStr">
        <is>
          <t>Treasurer</t>
        </is>
      </c>
    </row>
    <row r="7" ht="22" customHeight="1">
      <c r="A7" s="5" t="inlineStr">
        <is>
          <t>2024-01-15</t>
        </is>
      </c>
      <c r="B7" s="5" t="inlineStr">
        <is>
          <t>Sound system maintenance</t>
        </is>
      </c>
      <c r="C7" s="5" t="inlineStr"/>
      <c r="D7" s="5" t="inlineStr">
        <is>
          <t>450</t>
        </is>
      </c>
      <c r="E7" s="5" t="inlineStr">
        <is>
          <t>Treasurer</t>
        </is>
      </c>
    </row>
    <row r="8" ht="22" customHeight="1">
      <c r="A8" s="5" t="inlineStr">
        <is>
          <t>2024-01-15</t>
        </is>
      </c>
      <c r="B8" s="5" t="inlineStr">
        <is>
          <t>Sound system maintenance</t>
        </is>
      </c>
      <c r="C8" s="5" t="inlineStr"/>
      <c r="D8" s="5" t="inlineStr">
        <is>
          <t>450</t>
        </is>
      </c>
      <c r="E8" s="5" t="inlineStr">
        <is>
          <t>Treasurer</t>
        </is>
      </c>
    </row>
    <row r="9" ht="22" customHeight="1">
      <c r="A9" s="5" t="inlineStr">
        <is>
          <t>2024-01-15</t>
        </is>
      </c>
      <c r="B9" s="5" t="inlineStr">
        <is>
          <t>Sound system maintenance</t>
        </is>
      </c>
      <c r="C9" s="5" t="inlineStr"/>
      <c r="D9" s="5" t="inlineStr">
        <is>
          <t>450</t>
        </is>
      </c>
      <c r="E9" s="5" t="inlineStr">
        <is>
          <t>Treasurer</t>
        </is>
      </c>
    </row>
    <row r="10" ht="22" customHeight="1">
      <c r="A10" s="5" t="inlineStr">
        <is>
          <t>2024-01-15</t>
        </is>
      </c>
      <c r="B10" s="5" t="inlineStr">
        <is>
          <t>Sound system maintenance</t>
        </is>
      </c>
      <c r="C10" s="5" t="inlineStr"/>
      <c r="D10" s="5" t="inlineStr">
        <is>
          <t>450</t>
        </is>
      </c>
      <c r="E10" s="5" t="inlineStr">
        <is>
          <t>Treasurer</t>
        </is>
      </c>
    </row>
    <row r="11" ht="22" customHeight="1">
      <c r="A11" s="5" t="inlineStr">
        <is>
          <t>2024-01-15</t>
        </is>
      </c>
      <c r="B11" s="5" t="inlineStr">
        <is>
          <t>Sound system maintenance</t>
        </is>
      </c>
      <c r="C11" s="5" t="inlineStr"/>
      <c r="D11" s="5" t="inlineStr">
        <is>
          <t>450</t>
        </is>
      </c>
      <c r="E11" s="5" t="inlineStr">
        <is>
          <t>Treasurer</t>
        </is>
      </c>
    </row>
    <row r="12" ht="22" customHeight="1">
      <c r="A12" s="5" t="inlineStr">
        <is>
          <t>2024-01-15</t>
        </is>
      </c>
      <c r="B12" s="5" t="inlineStr">
        <is>
          <t>Sound system maintenance</t>
        </is>
      </c>
      <c r="C12" s="5" t="inlineStr"/>
      <c r="D12" s="5" t="inlineStr">
        <is>
          <t>450</t>
        </is>
      </c>
      <c r="E12" s="5" t="inlineStr">
        <is>
          <t>Treasurer</t>
        </is>
      </c>
    </row>
    <row r="13" ht="22" customHeight="1">
      <c r="A13" s="5" t="inlineStr">
        <is>
          <t>2024-01-15</t>
        </is>
      </c>
      <c r="B13" s="5" t="inlineStr">
        <is>
          <t>Sound system maintenance</t>
        </is>
      </c>
      <c r="C13" s="5" t="inlineStr"/>
      <c r="D13" s="5" t="inlineStr">
        <is>
          <t>450</t>
        </is>
      </c>
      <c r="E13" s="5" t="inlineStr">
        <is>
          <t>Treasurer</t>
        </is>
      </c>
    </row>
    <row r="14" ht="22" customHeight="1">
      <c r="A14" s="5" t="inlineStr">
        <is>
          <t>2024-01-15</t>
        </is>
      </c>
      <c r="B14" s="5" t="inlineStr">
        <is>
          <t>Sound system maintenance</t>
        </is>
      </c>
      <c r="C14" s="5" t="inlineStr"/>
      <c r="D14" s="5" t="inlineStr">
        <is>
          <t>450</t>
        </is>
      </c>
      <c r="E14" s="5" t="inlineStr">
        <is>
          <t>Treasurer</t>
        </is>
      </c>
    </row>
    <row r="15" ht="22" customHeight="1">
      <c r="A15" s="5" t="inlineStr">
        <is>
          <t>2024-01-15</t>
        </is>
      </c>
      <c r="B15" s="5" t="inlineStr">
        <is>
          <t>Sound system maintenance</t>
        </is>
      </c>
      <c r="C15" s="5" t="inlineStr"/>
      <c r="D15" s="5" t="inlineStr">
        <is>
          <t>450</t>
        </is>
      </c>
      <c r="E15" s="5" t="inlineStr">
        <is>
          <t>Treasurer</t>
        </is>
      </c>
    </row>
    <row r="16" ht="22" customHeight="1">
      <c r="A16" s="5" t="inlineStr">
        <is>
          <t>2024-01-15</t>
        </is>
      </c>
      <c r="B16" s="5" t="inlineStr">
        <is>
          <t>Sound system maintenance</t>
        </is>
      </c>
      <c r="C16" s="5" t="inlineStr"/>
      <c r="D16" s="5" t="inlineStr">
        <is>
          <t>450</t>
        </is>
      </c>
      <c r="E16" s="5" t="inlineStr">
        <is>
          <t>Treasurer</t>
        </is>
      </c>
    </row>
    <row r="17" ht="22" customHeight="1">
      <c r="A17" s="5" t="inlineStr">
        <is>
          <t>2024-01-15</t>
        </is>
      </c>
      <c r="B17" s="5" t="inlineStr">
        <is>
          <t>Sound system maintenance</t>
        </is>
      </c>
      <c r="C17" s="5" t="inlineStr"/>
      <c r="D17" s="5" t="inlineStr">
        <is>
          <t>450</t>
        </is>
      </c>
      <c r="E17" s="5" t="inlineStr">
        <is>
          <t>Treasurer</t>
        </is>
      </c>
    </row>
    <row r="18" ht="22" customHeight="1">
      <c r="A18" s="5" t="inlineStr">
        <is>
          <t>2024-01-15</t>
        </is>
      </c>
      <c r="B18" s="5" t="inlineStr">
        <is>
          <t>Sound system maintenance</t>
        </is>
      </c>
      <c r="C18" s="5" t="inlineStr"/>
      <c r="D18" s="5" t="inlineStr">
        <is>
          <t>450</t>
        </is>
      </c>
      <c r="E18" s="5" t="inlineStr">
        <is>
          <t>Treasurer</t>
        </is>
      </c>
    </row>
    <row r="19" ht="22" customHeight="1">
      <c r="A19" s="5" t="inlineStr">
        <is>
          <t>2024-01-15</t>
        </is>
      </c>
      <c r="B19" s="5" t="inlineStr">
        <is>
          <t>Sound system maintenance</t>
        </is>
      </c>
      <c r="C19" s="5" t="inlineStr"/>
      <c r="D19" s="5" t="inlineStr">
        <is>
          <t>450</t>
        </is>
      </c>
      <c r="E19" s="5" t="inlineStr">
        <is>
          <t>Treasurer</t>
        </is>
      </c>
    </row>
    <row r="20" ht="22" customHeight="1">
      <c r="A20" s="5" t="inlineStr">
        <is>
          <t>2024-01-15</t>
        </is>
      </c>
      <c r="B20" s="5" t="inlineStr">
        <is>
          <t>Sound system maintenance</t>
        </is>
      </c>
      <c r="C20" s="5" t="inlineStr"/>
      <c r="D20" s="5" t="inlineStr">
        <is>
          <t>450</t>
        </is>
      </c>
      <c r="E20" s="5" t="inlineStr">
        <is>
          <t>Treasurer</t>
        </is>
      </c>
    </row>
    <row r="21" ht="22" customHeight="1">
      <c r="A21" s="5" t="inlineStr">
        <is>
          <t>2024-01-15</t>
        </is>
      </c>
      <c r="B21" s="5" t="inlineStr">
        <is>
          <t>Sound system maintenance</t>
        </is>
      </c>
      <c r="C21" s="5" t="inlineStr"/>
      <c r="D21" s="5" t="inlineStr">
        <is>
          <t>450</t>
        </is>
      </c>
      <c r="E21" s="5" t="inlineStr">
        <is>
          <t>Treasurer</t>
        </is>
      </c>
    </row>
  </sheetData>
  <dataValidations count="1">
    <dataValidation sqref="C2 C3 C4 C5 C6 C7 C8 C9 C10 C11 C12 C13 C14 C15 C16 C17 C18 C19 C20 C21" showDropDown="0" showInputMessage="0" showErrorMessage="0" allowBlank="1" type="list">
      <formula1>"General Operations","Worship","Youth","Children","Missions","Building","Outreach","Admin","Staff"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2" customWidth="1" min="5" max="5"/>
  </cols>
  <sheetData>
    <row r="1">
      <c r="A1" s="4" t="inlineStr">
        <is>
          <t>Ministry</t>
        </is>
      </c>
      <c r="B1" s="4" t="inlineStr">
        <is>
          <t>Annual Budget $</t>
        </is>
      </c>
      <c r="C1" s="4" t="inlineStr">
        <is>
          <t>Spent YTD $</t>
        </is>
      </c>
      <c r="D1" s="4" t="inlineStr">
        <is>
          <t>Remaining $</t>
        </is>
      </c>
      <c r="E1" s="4" t="inlineStr">
        <is>
          <t>Used %</t>
        </is>
      </c>
    </row>
    <row r="2" ht="22" customHeight="1">
      <c r="A2" s="5" t="inlineStr">
        <is>
          <t>Youth Ministry</t>
        </is>
      </c>
      <c r="B2" s="5" t="inlineStr">
        <is>
          <t>8000</t>
        </is>
      </c>
      <c r="C2" s="5" t="inlineStr">
        <is>
          <t>3200</t>
        </is>
      </c>
      <c r="D2" s="6">
        <f>C2-D2</f>
        <v/>
      </c>
      <c r="E2" s="6">
        <f>TEXT(D2/C2,"0%")</f>
        <v/>
      </c>
    </row>
    <row r="3" ht="22" customHeight="1">
      <c r="A3" s="5" t="inlineStr">
        <is>
          <t>Youth Ministry</t>
        </is>
      </c>
      <c r="B3" s="5" t="inlineStr">
        <is>
          <t>8000</t>
        </is>
      </c>
      <c r="C3" s="5" t="inlineStr">
        <is>
          <t>3200</t>
        </is>
      </c>
      <c r="D3" s="6">
        <f>C3-D3</f>
        <v/>
      </c>
      <c r="E3" s="6">
        <f>TEXT(D3/C3,"0%")</f>
        <v/>
      </c>
    </row>
    <row r="4" ht="22" customHeight="1">
      <c r="A4" s="5" t="inlineStr">
        <is>
          <t>Youth Ministry</t>
        </is>
      </c>
      <c r="B4" s="5" t="inlineStr">
        <is>
          <t>8000</t>
        </is>
      </c>
      <c r="C4" s="5" t="inlineStr">
        <is>
          <t>3200</t>
        </is>
      </c>
      <c r="D4" s="6">
        <f>C4-D4</f>
        <v/>
      </c>
      <c r="E4" s="6">
        <f>TEXT(D4/C4,"0%")</f>
        <v/>
      </c>
    </row>
    <row r="5" ht="22" customHeight="1">
      <c r="A5" s="5" t="inlineStr">
        <is>
          <t>Youth Ministry</t>
        </is>
      </c>
      <c r="B5" s="5" t="inlineStr">
        <is>
          <t>8000</t>
        </is>
      </c>
      <c r="C5" s="5" t="inlineStr">
        <is>
          <t>3200</t>
        </is>
      </c>
      <c r="D5" s="6">
        <f>C5-D5</f>
        <v/>
      </c>
      <c r="E5" s="6">
        <f>TEXT(D5/C5,"0%")</f>
        <v/>
      </c>
    </row>
    <row r="6" ht="22" customHeight="1">
      <c r="A6" s="5" t="inlineStr">
        <is>
          <t>Youth Ministry</t>
        </is>
      </c>
      <c r="B6" s="5" t="inlineStr">
        <is>
          <t>8000</t>
        </is>
      </c>
      <c r="C6" s="5" t="inlineStr">
        <is>
          <t>3200</t>
        </is>
      </c>
      <c r="D6" s="6">
        <f>C6-D6</f>
        <v/>
      </c>
      <c r="E6" s="6">
        <f>TEXT(D6/C6,"0%")</f>
        <v/>
      </c>
    </row>
    <row r="7" ht="22" customHeight="1">
      <c r="A7" s="5" t="inlineStr">
        <is>
          <t>Youth Ministry</t>
        </is>
      </c>
      <c r="B7" s="5" t="inlineStr">
        <is>
          <t>8000</t>
        </is>
      </c>
      <c r="C7" s="5" t="inlineStr">
        <is>
          <t>3200</t>
        </is>
      </c>
      <c r="D7" s="6">
        <f>C7-D7</f>
        <v/>
      </c>
      <c r="E7" s="6">
        <f>TEXT(D7/C7,"0%")</f>
        <v/>
      </c>
    </row>
    <row r="8" ht="22" customHeight="1">
      <c r="A8" s="5" t="inlineStr">
        <is>
          <t>Youth Ministry</t>
        </is>
      </c>
      <c r="B8" s="5" t="inlineStr">
        <is>
          <t>8000</t>
        </is>
      </c>
      <c r="C8" s="5" t="inlineStr">
        <is>
          <t>3200</t>
        </is>
      </c>
      <c r="D8" s="6">
        <f>C8-D8</f>
        <v/>
      </c>
      <c r="E8" s="6">
        <f>TEXT(D8/C8,"0%")</f>
        <v/>
      </c>
    </row>
    <row r="9" ht="22" customHeight="1">
      <c r="A9" s="5" t="inlineStr">
        <is>
          <t>Youth Ministry</t>
        </is>
      </c>
      <c r="B9" s="5" t="inlineStr">
        <is>
          <t>8000</t>
        </is>
      </c>
      <c r="C9" s="5" t="inlineStr">
        <is>
          <t>3200</t>
        </is>
      </c>
      <c r="D9" s="6">
        <f>C9-D9</f>
        <v/>
      </c>
      <c r="E9" s="6">
        <f>TEXT(D9/C9,"0%")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Annual Financial Summary</t>
        </is>
      </c>
    </row>
    <row r="4">
      <c r="A4" s="9" t="inlineStr">
        <is>
          <t>Total Income</t>
        </is>
      </c>
      <c r="B4" s="6">
        <f>SUM(Income!C:C)</f>
        <v/>
      </c>
    </row>
    <row r="5">
      <c r="A5" s="9" t="inlineStr">
        <is>
          <t>Total Expenses</t>
        </is>
      </c>
      <c r="B5" s="6">
        <f>SUM(Expenses!D:D)</f>
        <v/>
      </c>
    </row>
    <row r="6">
      <c r="A6" s="9" t="inlineStr">
        <is>
          <t>Net Surplus</t>
        </is>
      </c>
      <c r="B6" s="6">
        <f>SUM(Income!C:C)-SUM(Expenses!D:D)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2026-06-16T07:19:38Z</dcterms:created>
  <dcterms:modified xsi:type="dcterms:W3CDTF">2026-06-16T07:19:38Z</dcterms:modified>
</cp:coreProperties>
</file>