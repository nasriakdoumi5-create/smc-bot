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come" sheetId="2" state="visible" r:id="rId2"/>
    <sheet name="Dashboard" sheetId="3" state="visible" r:id="rId3"/>
    <sheet name="Expenses" sheetId="4" state="visible" r:id="rId4"/>
    <sheet name="Ministry Budgets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7C3AED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2E1065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FFF7F0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⛪  CHURCH BUDGET &amp; MINISTRY PLANNER</t>
        </is>
      </c>
    </row>
    <row r="3"/>
    <row r="4">
      <c r="B4" s="2" t="inlineStr">
        <is>
          <t>Tithes, Expenses &amp; Ministry Budget Google Sheets</t>
        </is>
      </c>
    </row>
    <row r="6">
      <c r="B6" s="3" t="inlineStr">
        <is>
          <t>STEP 1 — Fill in “Income”</t>
        </is>
      </c>
    </row>
    <row r="7" ht="28" customHeight="1">
      <c r="B7" s="4" t="inlineStr">
        <is>
          <t>All church income: tithes, offerings, donations, events.</t>
        </is>
      </c>
    </row>
    <row r="9">
      <c r="B9" s="3" t="inlineStr">
        <is>
          <t>STEP 2 — Fill in “Expenses”</t>
        </is>
      </c>
    </row>
    <row r="10" ht="28" customHeight="1">
      <c r="B10" s="4" t="inlineStr">
        <is>
          <t>All church expenses by ministry and category.</t>
        </is>
      </c>
    </row>
    <row r="12">
      <c r="B12" s="3" t="inlineStr">
        <is>
          <t>STEP 3 — Fill in “Ministry Budgets”</t>
        </is>
      </c>
    </row>
    <row r="13" ht="28" customHeight="1">
      <c r="B13" s="4" t="inlineStr">
        <is>
          <t>Annual budget allocation by ministry department.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Amount $</t>
        </is>
      </c>
      <c r="D1" s="6" t="inlineStr">
        <is>
          <t>Notes</t>
        </is>
      </c>
    </row>
    <row r="2">
      <c r="A2" s="7" t="n">
        <v>46174</v>
      </c>
      <c r="B2" s="8" t="inlineStr">
        <is>
          <t>Sunday Tithes</t>
        </is>
      </c>
      <c r="C2" s="9" t="n">
        <v>3200</v>
      </c>
      <c r="D2" s="8" t="inlineStr"/>
    </row>
    <row r="3">
      <c r="A3" s="10" t="n">
        <v>46180</v>
      </c>
      <c r="B3" s="11" t="inlineStr">
        <is>
          <t>Special Offering</t>
        </is>
      </c>
      <c r="C3" s="12" t="n">
        <v>2240</v>
      </c>
      <c r="D3" s="11" t="inlineStr">
        <is>
          <t>Paid</t>
        </is>
      </c>
    </row>
    <row r="4">
      <c r="A4" s="7" t="n">
        <v>46186</v>
      </c>
      <c r="B4" s="8" t="inlineStr">
        <is>
          <t>Building Fund</t>
        </is>
      </c>
      <c r="C4" s="9" t="n">
        <v>4160</v>
      </c>
      <c r="D4" s="8" t="inlineStr">
        <is>
          <t>Urgent</t>
        </is>
      </c>
    </row>
    <row r="5">
      <c r="A5" s="10" t="n">
        <v>46189</v>
      </c>
      <c r="B5" s="11" t="inlineStr">
        <is>
          <t>Missions</t>
        </is>
      </c>
      <c r="C5" s="12" t="n">
        <v>2720</v>
      </c>
      <c r="D5" s="11" t="inlineStr">
        <is>
          <t>Follow up Friday</t>
        </is>
      </c>
    </row>
    <row r="6">
      <c r="A6" s="7" t="n">
        <v>46195</v>
      </c>
      <c r="B6" s="8" t="inlineStr">
        <is>
          <t>Event Revenue</t>
        </is>
      </c>
      <c r="C6" s="9" t="n">
        <v>3680</v>
      </c>
      <c r="D6" s="8" t="inlineStr"/>
    </row>
    <row r="7">
      <c r="A7" s="10" t="n">
        <v>46201</v>
      </c>
      <c r="B7" s="11" t="inlineStr">
        <is>
          <t>Donation</t>
        </is>
      </c>
      <c r="C7" s="12" t="n">
        <v>1920</v>
      </c>
      <c r="D7" s="11" t="inlineStr">
        <is>
          <t>Monthly</t>
        </is>
      </c>
    </row>
    <row r="8">
      <c r="A8" s="7" t="n">
        <v>46176</v>
      </c>
      <c r="B8" s="8" t="inlineStr">
        <is>
          <t>Grant</t>
        </is>
      </c>
      <c r="C8" s="9" t="n">
        <v>4640</v>
      </c>
      <c r="D8" s="8" t="inlineStr">
        <is>
          <t>Confirmed</t>
        </is>
      </c>
    </row>
    <row r="9">
      <c r="A9" s="10" t="n">
        <v>46182</v>
      </c>
      <c r="B9" s="11" t="inlineStr">
        <is>
          <t>Other</t>
        </is>
      </c>
      <c r="C9" s="12" t="n">
        <v>3040</v>
      </c>
      <c r="D9" s="11" t="inlineStr"/>
    </row>
    <row r="10">
      <c r="A10" s="7" t="n">
        <v>46188</v>
      </c>
      <c r="B10" s="8" t="inlineStr">
        <is>
          <t>Sunday Tithes</t>
        </is>
      </c>
      <c r="C10" s="9" t="n">
        <v>4000</v>
      </c>
      <c r="D10" s="8" t="inlineStr">
        <is>
          <t>Waiting reply</t>
        </is>
      </c>
    </row>
    <row r="11">
      <c r="A11" s="10" t="n">
        <v>46191</v>
      </c>
      <c r="B11" s="11" t="inlineStr">
        <is>
          <t>Special Offering</t>
        </is>
      </c>
      <c r="C11" s="12" t="n">
        <v>2560</v>
      </c>
      <c r="D11" s="11" t="inlineStr">
        <is>
          <t>Done early</t>
        </is>
      </c>
    </row>
    <row r="12">
      <c r="A12" s="7" t="n">
        <v>46197</v>
      </c>
      <c r="B12" s="8" t="inlineStr">
        <is>
          <t>Building Fund</t>
        </is>
      </c>
      <c r="C12" s="9" t="n">
        <v>3520</v>
      </c>
      <c r="D12" s="8" t="inlineStr"/>
    </row>
    <row r="13">
      <c r="A13" s="10" t="n">
        <v>46175</v>
      </c>
      <c r="B13" s="11" t="inlineStr">
        <is>
          <t>Missions</t>
        </is>
      </c>
      <c r="C13" s="12" t="n">
        <v>2400</v>
      </c>
      <c r="D13" s="11" t="inlineStr">
        <is>
          <t>Recheck</t>
        </is>
      </c>
    </row>
  </sheetData>
  <dataValidations count="1">
    <dataValidation sqref="B2:B500" showDropDown="0" showInputMessage="0" showErrorMessage="0" allowBlank="1" type="list">
      <formula1>"Sunday Tithes,Special Offering,Building Fund,Missions,Event Revenue,Donation,Grant,Other"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CHURCH BUDGET &amp; MINISTRY PLANNER — DASHBOARD</t>
        </is>
      </c>
    </row>
    <row r="4">
      <c r="B4" s="14" t="inlineStr">
        <is>
          <t>WEEKLY INCOME $</t>
        </is>
      </c>
      <c r="D4" s="15" t="inlineStr">
        <is>
          <t>MONTHLY INCOME $</t>
        </is>
      </c>
      <c r="F4" s="16" t="inlineStr">
        <is>
          <t>TOTAL EXPENSES $</t>
        </is>
      </c>
      <c r="H4" s="17" t="inlineStr">
        <is>
          <t>SURPLUS $</t>
        </is>
      </c>
    </row>
    <row r="5" ht="26" customHeight="1">
      <c r="B5" s="18">
        <f>SUM(Income!C:C)/52</f>
        <v/>
      </c>
      <c r="D5" s="19">
        <f>SUM(Income!C:C)/12</f>
        <v/>
      </c>
      <c r="F5" s="20">
        <f>SUM(Expenses!D:D)</f>
        <v/>
      </c>
      <c r="H5" s="21">
        <f>SUM(Income!C:C)-SUM(Expenses!D:D)</f>
        <v/>
      </c>
    </row>
    <row r="8">
      <c r="B8" s="22" t="inlineStr">
        <is>
          <t>WHAT'S INSIDE</t>
        </is>
      </c>
    </row>
    <row r="9">
      <c r="B9" s="23" t="inlineStr">
        <is>
          <t>💰  Income — All church income: tithes, offerings, donations, events.</t>
        </is>
      </c>
    </row>
    <row r="10">
      <c r="B10" s="23" t="inlineStr">
        <is>
          <t>💸  Expenses — All church expenses by ministry and category.</t>
        </is>
      </c>
    </row>
    <row r="11">
      <c r="B11" s="23" t="inlineStr">
        <is>
          <t>📋  Ministry Budgets — Annual budget allocation by ministry department.</t>
        </is>
      </c>
    </row>
    <row r="12">
      <c r="B12" s="23" t="inlineStr">
        <is>
          <t>📊  Annual Report — Annual financial report for board and congregation.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8" customWidth="1" min="5" max="5"/>
  </cols>
  <sheetData>
    <row r="1">
      <c r="A1" s="6" t="inlineStr">
        <is>
          <t>Date</t>
        </is>
      </c>
      <c r="B1" s="6" t="inlineStr">
        <is>
          <t>Description</t>
        </is>
      </c>
      <c r="C1" s="6" t="inlineStr">
        <is>
          <t>Ministry</t>
        </is>
      </c>
      <c r="D1" s="6" t="inlineStr">
        <is>
          <t>Amount $</t>
        </is>
      </c>
      <c r="E1" s="6" t="inlineStr">
        <is>
          <t>Approved By</t>
        </is>
      </c>
    </row>
    <row r="2">
      <c r="A2" s="7" t="n">
        <v>46174</v>
      </c>
      <c r="B2" s="8" t="inlineStr">
        <is>
          <t>Sound system maintenance</t>
        </is>
      </c>
      <c r="C2" s="8" t="inlineStr">
        <is>
          <t>General Operations</t>
        </is>
      </c>
      <c r="D2" s="9" t="n">
        <v>450</v>
      </c>
      <c r="E2" s="8" t="inlineStr">
        <is>
          <t>Treasurer</t>
        </is>
      </c>
    </row>
    <row r="3">
      <c r="A3" s="10" t="n">
        <v>46180</v>
      </c>
      <c r="B3" s="11" t="inlineStr">
        <is>
          <t>Sound system maintenance</t>
        </is>
      </c>
      <c r="C3" s="11" t="inlineStr">
        <is>
          <t>Worship</t>
        </is>
      </c>
      <c r="D3" s="12" t="n">
        <v>315</v>
      </c>
      <c r="E3" s="11" t="inlineStr">
        <is>
          <t>Treasurer</t>
        </is>
      </c>
    </row>
    <row r="4">
      <c r="A4" s="7" t="n">
        <v>46186</v>
      </c>
      <c r="B4" s="8" t="inlineStr"/>
      <c r="C4" s="8" t="inlineStr">
        <is>
          <t>Youth</t>
        </is>
      </c>
      <c r="D4" s="9" t="n">
        <v>585</v>
      </c>
      <c r="E4" s="8" t="inlineStr"/>
    </row>
    <row r="5">
      <c r="A5" s="10" t="n">
        <v>46189</v>
      </c>
      <c r="B5" s="11" t="inlineStr">
        <is>
          <t>Sound system maintenance</t>
        </is>
      </c>
      <c r="C5" s="11" t="inlineStr">
        <is>
          <t>Children</t>
        </is>
      </c>
      <c r="D5" s="12" t="n">
        <v>382</v>
      </c>
      <c r="E5" s="11" t="inlineStr">
        <is>
          <t>Treasurer</t>
        </is>
      </c>
    </row>
    <row r="6">
      <c r="A6" s="7" t="n">
        <v>46195</v>
      </c>
      <c r="B6" s="8" t="inlineStr">
        <is>
          <t>Sound system maintenance</t>
        </is>
      </c>
      <c r="C6" s="8" t="inlineStr">
        <is>
          <t>Missions</t>
        </is>
      </c>
      <c r="D6" s="9" t="n">
        <v>518</v>
      </c>
      <c r="E6" s="8" t="inlineStr">
        <is>
          <t>Treasurer</t>
        </is>
      </c>
    </row>
    <row r="7">
      <c r="A7" s="10" t="n">
        <v>46201</v>
      </c>
      <c r="B7" s="11" t="inlineStr"/>
      <c r="C7" s="11" t="inlineStr">
        <is>
          <t>Building</t>
        </is>
      </c>
      <c r="D7" s="12" t="n">
        <v>270</v>
      </c>
      <c r="E7" s="11" t="inlineStr"/>
    </row>
    <row r="8">
      <c r="A8" s="7" t="n">
        <v>46176</v>
      </c>
      <c r="B8" s="8" t="inlineStr">
        <is>
          <t>Sound system maintenance</t>
        </is>
      </c>
      <c r="C8" s="8" t="inlineStr">
        <is>
          <t>Outreach</t>
        </is>
      </c>
      <c r="D8" s="9" t="n">
        <v>652</v>
      </c>
      <c r="E8" s="8" t="inlineStr">
        <is>
          <t>Treasurer</t>
        </is>
      </c>
    </row>
    <row r="9">
      <c r="A9" s="10" t="n">
        <v>46182</v>
      </c>
      <c r="B9" s="11" t="inlineStr">
        <is>
          <t>Sound system maintenance</t>
        </is>
      </c>
      <c r="C9" s="11" t="inlineStr">
        <is>
          <t>Admin</t>
        </is>
      </c>
      <c r="D9" s="12" t="n">
        <v>428</v>
      </c>
      <c r="E9" s="11" t="inlineStr">
        <is>
          <t>Treasurer</t>
        </is>
      </c>
    </row>
    <row r="10">
      <c r="A10" s="7" t="n">
        <v>46188</v>
      </c>
      <c r="B10" s="8" t="inlineStr"/>
      <c r="C10" s="8" t="inlineStr">
        <is>
          <t>Staff</t>
        </is>
      </c>
      <c r="D10" s="9" t="n">
        <v>562</v>
      </c>
      <c r="E10" s="8" t="inlineStr"/>
    </row>
    <row r="11">
      <c r="A11" s="10" t="n">
        <v>46191</v>
      </c>
      <c r="B11" s="11" t="inlineStr">
        <is>
          <t>Sound system maintenance</t>
        </is>
      </c>
      <c r="C11" s="11" t="inlineStr">
        <is>
          <t>General Operations</t>
        </is>
      </c>
      <c r="D11" s="12" t="n">
        <v>360</v>
      </c>
      <c r="E11" s="11" t="inlineStr">
        <is>
          <t>Treasurer</t>
        </is>
      </c>
    </row>
    <row r="12">
      <c r="A12" s="7" t="n">
        <v>46197</v>
      </c>
      <c r="B12" s="8" t="inlineStr">
        <is>
          <t>Sound system maintenance</t>
        </is>
      </c>
      <c r="C12" s="8" t="inlineStr">
        <is>
          <t>Worship</t>
        </is>
      </c>
      <c r="D12" s="9" t="n">
        <v>495</v>
      </c>
      <c r="E12" s="8" t="inlineStr">
        <is>
          <t>Treasurer</t>
        </is>
      </c>
    </row>
    <row r="13">
      <c r="A13" s="10" t="n">
        <v>46175</v>
      </c>
      <c r="B13" s="11" t="inlineStr"/>
      <c r="C13" s="11" t="inlineStr">
        <is>
          <t>Youth</t>
        </is>
      </c>
      <c r="D13" s="12" t="n">
        <v>338</v>
      </c>
      <c r="E13" s="11" t="inlineStr"/>
    </row>
  </sheetData>
  <dataValidations count="1">
    <dataValidation sqref="C2:C500" showDropDown="0" showInputMessage="0" showErrorMessage="0" allowBlank="1" type="list">
      <formula1>"General Operations,Worship,Youth,Children,Missions,Building,Outreach,Admin,Staff"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2" customWidth="1" min="5" max="5"/>
  </cols>
  <sheetData>
    <row r="1">
      <c r="A1" s="6" t="inlineStr">
        <is>
          <t>Ministry</t>
        </is>
      </c>
      <c r="B1" s="6" t="inlineStr">
        <is>
          <t>Annual Budget $</t>
        </is>
      </c>
      <c r="C1" s="6" t="inlineStr">
        <is>
          <t>Spent YTD $</t>
        </is>
      </c>
      <c r="D1" s="6" t="inlineStr">
        <is>
          <t>Remaining $</t>
        </is>
      </c>
      <c r="E1" s="6" t="inlineStr">
        <is>
          <t>Used %</t>
        </is>
      </c>
    </row>
    <row r="2">
      <c r="A2" s="8" t="inlineStr">
        <is>
          <t>Youth Ministry</t>
        </is>
      </c>
      <c r="B2" s="9" t="n">
        <v>8000</v>
      </c>
      <c r="C2" s="9" t="n">
        <v>3200</v>
      </c>
      <c r="D2" s="8">
        <f>C2-D2</f>
        <v/>
      </c>
      <c r="E2" s="8">
        <f>TEXT(D2/C2,"0%")</f>
        <v/>
      </c>
    </row>
    <row r="3">
      <c r="A3" s="11" t="inlineStr">
        <is>
          <t>Youth Ministry</t>
        </is>
      </c>
      <c r="B3" s="12" t="n">
        <v>5600</v>
      </c>
      <c r="C3" s="12" t="n">
        <v>2240</v>
      </c>
      <c r="D3" s="11">
        <f>C3-D3</f>
        <v/>
      </c>
      <c r="E3" s="11">
        <f>TEXT(D3/C3,"0%")</f>
        <v/>
      </c>
    </row>
    <row r="4">
      <c r="A4" s="8" t="inlineStr"/>
      <c r="B4" s="9" t="n">
        <v>10400</v>
      </c>
      <c r="C4" s="9" t="n">
        <v>4160</v>
      </c>
      <c r="D4" s="8">
        <f>C4-D4</f>
        <v/>
      </c>
      <c r="E4" s="8">
        <f>TEXT(D4/C4,"0%")</f>
        <v/>
      </c>
    </row>
    <row r="5">
      <c r="A5" s="11" t="inlineStr">
        <is>
          <t>Youth Ministry</t>
        </is>
      </c>
      <c r="B5" s="12" t="n">
        <v>6800</v>
      </c>
      <c r="C5" s="12" t="n">
        <v>2720</v>
      </c>
      <c r="D5" s="11">
        <f>C5-D5</f>
        <v/>
      </c>
      <c r="E5" s="11">
        <f>TEXT(D5/C5,"0%")</f>
        <v/>
      </c>
    </row>
    <row r="6">
      <c r="A6" s="8" t="inlineStr">
        <is>
          <t>Youth Ministry</t>
        </is>
      </c>
      <c r="B6" s="9" t="n">
        <v>9200</v>
      </c>
      <c r="C6" s="9" t="n">
        <v>3680</v>
      </c>
      <c r="D6" s="8">
        <f>C6-D6</f>
        <v/>
      </c>
      <c r="E6" s="8">
        <f>TEXT(D6/C6,"0%")</f>
        <v/>
      </c>
    </row>
    <row r="7">
      <c r="A7" s="11" t="inlineStr"/>
      <c r="B7" s="12" t="n">
        <v>4800</v>
      </c>
      <c r="C7" s="12" t="n">
        <v>1920</v>
      </c>
      <c r="D7" s="11">
        <f>C7-D7</f>
        <v/>
      </c>
      <c r="E7" s="11">
        <f>TEXT(D7/C7,"0%")</f>
        <v/>
      </c>
    </row>
    <row r="8">
      <c r="A8" s="8" t="inlineStr">
        <is>
          <t>Youth Ministry</t>
        </is>
      </c>
      <c r="B8" s="9" t="n">
        <v>11600</v>
      </c>
      <c r="C8" s="9" t="n">
        <v>4640</v>
      </c>
      <c r="D8" s="8">
        <f>C8-D8</f>
        <v/>
      </c>
      <c r="E8" s="8">
        <f>TEXT(D8/C8,"0%")</f>
        <v/>
      </c>
    </row>
    <row r="9">
      <c r="A9" s="11" t="inlineStr">
        <is>
          <t>Youth Ministry</t>
        </is>
      </c>
      <c r="B9" s="12" t="n">
        <v>7600</v>
      </c>
      <c r="C9" s="12" t="n">
        <v>3040</v>
      </c>
      <c r="D9" s="11">
        <f>C9-D9</f>
        <v/>
      </c>
      <c r="E9" s="11">
        <f>TEXT(D9/C9,"0%")</f>
        <v/>
      </c>
    </row>
    <row r="10">
      <c r="A10" s="8" t="inlineStr"/>
      <c r="B10" s="9" t="n">
        <v>10000</v>
      </c>
      <c r="C10" s="9" t="n">
        <v>4000</v>
      </c>
      <c r="D10" s="8">
        <f>C10-D10</f>
        <v/>
      </c>
      <c r="E10" s="8">
        <f>TEXT(D10/C10,"0%")</f>
        <v/>
      </c>
    </row>
    <row r="11">
      <c r="A11" s="11" t="inlineStr">
        <is>
          <t>Youth Ministry</t>
        </is>
      </c>
      <c r="B11" s="12" t="n">
        <v>6400</v>
      </c>
      <c r="C11" s="12" t="n">
        <v>2560</v>
      </c>
      <c r="D11" s="11">
        <f>C11-D11</f>
        <v/>
      </c>
      <c r="E11" s="11">
        <f>TEXT(D11/C11,"0%")</f>
        <v/>
      </c>
    </row>
    <row r="12">
      <c r="A12" s="8" t="inlineStr">
        <is>
          <t>Youth Ministry</t>
        </is>
      </c>
      <c r="B12" s="9" t="n">
        <v>8800</v>
      </c>
      <c r="C12" s="9" t="n">
        <v>3520</v>
      </c>
      <c r="D12" s="8">
        <f>C12-D12</f>
        <v/>
      </c>
      <c r="E12" s="8">
        <f>TEXT(D12/C12,"0%")</f>
        <v/>
      </c>
    </row>
    <row r="13">
      <c r="A13" s="11" t="inlineStr"/>
      <c r="B13" s="12" t="n">
        <v>6000</v>
      </c>
      <c r="C13" s="12" t="n">
        <v>2400</v>
      </c>
      <c r="D13" s="11">
        <f>C13-D13</f>
        <v/>
      </c>
      <c r="E13" s="11">
        <f>TEXT(D13/C13,"0%")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Annual Financial Summary</t>
        </is>
      </c>
    </row>
    <row r="5">
      <c r="B5" s="11" t="inlineStr">
        <is>
          <t>Total Income</t>
        </is>
      </c>
      <c r="C5" s="25">
        <f>SUM(Income!C:C)</f>
        <v/>
      </c>
    </row>
    <row r="6">
      <c r="B6" s="8" t="inlineStr">
        <is>
          <t>Total Expenses</t>
        </is>
      </c>
      <c r="C6" s="26">
        <f>SUM(Expenses!D:D)</f>
        <v/>
      </c>
    </row>
    <row r="7">
      <c r="B7" s="11" t="inlineStr">
        <is>
          <t>Net Surplus</t>
        </is>
      </c>
      <c r="C7" s="27">
        <f>SUM(Income!C:C)-SUM(Expenses!D:D)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