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Dashboard" sheetId="3" state="visible" r:id="rId3"/>
    <sheet name="Ideas" sheetId="4" state="visible" r:id="rId4"/>
    <sheet name="Analytics" sheetId="5" state="visible" r:id="rId5"/>
    <sheet name="Monthly Re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0A3C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8B5CF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0A3C"/>
      </patternFill>
    </fill>
    <fill>
      <patternFill patternType="solid">
        <fgColor rgb="00FFF7F0"/>
      </patternFill>
    </fill>
    <fill>
      <patternFill patternType="solid">
        <fgColor rgb="008B5CF6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📅  SOCIAL MEDIA POSTING CALENDAR</t>
        </is>
      </c>
    </row>
    <row r="3"/>
    <row r="4">
      <c r="B4" s="2" t="inlineStr">
        <is>
          <t>Multi-Platform Content Calendar Google Sheets</t>
        </is>
      </c>
    </row>
    <row r="6">
      <c r="B6" s="3" t="inlineStr">
        <is>
          <t>STEP 1 — Fill in “Calendar”</t>
        </is>
      </c>
    </row>
    <row r="7" ht="28" customHeight="1">
      <c r="B7" s="4" t="inlineStr">
        <is>
          <t>All posts planned with platform, date, and status.</t>
        </is>
      </c>
    </row>
    <row r="9">
      <c r="B9" s="3" t="inlineStr">
        <is>
          <t>STEP 2 — Fill in “Ideas”</t>
        </is>
      </c>
    </row>
    <row r="10" ht="28" customHeight="1">
      <c r="B10" s="4" t="inlineStr">
        <is>
          <t>Content idea backlog organized by pillar.</t>
        </is>
      </c>
    </row>
    <row r="12">
      <c r="B12" s="3" t="inlineStr">
        <is>
          <t>STEP 3 — Fill in “Analytics”</t>
        </is>
      </c>
    </row>
    <row r="13" ht="28" customHeight="1">
      <c r="B13" s="4" t="inlineStr">
        <is>
          <t>Post performance tracking after publishing.</t>
        </is>
      </c>
    </row>
    <row r="15">
      <c r="B15" s="3" t="inlineStr">
        <is>
          <t>STEP 4 — Fill in “Monthly Review”</t>
        </is>
      </c>
    </row>
    <row r="16" ht="28" customHeight="1">
      <c r="B16" s="4" t="inlineStr">
        <is>
          <t>Monthly performance review and key insights.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40" customWidth="1" min="4" max="4"/>
    <col width="16" customWidth="1" min="5" max="5"/>
    <col width="18" customWidth="1" min="6" max="6"/>
    <col width="14" customWidth="1" min="7" max="7"/>
  </cols>
  <sheetData>
    <row r="1">
      <c r="A1" s="6" t="inlineStr">
        <is>
          <t>Week</t>
        </is>
      </c>
      <c r="B1" s="6" t="inlineStr">
        <is>
          <t>Platform</t>
        </is>
      </c>
      <c r="C1" s="6" t="inlineStr">
        <is>
          <t>Date</t>
        </is>
      </c>
      <c r="D1" s="6" t="inlineStr">
        <is>
          <t>Caption/Hook</t>
        </is>
      </c>
      <c r="E1" s="6" t="inlineStr">
        <is>
          <t>Format</t>
        </is>
      </c>
      <c r="F1" s="6" t="inlineStr">
        <is>
          <t>Content Pillar</t>
        </is>
      </c>
      <c r="G1" s="6" t="inlineStr">
        <is>
          <t>Status</t>
        </is>
      </c>
    </row>
    <row r="2">
      <c r="A2" s="7" t="inlineStr">
        <is>
          <t>Wk 1</t>
        </is>
      </c>
      <c r="B2" s="7" t="inlineStr">
        <is>
          <t>Instagram</t>
        </is>
      </c>
      <c r="C2" s="8" t="n">
        <v>46174</v>
      </c>
      <c r="D2" s="7" t="inlineStr">
        <is>
          <t>3 signs you're a morning person in disguise…</t>
        </is>
      </c>
      <c r="E2" s="7" t="inlineStr">
        <is>
          <t>Post</t>
        </is>
      </c>
      <c r="F2" s="7" t="inlineStr">
        <is>
          <t>Education</t>
        </is>
      </c>
      <c r="G2" s="7" t="inlineStr">
        <is>
          <t>Idea</t>
        </is>
      </c>
    </row>
    <row r="3">
      <c r="A3" s="9" t="inlineStr">
        <is>
          <t>Wk 2</t>
        </is>
      </c>
      <c r="B3" s="9" t="inlineStr">
        <is>
          <t>TikTok</t>
        </is>
      </c>
      <c r="C3" s="10" t="n">
        <v>46180</v>
      </c>
      <c r="D3" s="9" t="inlineStr">
        <is>
          <t>3 signs you're a morning person in disguise…</t>
        </is>
      </c>
      <c r="E3" s="9" t="inlineStr">
        <is>
          <t>Reel</t>
        </is>
      </c>
      <c r="F3" s="9" t="inlineStr">
        <is>
          <t>Entertainment</t>
        </is>
      </c>
      <c r="G3" s="9" t="inlineStr">
        <is>
          <t>Writing</t>
        </is>
      </c>
    </row>
    <row r="4">
      <c r="A4" s="7" t="inlineStr">
        <is>
          <t>Wk 3</t>
        </is>
      </c>
      <c r="B4" s="7" t="inlineStr">
        <is>
          <t>LinkedIn</t>
        </is>
      </c>
      <c r="C4" s="8" t="n">
        <v>46186</v>
      </c>
      <c r="D4" s="7" t="inlineStr"/>
      <c r="E4" s="7" t="inlineStr">
        <is>
          <t>Story</t>
        </is>
      </c>
      <c r="F4" s="7" t="inlineStr">
        <is>
          <t>Promotion</t>
        </is>
      </c>
      <c r="G4" s="7" t="inlineStr">
        <is>
          <t>Designing</t>
        </is>
      </c>
    </row>
    <row r="5">
      <c r="A5" s="9" t="inlineStr">
        <is>
          <t>Wk 4</t>
        </is>
      </c>
      <c r="B5" s="9" t="inlineStr">
        <is>
          <t>Twitter/X</t>
        </is>
      </c>
      <c r="C5" s="10" t="n">
        <v>46189</v>
      </c>
      <c r="D5" s="9" t="inlineStr">
        <is>
          <t>3 signs you're a morning person in disguise…</t>
        </is>
      </c>
      <c r="E5" s="9" t="inlineStr">
        <is>
          <t>Carousel</t>
        </is>
      </c>
      <c r="F5" s="9" t="inlineStr">
        <is>
          <t>Inspiration</t>
        </is>
      </c>
      <c r="G5" s="9" t="inlineStr">
        <is>
          <t>Scheduled</t>
        </is>
      </c>
    </row>
    <row r="6">
      <c r="A6" s="7" t="inlineStr">
        <is>
          <t>Wk 5</t>
        </is>
      </c>
      <c r="B6" s="7" t="inlineStr">
        <is>
          <t>Pinterest</t>
        </is>
      </c>
      <c r="C6" s="8" t="n">
        <v>46195</v>
      </c>
      <c r="D6" s="7" t="inlineStr">
        <is>
          <t>3 signs you're a morning person in disguise…</t>
        </is>
      </c>
      <c r="E6" s="7" t="inlineStr">
        <is>
          <t>Short</t>
        </is>
      </c>
      <c r="F6" s="7" t="inlineStr">
        <is>
          <t>Behind Scenes</t>
        </is>
      </c>
      <c r="G6" s="7" t="inlineStr">
        <is>
          <t>Published</t>
        </is>
      </c>
    </row>
    <row r="7">
      <c r="A7" s="9" t="inlineStr">
        <is>
          <t>Wk 6</t>
        </is>
      </c>
      <c r="B7" s="9" t="inlineStr">
        <is>
          <t>Facebook</t>
        </is>
      </c>
      <c r="C7" s="10" t="n">
        <v>46201</v>
      </c>
      <c r="D7" s="9" t="inlineStr"/>
      <c r="E7" s="9" t="inlineStr">
        <is>
          <t>Thread</t>
        </is>
      </c>
      <c r="F7" s="9" t="inlineStr">
        <is>
          <t>User Generated</t>
        </is>
      </c>
      <c r="G7" s="9" t="inlineStr">
        <is>
          <t>Skipped</t>
        </is>
      </c>
    </row>
    <row r="8">
      <c r="A8" s="7" t="inlineStr">
        <is>
          <t>Wk 7</t>
        </is>
      </c>
      <c r="B8" s="7" t="inlineStr">
        <is>
          <t>YouTube</t>
        </is>
      </c>
      <c r="C8" s="8" t="n">
        <v>46176</v>
      </c>
      <c r="D8" s="7" t="inlineStr">
        <is>
          <t>3 signs you're a morning person in disguise…</t>
        </is>
      </c>
      <c r="E8" s="7" t="inlineStr">
        <is>
          <t>Video</t>
        </is>
      </c>
      <c r="F8" s="7" t="inlineStr">
        <is>
          <t>Education</t>
        </is>
      </c>
      <c r="G8" s="7" t="inlineStr">
        <is>
          <t>Idea</t>
        </is>
      </c>
    </row>
    <row r="9">
      <c r="A9" s="9" t="inlineStr">
        <is>
          <t>Wk 8</t>
        </is>
      </c>
      <c r="B9" s="9" t="inlineStr">
        <is>
          <t>Email</t>
        </is>
      </c>
      <c r="C9" s="10" t="n">
        <v>46182</v>
      </c>
      <c r="D9" s="9" t="inlineStr">
        <is>
          <t>3 signs you're a morning person in disguise…</t>
        </is>
      </c>
      <c r="E9" s="9" t="inlineStr">
        <is>
          <t>Email</t>
        </is>
      </c>
      <c r="F9" s="9" t="inlineStr">
        <is>
          <t>Entertainment</t>
        </is>
      </c>
      <c r="G9" s="9" t="inlineStr">
        <is>
          <t>Writing</t>
        </is>
      </c>
    </row>
    <row r="10">
      <c r="A10" s="7" t="inlineStr">
        <is>
          <t>Wk 9</t>
        </is>
      </c>
      <c r="B10" s="7" t="inlineStr">
        <is>
          <t>Other</t>
        </is>
      </c>
      <c r="C10" s="8" t="n">
        <v>46188</v>
      </c>
      <c r="D10" s="7" t="inlineStr"/>
      <c r="E10" s="7" t="inlineStr">
        <is>
          <t>Post</t>
        </is>
      </c>
      <c r="F10" s="7" t="inlineStr">
        <is>
          <t>Promotion</t>
        </is>
      </c>
      <c r="G10" s="7" t="inlineStr">
        <is>
          <t>Designing</t>
        </is>
      </c>
    </row>
    <row r="11">
      <c r="A11" s="9" t="inlineStr">
        <is>
          <t>Wk 10</t>
        </is>
      </c>
      <c r="B11" s="9" t="inlineStr">
        <is>
          <t>Instagram</t>
        </is>
      </c>
      <c r="C11" s="10" t="n">
        <v>46191</v>
      </c>
      <c r="D11" s="9" t="inlineStr">
        <is>
          <t>3 signs you're a morning person in disguise…</t>
        </is>
      </c>
      <c r="E11" s="9" t="inlineStr">
        <is>
          <t>Reel</t>
        </is>
      </c>
      <c r="F11" s="9" t="inlineStr">
        <is>
          <t>Inspiration</t>
        </is>
      </c>
      <c r="G11" s="9" t="inlineStr">
        <is>
          <t>Scheduled</t>
        </is>
      </c>
    </row>
    <row r="12">
      <c r="A12" s="7" t="inlineStr">
        <is>
          <t>Wk 11</t>
        </is>
      </c>
      <c r="B12" s="7" t="inlineStr">
        <is>
          <t>TikTok</t>
        </is>
      </c>
      <c r="C12" s="8" t="n">
        <v>46197</v>
      </c>
      <c r="D12" s="7" t="inlineStr">
        <is>
          <t>3 signs you're a morning person in disguise…</t>
        </is>
      </c>
      <c r="E12" s="7" t="inlineStr">
        <is>
          <t>Story</t>
        </is>
      </c>
      <c r="F12" s="7" t="inlineStr">
        <is>
          <t>Behind Scenes</t>
        </is>
      </c>
      <c r="G12" s="7" t="inlineStr">
        <is>
          <t>Published</t>
        </is>
      </c>
    </row>
    <row r="13">
      <c r="A13" s="9" t="inlineStr">
        <is>
          <t>Wk 12</t>
        </is>
      </c>
      <c r="B13" s="9" t="inlineStr">
        <is>
          <t>LinkedIn</t>
        </is>
      </c>
      <c r="C13" s="10" t="n">
        <v>46175</v>
      </c>
      <c r="D13" s="9" t="inlineStr"/>
      <c r="E13" s="9" t="inlineStr">
        <is>
          <t>Carousel</t>
        </is>
      </c>
      <c r="F13" s="9" t="inlineStr">
        <is>
          <t>User Generated</t>
        </is>
      </c>
      <c r="G13" s="9" t="inlineStr">
        <is>
          <t>Skipped</t>
        </is>
      </c>
    </row>
  </sheetData>
  <dataValidations count="4">
    <dataValidation sqref="B2:B500" showDropDown="0" showInputMessage="0" showErrorMessage="0" allowBlank="1" type="list">
      <formula1>"Instagram,TikTok,LinkedIn,Twitter/X,Pinterest,Facebook,YouTube,Email,Other"</formula1>
    </dataValidation>
    <dataValidation sqref="E2:E500" showDropDown="0" showInputMessage="0" showErrorMessage="0" allowBlank="1" type="list">
      <formula1>"Post,Reel,Story,Carousel,Short,Thread,Video,Email"</formula1>
    </dataValidation>
    <dataValidation sqref="F2:F500" showDropDown="0" showInputMessage="0" showErrorMessage="0" allowBlank="1" type="list">
      <formula1>"Education,Entertainment,Promotion,Inspiration,Behind Scenes,User Generated"</formula1>
    </dataValidation>
    <dataValidation sqref="G2:G500" showDropDown="0" showInputMessage="0" showErrorMessage="0" allowBlank="1" type="list">
      <formula1>"Idea,Writing,Designing,Scheduled,Published,Skipped"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SOCIAL MEDIA POSTING CALENDAR — DASHBOARD</t>
        </is>
      </c>
    </row>
    <row r="4">
      <c r="B4" s="12" t="inlineStr">
        <is>
          <t>POSTS THIS MONTH</t>
        </is>
      </c>
      <c r="D4" s="13" t="inlineStr">
        <is>
          <t>PLATFORMS ACTIVE</t>
        </is>
      </c>
      <c r="F4" s="14" t="inlineStr">
        <is>
          <t>POSTS SCHEDULED</t>
        </is>
      </c>
      <c r="H4" s="15" t="inlineStr">
        <is>
          <t>POSTS LIVE</t>
        </is>
      </c>
    </row>
    <row r="5" ht="26" customHeight="1">
      <c r="B5" s="16">
        <f>COUNTIFS(Calendar!C:C,"&gt;="&amp;DATE(YEAR(TODAY()),MONTH(TODAY()),1),Calendar!C:C,"&lt;="&amp;EOMONTH(TODAY(),0))</f>
        <v/>
      </c>
      <c r="D5" s="17">
        <f>COUNTA(UNIQUE(Calendar!B:B))-1</f>
        <v/>
      </c>
      <c r="F5" s="18">
        <f>COUNTIF(Calendar!G:G,"Scheduled")</f>
        <v/>
      </c>
      <c r="H5" s="19">
        <f>COUNTIF(Calendar!G:G,"Published")</f>
        <v/>
      </c>
    </row>
    <row r="8">
      <c r="B8" s="20" t="inlineStr">
        <is>
          <t>WHAT'S INSIDE</t>
        </is>
      </c>
    </row>
    <row r="9">
      <c r="B9" s="21" t="inlineStr">
        <is>
          <t>📅  Calendar — All posts planned with platform, date, and status.</t>
        </is>
      </c>
    </row>
    <row r="10">
      <c r="B10" s="21" t="inlineStr">
        <is>
          <t>💡  Ideas — Content idea backlog organized by pillar.</t>
        </is>
      </c>
    </row>
    <row r="11">
      <c r="B11" s="21" t="inlineStr">
        <is>
          <t>📊  Analytics — Post performance tracking after publishing.</t>
        </is>
      </c>
    </row>
    <row r="12">
      <c r="B12" s="21" t="inlineStr">
        <is>
          <t>📈  Monthly Review — Monthly performance review and key insights.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2" customWidth="1" min="4" max="4"/>
    <col width="14" customWidth="1" min="5" max="5"/>
  </cols>
  <sheetData>
    <row r="1">
      <c r="A1" s="6" t="inlineStr">
        <is>
          <t>Idea</t>
        </is>
      </c>
      <c r="B1" s="6" t="inlineStr">
        <is>
          <t>Platform</t>
        </is>
      </c>
      <c r="C1" s="6" t="inlineStr">
        <is>
          <t>Pillar</t>
        </is>
      </c>
      <c r="D1" s="6" t="inlineStr">
        <is>
          <t>Priority</t>
        </is>
      </c>
      <c r="E1" s="6" t="inlineStr">
        <is>
          <t>Status</t>
        </is>
      </c>
    </row>
    <row r="2">
      <c r="A2" s="7" t="inlineStr">
        <is>
          <t>Before/after transformation story</t>
        </is>
      </c>
      <c r="B2" s="7" t="inlineStr">
        <is>
          <t>Instagram</t>
        </is>
      </c>
      <c r="C2" s="7" t="inlineStr">
        <is>
          <t>Education</t>
        </is>
      </c>
      <c r="D2" s="7" t="inlineStr">
        <is>
          <t>High</t>
        </is>
      </c>
      <c r="E2" s="7" t="inlineStr">
        <is>
          <t>Backlog</t>
        </is>
      </c>
    </row>
    <row r="3">
      <c r="A3" s="9" t="inlineStr">
        <is>
          <t>Before/after transformation story</t>
        </is>
      </c>
      <c r="B3" s="9" t="inlineStr">
        <is>
          <t>Instagram</t>
        </is>
      </c>
      <c r="C3" s="9" t="inlineStr">
        <is>
          <t>Entertainment</t>
        </is>
      </c>
      <c r="D3" s="9" t="inlineStr">
        <is>
          <t>Medium</t>
        </is>
      </c>
      <c r="E3" s="9" t="inlineStr">
        <is>
          <t>Planned</t>
        </is>
      </c>
    </row>
    <row r="4">
      <c r="A4" s="7" t="inlineStr"/>
      <c r="B4" s="7" t="inlineStr"/>
      <c r="C4" s="7" t="inlineStr">
        <is>
          <t>Promotion</t>
        </is>
      </c>
      <c r="D4" s="7" t="inlineStr">
        <is>
          <t>Low</t>
        </is>
      </c>
      <c r="E4" s="7" t="inlineStr">
        <is>
          <t>Done</t>
        </is>
      </c>
    </row>
    <row r="5">
      <c r="A5" s="9" t="inlineStr">
        <is>
          <t>Before/after transformation story</t>
        </is>
      </c>
      <c r="B5" s="9" t="inlineStr">
        <is>
          <t>Instagram</t>
        </is>
      </c>
      <c r="C5" s="9" t="inlineStr">
        <is>
          <t>Inspiration</t>
        </is>
      </c>
      <c r="D5" s="9" t="inlineStr">
        <is>
          <t>High</t>
        </is>
      </c>
      <c r="E5" s="9" t="inlineStr">
        <is>
          <t>Backlog</t>
        </is>
      </c>
    </row>
    <row r="6">
      <c r="A6" s="7" t="inlineStr">
        <is>
          <t>Before/after transformation story</t>
        </is>
      </c>
      <c r="B6" s="7" t="inlineStr">
        <is>
          <t>Instagram</t>
        </is>
      </c>
      <c r="C6" s="7" t="inlineStr">
        <is>
          <t>Behind Scenes</t>
        </is>
      </c>
      <c r="D6" s="7" t="inlineStr">
        <is>
          <t>Medium</t>
        </is>
      </c>
      <c r="E6" s="7" t="inlineStr">
        <is>
          <t>Planned</t>
        </is>
      </c>
    </row>
    <row r="7">
      <c r="A7" s="9" t="inlineStr"/>
      <c r="B7" s="9" t="inlineStr"/>
      <c r="C7" s="9" t="inlineStr">
        <is>
          <t>User Generated</t>
        </is>
      </c>
      <c r="D7" s="9" t="inlineStr">
        <is>
          <t>Low</t>
        </is>
      </c>
      <c r="E7" s="9" t="inlineStr">
        <is>
          <t>Done</t>
        </is>
      </c>
    </row>
    <row r="8">
      <c r="A8" s="7" t="inlineStr">
        <is>
          <t>Before/after transformation story</t>
        </is>
      </c>
      <c r="B8" s="7" t="inlineStr">
        <is>
          <t>Instagram</t>
        </is>
      </c>
      <c r="C8" s="7" t="inlineStr">
        <is>
          <t>Education</t>
        </is>
      </c>
      <c r="D8" s="7" t="inlineStr">
        <is>
          <t>High</t>
        </is>
      </c>
      <c r="E8" s="7" t="inlineStr">
        <is>
          <t>Backlog</t>
        </is>
      </c>
    </row>
    <row r="9">
      <c r="A9" s="9" t="inlineStr">
        <is>
          <t>Before/after transformation story</t>
        </is>
      </c>
      <c r="B9" s="9" t="inlineStr">
        <is>
          <t>Instagram</t>
        </is>
      </c>
      <c r="C9" s="9" t="inlineStr">
        <is>
          <t>Entertainment</t>
        </is>
      </c>
      <c r="D9" s="9" t="inlineStr">
        <is>
          <t>Medium</t>
        </is>
      </c>
      <c r="E9" s="9" t="inlineStr">
        <is>
          <t>Planned</t>
        </is>
      </c>
    </row>
    <row r="10">
      <c r="A10" s="7" t="inlineStr"/>
      <c r="B10" s="7" t="inlineStr"/>
      <c r="C10" s="7" t="inlineStr">
        <is>
          <t>Promotion</t>
        </is>
      </c>
      <c r="D10" s="7" t="inlineStr">
        <is>
          <t>Low</t>
        </is>
      </c>
      <c r="E10" s="7" t="inlineStr">
        <is>
          <t>Done</t>
        </is>
      </c>
    </row>
    <row r="11">
      <c r="A11" s="9" t="inlineStr">
        <is>
          <t>Before/after transformation story</t>
        </is>
      </c>
      <c r="B11" s="9" t="inlineStr">
        <is>
          <t>Instagram</t>
        </is>
      </c>
      <c r="C11" s="9" t="inlineStr">
        <is>
          <t>Inspiration</t>
        </is>
      </c>
      <c r="D11" s="9" t="inlineStr">
        <is>
          <t>High</t>
        </is>
      </c>
      <c r="E11" s="9" t="inlineStr">
        <is>
          <t>Backlog</t>
        </is>
      </c>
    </row>
    <row r="12">
      <c r="A12" s="7" t="inlineStr">
        <is>
          <t>Before/after transformation story</t>
        </is>
      </c>
      <c r="B12" s="7" t="inlineStr">
        <is>
          <t>Instagram</t>
        </is>
      </c>
      <c r="C12" s="7" t="inlineStr">
        <is>
          <t>Behind Scenes</t>
        </is>
      </c>
      <c r="D12" s="7" t="inlineStr">
        <is>
          <t>Medium</t>
        </is>
      </c>
      <c r="E12" s="7" t="inlineStr">
        <is>
          <t>Planned</t>
        </is>
      </c>
    </row>
    <row r="13">
      <c r="A13" s="9" t="inlineStr"/>
      <c r="B13" s="9" t="inlineStr"/>
      <c r="C13" s="9" t="inlineStr">
        <is>
          <t>User Generated</t>
        </is>
      </c>
      <c r="D13" s="9" t="inlineStr">
        <is>
          <t>Low</t>
        </is>
      </c>
      <c r="E13" s="9" t="inlineStr">
        <is>
          <t>Done</t>
        </is>
      </c>
    </row>
  </sheetData>
  <dataValidations count="3">
    <dataValidation sqref="C2:C500" showDropDown="0" showInputMessage="0" showErrorMessage="0" allowBlank="1" type="list">
      <formula1>"Education,Entertainment,Promotion,Inspiration,Behind Scenes,User Generated"</formula1>
    </dataValidation>
    <dataValidation sqref="D2:D500" showDropDown="0" showInputMessage="0" showErrorMessage="0" allowBlank="1" type="list">
      <formula1>"High,Medium,Low"</formula1>
    </dataValidation>
    <dataValidation sqref="E2:E500" showDropDown="0" showInputMessage="0" showErrorMessage="0" allowBlank="1" type="list">
      <formula1>"Backlog,Planned,Done"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>
      <c r="A1" s="6" t="inlineStr">
        <is>
          <t>Date</t>
        </is>
      </c>
      <c r="B1" s="6" t="inlineStr">
        <is>
          <t>Platform</t>
        </is>
      </c>
      <c r="C1" s="6" t="inlineStr">
        <is>
          <t>Post Type</t>
        </is>
      </c>
      <c r="D1" s="6" t="inlineStr">
        <is>
          <t>Likes</t>
        </is>
      </c>
      <c r="E1" s="6" t="inlineStr">
        <is>
          <t>Comments</t>
        </is>
      </c>
      <c r="F1" s="6" t="inlineStr">
        <is>
          <t>Shares</t>
        </is>
      </c>
      <c r="G1" s="6" t="inlineStr">
        <is>
          <t>Reach</t>
        </is>
      </c>
      <c r="H1" s="6" t="inlineStr">
        <is>
          <t>Eng Rate %</t>
        </is>
      </c>
    </row>
    <row r="2">
      <c r="A2" s="8" t="n">
        <v>46174</v>
      </c>
      <c r="B2" s="7" t="inlineStr">
        <is>
          <t>Instagram</t>
        </is>
      </c>
      <c r="C2" s="7" t="inlineStr">
        <is>
          <t>Reel</t>
        </is>
      </c>
      <c r="D2" s="7" t="n">
        <v>320</v>
      </c>
      <c r="E2" s="7" t="n">
        <v>28</v>
      </c>
      <c r="F2" s="7" t="n">
        <v>45</v>
      </c>
      <c r="G2" s="7" t="n">
        <v>8400</v>
      </c>
      <c r="H2" s="7">
        <f>(D2+E2+F2)/G2</f>
        <v/>
      </c>
    </row>
    <row r="3">
      <c r="A3" s="10" t="n">
        <v>46180</v>
      </c>
      <c r="B3" s="9" t="inlineStr">
        <is>
          <t>Instagram</t>
        </is>
      </c>
      <c r="C3" s="9" t="inlineStr">
        <is>
          <t>Reel</t>
        </is>
      </c>
      <c r="D3" s="9" t="n">
        <v>224</v>
      </c>
      <c r="E3" s="9" t="n">
        <v>19.6</v>
      </c>
      <c r="F3" s="9" t="n">
        <v>31.5</v>
      </c>
      <c r="G3" s="9" t="n">
        <v>5880</v>
      </c>
      <c r="H3" s="9">
        <f>(D3+E3+F3)/G3</f>
        <v/>
      </c>
    </row>
    <row r="4">
      <c r="A4" s="8" t="n">
        <v>46186</v>
      </c>
      <c r="B4" s="7" t="inlineStr"/>
      <c r="C4" s="7" t="inlineStr"/>
      <c r="D4" s="7" t="n">
        <v>416</v>
      </c>
      <c r="E4" s="7" t="n">
        <v>36.4</v>
      </c>
      <c r="F4" s="7" t="n">
        <v>58.5</v>
      </c>
      <c r="G4" s="7" t="n">
        <v>10920</v>
      </c>
      <c r="H4" s="7">
        <f>(D4+E4+F4)/G4</f>
        <v/>
      </c>
    </row>
    <row r="5">
      <c r="A5" s="10" t="n">
        <v>46189</v>
      </c>
      <c r="B5" s="9" t="inlineStr">
        <is>
          <t>Instagram</t>
        </is>
      </c>
      <c r="C5" s="9" t="inlineStr">
        <is>
          <t>Reel</t>
        </is>
      </c>
      <c r="D5" s="9" t="n">
        <v>272</v>
      </c>
      <c r="E5" s="9" t="n">
        <v>23.8</v>
      </c>
      <c r="F5" s="9" t="n">
        <v>38.25</v>
      </c>
      <c r="G5" s="9" t="n">
        <v>7140</v>
      </c>
      <c r="H5" s="9">
        <f>(D5+E5+F5)/G5</f>
        <v/>
      </c>
    </row>
    <row r="6">
      <c r="A6" s="8" t="n">
        <v>46195</v>
      </c>
      <c r="B6" s="7" t="inlineStr">
        <is>
          <t>Instagram</t>
        </is>
      </c>
      <c r="C6" s="7" t="inlineStr">
        <is>
          <t>Reel</t>
        </is>
      </c>
      <c r="D6" s="7" t="n">
        <v>368</v>
      </c>
      <c r="E6" s="7" t="n">
        <v>32.2</v>
      </c>
      <c r="F6" s="7" t="n">
        <v>51.75</v>
      </c>
      <c r="G6" s="7" t="n">
        <v>9660</v>
      </c>
      <c r="H6" s="7">
        <f>(D6+E6+F6)/G6</f>
        <v/>
      </c>
    </row>
    <row r="7">
      <c r="A7" s="10" t="n">
        <v>46201</v>
      </c>
      <c r="B7" s="9" t="inlineStr"/>
      <c r="C7" s="9" t="inlineStr"/>
      <c r="D7" s="9" t="n">
        <v>192</v>
      </c>
      <c r="E7" s="9" t="n">
        <v>16.8</v>
      </c>
      <c r="F7" s="9" t="n">
        <v>27</v>
      </c>
      <c r="G7" s="9" t="n">
        <v>5040</v>
      </c>
      <c r="H7" s="9">
        <f>(D7+E7+F7)/G7</f>
        <v/>
      </c>
    </row>
    <row r="8">
      <c r="A8" s="8" t="n">
        <v>46176</v>
      </c>
      <c r="B8" s="7" t="inlineStr">
        <is>
          <t>Instagram</t>
        </is>
      </c>
      <c r="C8" s="7" t="inlineStr">
        <is>
          <t>Reel</t>
        </is>
      </c>
      <c r="D8" s="7" t="n">
        <v>464</v>
      </c>
      <c r="E8" s="7" t="n">
        <v>40.6</v>
      </c>
      <c r="F8" s="7" t="n">
        <v>65.25</v>
      </c>
      <c r="G8" s="7" t="n">
        <v>12180</v>
      </c>
      <c r="H8" s="7">
        <f>(D8+E8+F8)/G8</f>
        <v/>
      </c>
    </row>
    <row r="9">
      <c r="A9" s="10" t="n">
        <v>46182</v>
      </c>
      <c r="B9" s="9" t="inlineStr">
        <is>
          <t>Instagram</t>
        </is>
      </c>
      <c r="C9" s="9" t="inlineStr">
        <is>
          <t>Reel</t>
        </is>
      </c>
      <c r="D9" s="9" t="n">
        <v>304</v>
      </c>
      <c r="E9" s="9" t="n">
        <v>26.6</v>
      </c>
      <c r="F9" s="9" t="n">
        <v>42.75</v>
      </c>
      <c r="G9" s="9" t="n">
        <v>7980</v>
      </c>
      <c r="H9" s="9">
        <f>(D9+E9+F9)/G9</f>
        <v/>
      </c>
    </row>
    <row r="10">
      <c r="A10" s="8" t="n">
        <v>46188</v>
      </c>
      <c r="B10" s="7" t="inlineStr"/>
      <c r="C10" s="7" t="inlineStr"/>
      <c r="D10" s="7" t="n">
        <v>400</v>
      </c>
      <c r="E10" s="7" t="n">
        <v>35</v>
      </c>
      <c r="F10" s="7" t="n">
        <v>56.25</v>
      </c>
      <c r="G10" s="7" t="n">
        <v>10500</v>
      </c>
      <c r="H10" s="7">
        <f>(D10+E10+F10)/G10</f>
        <v/>
      </c>
    </row>
    <row r="11">
      <c r="A11" s="10" t="n">
        <v>46191</v>
      </c>
      <c r="B11" s="9" t="inlineStr">
        <is>
          <t>Instagram</t>
        </is>
      </c>
      <c r="C11" s="9" t="inlineStr">
        <is>
          <t>Reel</t>
        </is>
      </c>
      <c r="D11" s="9" t="n">
        <v>256</v>
      </c>
      <c r="E11" s="9" t="n">
        <v>22.4</v>
      </c>
      <c r="F11" s="9" t="n">
        <v>36</v>
      </c>
      <c r="G11" s="9" t="n">
        <v>6720</v>
      </c>
      <c r="H11" s="9">
        <f>(D11+E11+F11)/G11</f>
        <v/>
      </c>
    </row>
    <row r="12">
      <c r="A12" s="8" t="n">
        <v>46197</v>
      </c>
      <c r="B12" s="7" t="inlineStr">
        <is>
          <t>Instagram</t>
        </is>
      </c>
      <c r="C12" s="7" t="inlineStr">
        <is>
          <t>Reel</t>
        </is>
      </c>
      <c r="D12" s="7" t="n">
        <v>352</v>
      </c>
      <c r="E12" s="7" t="n">
        <v>30.8</v>
      </c>
      <c r="F12" s="7" t="n">
        <v>49.5</v>
      </c>
      <c r="G12" s="7" t="n">
        <v>9240</v>
      </c>
      <c r="H12" s="7">
        <f>(D12+E12+F12)/G12</f>
        <v/>
      </c>
    </row>
    <row r="13">
      <c r="A13" s="10" t="n">
        <v>46175</v>
      </c>
      <c r="B13" s="9" t="inlineStr"/>
      <c r="C13" s="9" t="inlineStr"/>
      <c r="D13" s="9" t="n">
        <v>240</v>
      </c>
      <c r="E13" s="9" t="n">
        <v>21</v>
      </c>
      <c r="F13" s="9" t="n">
        <v>33.75</v>
      </c>
      <c r="G13" s="9" t="n">
        <v>6300</v>
      </c>
      <c r="H13" s="9">
        <f>(D13+E13+F13)/G13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32" customWidth="1" min="4" max="4"/>
    <col width="16" customWidth="1" min="5" max="5"/>
    <col width="32" customWidth="1" min="6" max="6"/>
  </cols>
  <sheetData>
    <row r="1">
      <c r="A1" s="6" t="inlineStr">
        <is>
          <t>Month</t>
        </is>
      </c>
      <c r="B1" s="6" t="inlineStr">
        <is>
          <t>Posts Published</t>
        </is>
      </c>
      <c r="C1" s="6" t="inlineStr">
        <is>
          <t>Total Reach</t>
        </is>
      </c>
      <c r="D1" s="6" t="inlineStr">
        <is>
          <t>Best Post</t>
        </is>
      </c>
      <c r="E1" s="6" t="inlineStr">
        <is>
          <t>Top Platform</t>
        </is>
      </c>
      <c r="F1" s="6" t="inlineStr">
        <is>
          <t>Next Month Focus</t>
        </is>
      </c>
    </row>
    <row r="2">
      <c r="A2" s="7" t="inlineStr">
        <is>
          <t>January 2024</t>
        </is>
      </c>
      <c r="B2" s="7" t="n">
        <v>18</v>
      </c>
      <c r="C2" s="22" t="n">
        <v>48200</v>
      </c>
      <c r="D2" s="7" t="inlineStr">
        <is>
          <t>Morning routine Reel (8.4K reach)</t>
        </is>
      </c>
      <c r="E2" s="7" t="inlineStr">
        <is>
          <t>Instagram</t>
        </is>
      </c>
      <c r="F2" s="7" t="inlineStr">
        <is>
          <t>Double Reels, cut static posts</t>
        </is>
      </c>
    </row>
    <row r="3">
      <c r="A3" s="9" t="inlineStr">
        <is>
          <t>January 2025</t>
        </is>
      </c>
      <c r="B3" s="9" t="n">
        <v>12.6</v>
      </c>
      <c r="C3" s="23" t="n">
        <v>33740</v>
      </c>
      <c r="D3" s="9" t="inlineStr">
        <is>
          <t>Morning routine Reel (8.4K reach)</t>
        </is>
      </c>
      <c r="E3" s="9" t="inlineStr">
        <is>
          <t>Instagram</t>
        </is>
      </c>
      <c r="F3" s="9" t="inlineStr">
        <is>
          <t>Double Reels, cut static posts</t>
        </is>
      </c>
    </row>
    <row r="4">
      <c r="A4" s="7" t="inlineStr">
        <is>
          <t>January 2026</t>
        </is>
      </c>
      <c r="B4" s="7" t="n">
        <v>23.4</v>
      </c>
      <c r="C4" s="22" t="n">
        <v>62660</v>
      </c>
      <c r="D4" s="7" t="inlineStr"/>
      <c r="E4" s="7" t="inlineStr"/>
      <c r="F4" s="7" t="inlineStr"/>
    </row>
    <row r="5">
      <c r="A5" s="9" t="inlineStr">
        <is>
          <t>January 2027</t>
        </is>
      </c>
      <c r="B5" s="9" t="n">
        <v>15.3</v>
      </c>
      <c r="C5" s="23" t="n">
        <v>40970</v>
      </c>
      <c r="D5" s="9" t="inlineStr">
        <is>
          <t>Morning routine Reel (8.4K reach)</t>
        </is>
      </c>
      <c r="E5" s="9" t="inlineStr">
        <is>
          <t>Instagram</t>
        </is>
      </c>
      <c r="F5" s="9" t="inlineStr">
        <is>
          <t>Double Reels, cut static posts</t>
        </is>
      </c>
    </row>
    <row r="6">
      <c r="A6" s="7" t="inlineStr">
        <is>
          <t>January 2028</t>
        </is>
      </c>
      <c r="B6" s="7" t="n">
        <v>20.7</v>
      </c>
      <c r="C6" s="22" t="n">
        <v>55430</v>
      </c>
      <c r="D6" s="7" t="inlineStr">
        <is>
          <t>Morning routine Reel (8.4K reach)</t>
        </is>
      </c>
      <c r="E6" s="7" t="inlineStr">
        <is>
          <t>Instagram</t>
        </is>
      </c>
      <c r="F6" s="7" t="inlineStr">
        <is>
          <t>Double Reels, cut static posts</t>
        </is>
      </c>
    </row>
    <row r="7">
      <c r="A7" s="9" t="inlineStr">
        <is>
          <t>January 2029</t>
        </is>
      </c>
      <c r="B7" s="9" t="n">
        <v>10.8</v>
      </c>
      <c r="C7" s="23" t="n">
        <v>28920</v>
      </c>
      <c r="D7" s="9" t="inlineStr"/>
      <c r="E7" s="9" t="inlineStr"/>
      <c r="F7" s="9" t="inlineStr"/>
    </row>
    <row r="8">
      <c r="A8" s="7" t="inlineStr">
        <is>
          <t>January 2030</t>
        </is>
      </c>
      <c r="B8" s="7" t="n">
        <v>26.1</v>
      </c>
      <c r="C8" s="22" t="n">
        <v>69890</v>
      </c>
      <c r="D8" s="7" t="inlineStr">
        <is>
          <t>Morning routine Reel (8.4K reach)</t>
        </is>
      </c>
      <c r="E8" s="7" t="inlineStr">
        <is>
          <t>Instagram</t>
        </is>
      </c>
      <c r="F8" s="7" t="inlineStr">
        <is>
          <t>Double Reels, cut static posts</t>
        </is>
      </c>
    </row>
    <row r="9">
      <c r="A9" s="9" t="inlineStr">
        <is>
          <t>January 2031</t>
        </is>
      </c>
      <c r="B9" s="9" t="n">
        <v>17.1</v>
      </c>
      <c r="C9" s="23" t="n">
        <v>45790</v>
      </c>
      <c r="D9" s="9" t="inlineStr">
        <is>
          <t>Morning routine Reel (8.4K reach)</t>
        </is>
      </c>
      <c r="E9" s="9" t="inlineStr">
        <is>
          <t>Instagram</t>
        </is>
      </c>
      <c r="F9" s="9" t="inlineStr">
        <is>
          <t>Double Reels, cut static posts</t>
        </is>
      </c>
    </row>
    <row r="10">
      <c r="A10" s="7" t="inlineStr">
        <is>
          <t>January 2032</t>
        </is>
      </c>
      <c r="B10" s="7" t="n">
        <v>22.5</v>
      </c>
      <c r="C10" s="22" t="n">
        <v>60250</v>
      </c>
      <c r="D10" s="7" t="inlineStr"/>
      <c r="E10" s="7" t="inlineStr"/>
      <c r="F10" s="7" t="inlineStr"/>
    </row>
    <row r="11">
      <c r="A11" s="9" t="inlineStr">
        <is>
          <t>January 2033</t>
        </is>
      </c>
      <c r="B11" s="9" t="n">
        <v>14.4</v>
      </c>
      <c r="C11" s="23" t="n">
        <v>38560</v>
      </c>
      <c r="D11" s="9" t="inlineStr">
        <is>
          <t>Morning routine Reel (8.4K reach)</t>
        </is>
      </c>
      <c r="E11" s="9" t="inlineStr">
        <is>
          <t>Instagram</t>
        </is>
      </c>
      <c r="F11" s="9" t="inlineStr">
        <is>
          <t>Double Reels, cut static posts</t>
        </is>
      </c>
    </row>
    <row r="12">
      <c r="A12" s="7" t="inlineStr">
        <is>
          <t>January 2034</t>
        </is>
      </c>
      <c r="B12" s="7" t="n">
        <v>19.8</v>
      </c>
      <c r="C12" s="22" t="n">
        <v>53020</v>
      </c>
      <c r="D12" s="7" t="inlineStr">
        <is>
          <t>Morning routine Reel (8.4K reach)</t>
        </is>
      </c>
      <c r="E12" s="7" t="inlineStr">
        <is>
          <t>Instagram</t>
        </is>
      </c>
      <c r="F12" s="7" t="inlineStr">
        <is>
          <t>Double Reels, cut static posts</t>
        </is>
      </c>
    </row>
    <row r="13">
      <c r="A13" s="9" t="inlineStr">
        <is>
          <t>January 2035</t>
        </is>
      </c>
      <c r="B13" s="9" t="n">
        <v>13.5</v>
      </c>
      <c r="C13" s="23" t="n">
        <v>36150</v>
      </c>
      <c r="D13" s="9" t="inlineStr"/>
      <c r="E13" s="9" t="inlineStr"/>
      <c r="F13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