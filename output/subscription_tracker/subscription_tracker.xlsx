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ubscriptions" sheetId="2" state="visible" r:id="rId2"/>
    <sheet name="Dashboard" sheetId="3" state="visible" r:id="rId3"/>
    <sheet name="Cancelled" sheetId="4" state="visible" r:id="rId4"/>
    <sheet name="Annual View" sheetId="5" state="visible" r:id="rId5"/>
    <sheet name="Savings Repo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€&quot;#,##0.00"/>
    <numFmt numFmtId="165" formatCode="yyyy-mm-dd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6366F1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E1B4B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6">
    <fill>
      <patternFill/>
    </fill>
    <fill>
      <patternFill patternType="gray125"/>
    </fill>
    <fill>
      <patternFill patternType="solid">
        <fgColor rgb="001E1B4B"/>
      </patternFill>
    </fill>
    <fill>
      <patternFill patternType="solid">
        <fgColor rgb="00FFF7F0"/>
      </patternFill>
    </fill>
    <fill>
      <patternFill patternType="solid">
        <fgColor rgb="006366F1"/>
      </patternFill>
    </fill>
    <fill>
      <patternFill patternType="solid">
        <fgColor rgb="0005966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164" fontId="5" fillId="0" borderId="1" pivotButton="0" quotePrefix="0" xfId="0"/>
    <xf numFmtId="164" fontId="5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🔄  SUBSCRIPTION &amp; EXPENSE TRACKER</t>
        </is>
      </c>
    </row>
    <row r="3"/>
    <row r="4">
      <c r="B4" s="2" t="inlineStr">
        <is>
          <t>Cancel Unused Subscriptions &amp; Save Money Google Sheets</t>
        </is>
      </c>
    </row>
    <row r="6">
      <c r="B6" s="3" t="inlineStr">
        <is>
          <t>STEP 1 — Fill in “Subscriptions”</t>
        </is>
      </c>
    </row>
    <row r="7" ht="28" customHeight="1">
      <c r="B7" s="4" t="inlineStr">
        <is>
          <t>All subscriptions with cost, renewal date, and usefulness.</t>
        </is>
      </c>
    </row>
    <row r="9">
      <c r="B9" s="3" t="inlineStr">
        <is>
          <t>STEP 2 — Fill in “Cancelled”</t>
        </is>
      </c>
    </row>
    <row r="10" ht="28" customHeight="1">
      <c r="B10" s="4" t="inlineStr">
        <is>
          <t>Cancelled subscriptions and money saved.</t>
        </is>
      </c>
    </row>
    <row r="12">
      <c r="B12" s="3" t="inlineStr">
        <is>
          <t>STEP 3 — Fill in “Annual View”</t>
        </is>
      </c>
    </row>
    <row r="13" ht="28" customHeight="1">
      <c r="B13" s="4" t="inlineStr">
        <is>
          <t>Annual subscription cost by category.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6" customWidth="1" min="3" max="3"/>
    <col width="16" customWidth="1" min="4" max="4"/>
    <col width="18" customWidth="1" min="5" max="5"/>
    <col width="16" customWidth="1" min="6" max="6"/>
    <col width="14" customWidth="1" min="7" max="7"/>
  </cols>
  <sheetData>
    <row r="1">
      <c r="A1" s="6" t="inlineStr">
        <is>
          <t>Service</t>
        </is>
      </c>
      <c r="B1" s="6" t="inlineStr">
        <is>
          <t>Category</t>
        </is>
      </c>
      <c r="C1" s="6" t="inlineStr">
        <is>
          <t>Monthly Cost $</t>
        </is>
      </c>
      <c r="D1" s="6" t="inlineStr">
        <is>
          <t>Renewal Date</t>
        </is>
      </c>
      <c r="E1" s="6" t="inlineStr">
        <is>
          <t>Status</t>
        </is>
      </c>
      <c r="F1" s="6" t="inlineStr">
        <is>
          <t>Value</t>
        </is>
      </c>
      <c r="G1" s="6" t="inlineStr">
        <is>
          <t>Cancel By</t>
        </is>
      </c>
    </row>
    <row r="2">
      <c r="A2" s="7" t="inlineStr">
        <is>
          <t>Netflix</t>
        </is>
      </c>
      <c r="B2" s="7" t="inlineStr">
        <is>
          <t>Entertainment</t>
        </is>
      </c>
      <c r="C2" s="8" t="n">
        <v>15.99</v>
      </c>
      <c r="D2" s="9" t="n">
        <v>46174</v>
      </c>
      <c r="E2" s="7" t="inlineStr">
        <is>
          <t>Active</t>
        </is>
      </c>
      <c r="F2" s="7" t="inlineStr">
        <is>
          <t>Essential</t>
        </is>
      </c>
      <c r="G2" s="9" t="n">
        <v>46174</v>
      </c>
    </row>
    <row r="3">
      <c r="A3" s="10" t="inlineStr">
        <is>
          <t>Netflix</t>
        </is>
      </c>
      <c r="B3" s="10" t="inlineStr">
        <is>
          <t>Productivity</t>
        </is>
      </c>
      <c r="C3" s="11" t="n">
        <v>11.19</v>
      </c>
      <c r="D3" s="12" t="n">
        <v>46180</v>
      </c>
      <c r="E3" s="10" t="inlineStr">
        <is>
          <t>Unused</t>
        </is>
      </c>
      <c r="F3" s="10" t="inlineStr">
        <is>
          <t>Nice to Have</t>
        </is>
      </c>
      <c r="G3" s="12" t="n">
        <v>46180</v>
      </c>
    </row>
    <row r="4">
      <c r="A4" s="7" t="inlineStr"/>
      <c r="B4" s="7" t="inlineStr">
        <is>
          <t>Health</t>
        </is>
      </c>
      <c r="C4" s="8" t="n">
        <v>20.79</v>
      </c>
      <c r="D4" s="9" t="n">
        <v>46186</v>
      </c>
      <c r="E4" s="7" t="inlineStr">
        <is>
          <t>Paused</t>
        </is>
      </c>
      <c r="F4" s="7" t="inlineStr">
        <is>
          <t>Unused</t>
        </is>
      </c>
      <c r="G4" s="9" t="n">
        <v>46186</v>
      </c>
    </row>
    <row r="5">
      <c r="A5" s="10" t="inlineStr">
        <is>
          <t>Netflix</t>
        </is>
      </c>
      <c r="B5" s="10" t="inlineStr">
        <is>
          <t>News</t>
        </is>
      </c>
      <c r="C5" s="11" t="n">
        <v>13.59</v>
      </c>
      <c r="D5" s="12" t="n">
        <v>46189</v>
      </c>
      <c r="E5" s="10" t="inlineStr">
        <is>
          <t>Cancelled</t>
        </is>
      </c>
      <c r="F5" s="10" t="inlineStr">
        <is>
          <t>Duplicate</t>
        </is>
      </c>
      <c r="G5" s="12" t="n">
        <v>46189</v>
      </c>
    </row>
    <row r="6">
      <c r="A6" s="7" t="inlineStr">
        <is>
          <t>Netflix</t>
        </is>
      </c>
      <c r="B6" s="7" t="inlineStr">
        <is>
          <t>Finance</t>
        </is>
      </c>
      <c r="C6" s="8" t="n">
        <v>18.39</v>
      </c>
      <c r="D6" s="9" t="n">
        <v>46195</v>
      </c>
      <c r="E6" s="7" t="inlineStr">
        <is>
          <t>Free Trial</t>
        </is>
      </c>
      <c r="F6" s="7" t="inlineStr">
        <is>
          <t>Essential</t>
        </is>
      </c>
      <c r="G6" s="9" t="n">
        <v>46195</v>
      </c>
    </row>
    <row r="7">
      <c r="A7" s="10" t="inlineStr"/>
      <c r="B7" s="10" t="inlineStr">
        <is>
          <t>Food</t>
        </is>
      </c>
      <c r="C7" s="11" t="n">
        <v>9.59</v>
      </c>
      <c r="D7" s="12" t="n">
        <v>46201</v>
      </c>
      <c r="E7" s="10" t="inlineStr">
        <is>
          <t>Active</t>
        </is>
      </c>
      <c r="F7" s="10" t="inlineStr">
        <is>
          <t>Nice to Have</t>
        </is>
      </c>
      <c r="G7" s="12" t="n">
        <v>46201</v>
      </c>
    </row>
    <row r="8">
      <c r="A8" s="7" t="inlineStr">
        <is>
          <t>Netflix</t>
        </is>
      </c>
      <c r="B8" s="7" t="inlineStr">
        <is>
          <t>Shopping</t>
        </is>
      </c>
      <c r="C8" s="8" t="n">
        <v>23.19</v>
      </c>
      <c r="D8" s="9" t="n">
        <v>46176</v>
      </c>
      <c r="E8" s="7" t="inlineStr">
        <is>
          <t>Unused</t>
        </is>
      </c>
      <c r="F8" s="7" t="inlineStr">
        <is>
          <t>Unused</t>
        </is>
      </c>
      <c r="G8" s="9" t="n">
        <v>46176</v>
      </c>
    </row>
    <row r="9">
      <c r="A9" s="10" t="inlineStr">
        <is>
          <t>Netflix</t>
        </is>
      </c>
      <c r="B9" s="10" t="inlineStr">
        <is>
          <t>Work Tools</t>
        </is>
      </c>
      <c r="C9" s="11" t="n">
        <v>15.19</v>
      </c>
      <c r="D9" s="12" t="n">
        <v>46182</v>
      </c>
      <c r="E9" s="10" t="inlineStr">
        <is>
          <t>Paused</t>
        </is>
      </c>
      <c r="F9" s="10" t="inlineStr">
        <is>
          <t>Duplicate</t>
        </is>
      </c>
      <c r="G9" s="12" t="n">
        <v>46182</v>
      </c>
    </row>
    <row r="10">
      <c r="A10" s="7" t="inlineStr"/>
      <c r="B10" s="7" t="inlineStr">
        <is>
          <t>Other</t>
        </is>
      </c>
      <c r="C10" s="8" t="n">
        <v>19.99</v>
      </c>
      <c r="D10" s="9" t="n">
        <v>46188</v>
      </c>
      <c r="E10" s="7" t="inlineStr">
        <is>
          <t>Cancelled</t>
        </is>
      </c>
      <c r="F10" s="7" t="inlineStr">
        <is>
          <t>Essential</t>
        </is>
      </c>
      <c r="G10" s="9" t="n">
        <v>46188</v>
      </c>
    </row>
    <row r="11">
      <c r="A11" s="10" t="inlineStr">
        <is>
          <t>Netflix</t>
        </is>
      </c>
      <c r="B11" s="10" t="inlineStr">
        <is>
          <t>Entertainment</t>
        </is>
      </c>
      <c r="C11" s="11" t="n">
        <v>12.79</v>
      </c>
      <c r="D11" s="12" t="n">
        <v>46191</v>
      </c>
      <c r="E11" s="10" t="inlineStr">
        <is>
          <t>Free Trial</t>
        </is>
      </c>
      <c r="F11" s="10" t="inlineStr">
        <is>
          <t>Nice to Have</t>
        </is>
      </c>
      <c r="G11" s="12" t="n">
        <v>46191</v>
      </c>
    </row>
    <row r="12">
      <c r="A12" s="7" t="inlineStr">
        <is>
          <t>Netflix</t>
        </is>
      </c>
      <c r="B12" s="7" t="inlineStr">
        <is>
          <t>Productivity</t>
        </is>
      </c>
      <c r="C12" s="8" t="n">
        <v>17.59</v>
      </c>
      <c r="D12" s="9" t="n">
        <v>46197</v>
      </c>
      <c r="E12" s="7" t="inlineStr">
        <is>
          <t>Active</t>
        </is>
      </c>
      <c r="F12" s="7" t="inlineStr">
        <is>
          <t>Unused</t>
        </is>
      </c>
      <c r="G12" s="9" t="n">
        <v>46197</v>
      </c>
    </row>
    <row r="13">
      <c r="A13" s="10" t="inlineStr"/>
      <c r="B13" s="10" t="inlineStr">
        <is>
          <t>Health</t>
        </is>
      </c>
      <c r="C13" s="11" t="n">
        <v>11.99</v>
      </c>
      <c r="D13" s="12" t="n">
        <v>46175</v>
      </c>
      <c r="E13" s="10" t="inlineStr">
        <is>
          <t>Unused</t>
        </is>
      </c>
      <c r="F13" s="10" t="inlineStr">
        <is>
          <t>Duplicate</t>
        </is>
      </c>
      <c r="G13" s="12" t="n">
        <v>46175</v>
      </c>
    </row>
  </sheetData>
  <dataValidations count="3">
    <dataValidation sqref="B2:B500" showDropDown="0" showInputMessage="0" showErrorMessage="0" allowBlank="1" type="list">
      <formula1>"Entertainment,Productivity,Health,News,Finance,Food,Shopping,Work Tools,Other"</formula1>
    </dataValidation>
    <dataValidation sqref="E2:E500" showDropDown="0" showInputMessage="0" showErrorMessage="0" allowBlank="1" type="list">
      <formula1>"Active,Unused,Paused,Cancelled,Free Trial"</formula1>
    </dataValidation>
    <dataValidation sqref="F2:F500" showDropDown="0" showInputMessage="0" showErrorMessage="0" allowBlank="1" type="list">
      <formula1>"Essential,Nice to Have,Unused,Duplicate"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SUBSCRIPTION &amp; EXPENSE TRACKER — DASHBOARD</t>
        </is>
      </c>
    </row>
    <row r="4">
      <c r="B4" s="14" t="inlineStr">
        <is>
          <t>MONTHLY TOTAL $</t>
        </is>
      </c>
      <c r="D4" s="15" t="inlineStr">
        <is>
          <t>ANNUAL TOTAL $</t>
        </is>
      </c>
      <c r="F4" s="16" t="inlineStr">
        <is>
          <t>ACTIVE SUBS</t>
        </is>
      </c>
      <c r="H4" s="14" t="inlineStr">
        <is>
          <t>UNUSED (CANCEL!)</t>
        </is>
      </c>
    </row>
    <row r="5" ht="26" customHeight="1">
      <c r="B5" s="17">
        <f>SUMIF(Subscriptions!E:E,"Active",Subscriptions!C:C)</f>
        <v/>
      </c>
      <c r="D5" s="18">
        <f>SUMIF(Subscriptions!E:E,"Active",Subscriptions!C:C)*12</f>
        <v/>
      </c>
      <c r="F5" s="19">
        <f>COUNTIF(Subscriptions!E:E,"Active")</f>
        <v/>
      </c>
      <c r="H5" s="17">
        <f>COUNTIF(Subscriptions!E:E,"Unused")</f>
        <v/>
      </c>
    </row>
    <row r="8">
      <c r="B8" s="20" t="inlineStr">
        <is>
          <t>WHAT'S INSIDE</t>
        </is>
      </c>
    </row>
    <row r="9">
      <c r="B9" s="21" t="inlineStr">
        <is>
          <t>🔄  Subscriptions — All subscriptions with cost, renewal date, and usefulness.</t>
        </is>
      </c>
    </row>
    <row r="10">
      <c r="B10" s="21" t="inlineStr">
        <is>
          <t>❌  Cancelled — Cancelled subscriptions and money saved.</t>
        </is>
      </c>
    </row>
    <row r="11">
      <c r="B11" s="21" t="inlineStr">
        <is>
          <t>📅  Annual View — Annual subscription cost by category.</t>
        </is>
      </c>
    </row>
    <row r="12">
      <c r="B12" s="21" t="inlineStr">
        <is>
          <t>📊  Savings Report — Subscription audit: what you can cancel to save money.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>
      <c r="A1" s="6" t="inlineStr">
        <is>
          <t>Service</t>
        </is>
      </c>
      <c r="B1" s="6" t="inlineStr">
        <is>
          <t>Monthly Was $</t>
        </is>
      </c>
      <c r="C1" s="6" t="inlineStr">
        <is>
          <t>Cancelled Date</t>
        </is>
      </c>
      <c r="D1" s="6" t="inlineStr">
        <is>
          <t>Annual Saved $</t>
        </is>
      </c>
      <c r="E1" s="6" t="inlineStr">
        <is>
          <t>Reason</t>
        </is>
      </c>
    </row>
    <row r="2">
      <c r="A2" s="7" t="inlineStr">
        <is>
          <t>Adobe CC</t>
        </is>
      </c>
      <c r="B2" s="7" t="n">
        <v>54.99</v>
      </c>
      <c r="C2" s="9" t="n">
        <v>46174</v>
      </c>
      <c r="D2" s="7">
        <f>C2*12</f>
        <v/>
      </c>
      <c r="E2" s="7" t="inlineStr">
        <is>
          <t>Switched to free alternative</t>
        </is>
      </c>
    </row>
    <row r="3">
      <c r="A3" s="10" t="inlineStr">
        <is>
          <t>Adobe CC</t>
        </is>
      </c>
      <c r="B3" s="10" t="n">
        <v>38.49</v>
      </c>
      <c r="C3" s="12" t="n">
        <v>46180</v>
      </c>
      <c r="D3" s="10">
        <f>C3*12</f>
        <v/>
      </c>
      <c r="E3" s="10" t="inlineStr">
        <is>
          <t>Switched to free alternative</t>
        </is>
      </c>
    </row>
    <row r="4">
      <c r="A4" s="7" t="inlineStr"/>
      <c r="B4" s="7" t="n">
        <v>71.48999999999999</v>
      </c>
      <c r="C4" s="9" t="n">
        <v>46186</v>
      </c>
      <c r="D4" s="7">
        <f>C4*12</f>
        <v/>
      </c>
      <c r="E4" s="7" t="inlineStr"/>
    </row>
    <row r="5">
      <c r="A5" s="10" t="inlineStr">
        <is>
          <t>Adobe CC</t>
        </is>
      </c>
      <c r="B5" s="10" t="n">
        <v>46.74</v>
      </c>
      <c r="C5" s="12" t="n">
        <v>46189</v>
      </c>
      <c r="D5" s="10">
        <f>C5*12</f>
        <v/>
      </c>
      <c r="E5" s="10" t="inlineStr">
        <is>
          <t>Switched to free alternative</t>
        </is>
      </c>
    </row>
    <row r="6">
      <c r="A6" s="7" t="inlineStr">
        <is>
          <t>Adobe CC</t>
        </is>
      </c>
      <c r="B6" s="7" t="n">
        <v>63.24</v>
      </c>
      <c r="C6" s="9" t="n">
        <v>46195</v>
      </c>
      <c r="D6" s="7">
        <f>C6*12</f>
        <v/>
      </c>
      <c r="E6" s="7" t="inlineStr">
        <is>
          <t>Switched to free alternative</t>
        </is>
      </c>
    </row>
    <row r="7">
      <c r="A7" s="10" t="inlineStr"/>
      <c r="B7" s="10" t="n">
        <v>32.99</v>
      </c>
      <c r="C7" s="12" t="n">
        <v>46201</v>
      </c>
      <c r="D7" s="10">
        <f>C7*12</f>
        <v/>
      </c>
      <c r="E7" s="10" t="inlineStr"/>
    </row>
    <row r="8">
      <c r="A8" s="7" t="inlineStr">
        <is>
          <t>Adobe CC</t>
        </is>
      </c>
      <c r="B8" s="7" t="n">
        <v>79.73999999999999</v>
      </c>
      <c r="C8" s="9" t="n">
        <v>46176</v>
      </c>
      <c r="D8" s="7">
        <f>C8*12</f>
        <v/>
      </c>
      <c r="E8" s="7" t="inlineStr">
        <is>
          <t>Switched to free alternative</t>
        </is>
      </c>
    </row>
    <row r="9">
      <c r="A9" s="10" t="inlineStr">
        <is>
          <t>Adobe CC</t>
        </is>
      </c>
      <c r="B9" s="10" t="n">
        <v>52.24</v>
      </c>
      <c r="C9" s="12" t="n">
        <v>46182</v>
      </c>
      <c r="D9" s="10">
        <f>C9*12</f>
        <v/>
      </c>
      <c r="E9" s="10" t="inlineStr">
        <is>
          <t>Switched to free alternative</t>
        </is>
      </c>
    </row>
    <row r="10">
      <c r="A10" s="7" t="inlineStr"/>
      <c r="B10" s="7" t="n">
        <v>68.73999999999999</v>
      </c>
      <c r="C10" s="9" t="n">
        <v>46188</v>
      </c>
      <c r="D10" s="7">
        <f>C10*12</f>
        <v/>
      </c>
      <c r="E10" s="7" t="inlineStr"/>
    </row>
    <row r="11">
      <c r="A11" s="10" t="inlineStr">
        <is>
          <t>Adobe CC</t>
        </is>
      </c>
      <c r="B11" s="10" t="n">
        <v>43.99</v>
      </c>
      <c r="C11" s="12" t="n">
        <v>46191</v>
      </c>
      <c r="D11" s="10">
        <f>C11*12</f>
        <v/>
      </c>
      <c r="E11" s="10" t="inlineStr">
        <is>
          <t>Switched to free alternative</t>
        </is>
      </c>
    </row>
    <row r="12">
      <c r="A12" s="7" t="inlineStr">
        <is>
          <t>Adobe CC</t>
        </is>
      </c>
      <c r="B12" s="7" t="n">
        <v>60.49</v>
      </c>
      <c r="C12" s="9" t="n">
        <v>46197</v>
      </c>
      <c r="D12" s="7">
        <f>C12*12</f>
        <v/>
      </c>
      <c r="E12" s="7" t="inlineStr">
        <is>
          <t>Switched to free alternative</t>
        </is>
      </c>
    </row>
    <row r="13">
      <c r="A13" s="10" t="inlineStr"/>
      <c r="B13" s="10" t="n">
        <v>41.24</v>
      </c>
      <c r="C13" s="12" t="n">
        <v>46175</v>
      </c>
      <c r="D13" s="10">
        <f>C13*12</f>
        <v/>
      </c>
      <c r="E13" s="10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2" customWidth="1" min="4" max="4"/>
  </cols>
  <sheetData>
    <row r="1">
      <c r="A1" s="6" t="inlineStr">
        <is>
          <t>Category</t>
        </is>
      </c>
      <c r="B1" s="6" t="inlineStr">
        <is>
          <t>Monthly $</t>
        </is>
      </c>
      <c r="C1" s="6" t="inlineStr">
        <is>
          <t>Annual $</t>
        </is>
      </c>
      <c r="D1" s="6" t="inlineStr">
        <is>
          <t>Count</t>
        </is>
      </c>
    </row>
    <row r="2">
      <c r="A2" s="7" t="inlineStr">
        <is>
          <t>Entertainment</t>
        </is>
      </c>
      <c r="B2" s="7" t="n">
        <v>45</v>
      </c>
      <c r="C2" s="7">
        <f>C2*12</f>
        <v/>
      </c>
      <c r="D2" s="7" t="n">
        <v>3</v>
      </c>
    </row>
    <row r="3">
      <c r="A3" s="10" t="inlineStr">
        <is>
          <t>Entertainment</t>
        </is>
      </c>
      <c r="B3" s="10" t="n">
        <v>31.5</v>
      </c>
      <c r="C3" s="10">
        <f>C3*12</f>
        <v/>
      </c>
      <c r="D3" s="10" t="n">
        <v>2.1</v>
      </c>
    </row>
    <row r="4">
      <c r="A4" s="7" t="inlineStr"/>
      <c r="B4" s="7" t="n">
        <v>58.5</v>
      </c>
      <c r="C4" s="7">
        <f>C4*12</f>
        <v/>
      </c>
      <c r="D4" s="7" t="n">
        <v>3.9</v>
      </c>
    </row>
    <row r="5">
      <c r="A5" s="10" t="inlineStr">
        <is>
          <t>Entertainment</t>
        </is>
      </c>
      <c r="B5" s="10" t="n">
        <v>38.25</v>
      </c>
      <c r="C5" s="10">
        <f>C5*12</f>
        <v/>
      </c>
      <c r="D5" s="10" t="n">
        <v>2.55</v>
      </c>
    </row>
    <row r="6">
      <c r="A6" s="7" t="inlineStr">
        <is>
          <t>Entertainment</t>
        </is>
      </c>
      <c r="B6" s="7" t="n">
        <v>51.75</v>
      </c>
      <c r="C6" s="7">
        <f>C6*12</f>
        <v/>
      </c>
      <c r="D6" s="7" t="n">
        <v>3.45</v>
      </c>
    </row>
    <row r="7">
      <c r="A7" s="10" t="inlineStr"/>
      <c r="B7" s="10" t="n">
        <v>27</v>
      </c>
      <c r="C7" s="10">
        <f>C7*12</f>
        <v/>
      </c>
      <c r="D7" s="10" t="n">
        <v>1.8</v>
      </c>
    </row>
    <row r="8">
      <c r="A8" s="7" t="inlineStr">
        <is>
          <t>Entertainment</t>
        </is>
      </c>
      <c r="B8" s="7" t="n">
        <v>65.25</v>
      </c>
      <c r="C8" s="7">
        <f>C8*12</f>
        <v/>
      </c>
      <c r="D8" s="7" t="n">
        <v>4.35</v>
      </c>
    </row>
    <row r="9">
      <c r="A9" s="10" t="inlineStr">
        <is>
          <t>Entertainment</t>
        </is>
      </c>
      <c r="B9" s="10" t="n">
        <v>42.75</v>
      </c>
      <c r="C9" s="10">
        <f>C9*12</f>
        <v/>
      </c>
      <c r="D9" s="10" t="n">
        <v>2.85</v>
      </c>
    </row>
    <row r="10">
      <c r="A10" s="7" t="inlineStr"/>
      <c r="B10" s="7" t="n">
        <v>56.25</v>
      </c>
      <c r="C10" s="7">
        <f>C10*12</f>
        <v/>
      </c>
      <c r="D10" s="7" t="n">
        <v>3.75</v>
      </c>
    </row>
    <row r="11">
      <c r="A11" s="10" t="inlineStr">
        <is>
          <t>Entertainment</t>
        </is>
      </c>
      <c r="B11" s="10" t="n">
        <v>36</v>
      </c>
      <c r="C11" s="10">
        <f>C11*12</f>
        <v/>
      </c>
      <c r="D11" s="10" t="n">
        <v>2.4</v>
      </c>
    </row>
    <row r="12">
      <c r="A12" s="7" t="inlineStr">
        <is>
          <t>Entertainment</t>
        </is>
      </c>
      <c r="B12" s="7" t="n">
        <v>49.5</v>
      </c>
      <c r="C12" s="7">
        <f>C12*12</f>
        <v/>
      </c>
      <c r="D12" s="7" t="n">
        <v>3.3</v>
      </c>
    </row>
    <row r="13">
      <c r="A13" s="10" t="inlineStr"/>
      <c r="B13" s="10" t="n">
        <v>33.75</v>
      </c>
      <c r="C13" s="10">
        <f>C13*12</f>
        <v/>
      </c>
      <c r="D13" s="10" t="n">
        <v>2.25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2" t="inlineStr">
        <is>
          <t>📈  SAVINGS REPORT</t>
        </is>
      </c>
    </row>
    <row r="4">
      <c r="B4" s="3" t="inlineStr">
        <is>
          <t>Subscription Summary</t>
        </is>
      </c>
    </row>
    <row r="5">
      <c r="B5" s="10" t="inlineStr">
        <is>
          <t>Monthly Total</t>
        </is>
      </c>
      <c r="C5" s="23">
        <f>SUMIF(Subscriptions!E:E,"Active",Subscriptions!C:C)</f>
        <v/>
      </c>
    </row>
    <row r="6">
      <c r="B6" s="7" t="inlineStr">
        <is>
          <t>Annual Total</t>
        </is>
      </c>
      <c r="C6" s="24">
        <f>SUMIF(Subscriptions!E:E,"Active",Subscriptions!C:C)*12</f>
        <v/>
      </c>
    </row>
    <row r="7">
      <c r="B7" s="10" t="inlineStr">
        <is>
          <t>Annual Savings (Cancelled)</t>
        </is>
      </c>
      <c r="C7" s="25">
        <f>SUMPRODUCT(Cancelled!C:C)*12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