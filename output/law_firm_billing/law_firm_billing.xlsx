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imeEntries" sheetId="2" state="visible" r:id="rId2"/>
    <sheet name="Dashboard" sheetId="3" state="visible" r:id="rId3"/>
    <sheet name="Clients" sheetId="4" state="visible" r:id="rId4"/>
    <sheet name="Invoices" sheetId="5" state="visible" r:id="rId5"/>
    <sheet name="Re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20617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1D4ED8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20617"/>
      </patternFill>
    </fill>
    <fill>
      <patternFill patternType="solid">
        <fgColor rgb="00FFF7F0"/>
      </patternFill>
    </fill>
    <fill>
      <patternFill patternType="solid">
        <fgColor rgb="001D4ED8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⚖️  LAW FIRM BILLING TRACKER</t>
        </is>
      </c>
    </row>
    <row r="3"/>
    <row r="4">
      <c r="B4" s="2" t="inlineStr">
        <is>
          <t>Attorney Hours &amp; Client Billing Google Sheets</t>
        </is>
      </c>
    </row>
    <row r="6">
      <c r="B6" s="3" t="inlineStr">
        <is>
          <t>STEP 1 — Fill in “TimeEntries”</t>
        </is>
      </c>
    </row>
    <row r="7" ht="28" customHeight="1">
      <c r="B7" s="4" t="inlineStr">
        <is>
          <t>Daily time entries by attorney, matter, and activity.</t>
        </is>
      </c>
    </row>
    <row r="9">
      <c r="B9" s="3" t="inlineStr">
        <is>
          <t>STEP 2 — Fill in “Clients”</t>
        </is>
      </c>
    </row>
    <row r="10" ht="28" customHeight="1">
      <c r="B10" s="4" t="inlineStr">
        <is>
          <t>Client directory with retainer and billing rate.</t>
        </is>
      </c>
    </row>
    <row r="12">
      <c r="B12" s="3" t="inlineStr">
        <is>
          <t>STEP 3 — Fill in “Invoices”</t>
        </is>
      </c>
    </row>
    <row r="13" ht="28" customHeight="1">
      <c r="B13" s="4" t="inlineStr">
        <is>
          <t>Client invoices with due date and payment status.</t>
        </is>
      </c>
    </row>
    <row r="15">
      <c r="B15" s="3" t="inlineStr">
        <is>
          <t>STEP 4 — Fill in “Reports”</t>
        </is>
      </c>
    </row>
    <row r="16" ht="28" customHeight="1">
      <c r="B16" s="4" t="inlineStr">
        <is>
          <t>Monthly billing performance report by attorney.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8" customWidth="1" min="4" max="4"/>
    <col width="10" customWidth="1" min="5" max="5"/>
    <col width="12" customWidth="1" min="6" max="6"/>
    <col width="14" customWidth="1" min="7" max="7"/>
    <col width="22" customWidth="1" min="8" max="8"/>
    <col width="12" customWidth="1" min="9" max="9"/>
  </cols>
  <sheetData>
    <row r="1">
      <c r="A1" s="6" t="inlineStr">
        <is>
          <t>Date</t>
        </is>
      </c>
      <c r="B1" s="6" t="inlineStr">
        <is>
          <t>Attorney</t>
        </is>
      </c>
      <c r="C1" s="6" t="inlineStr">
        <is>
          <t>Client</t>
        </is>
      </c>
      <c r="D1" s="6" t="inlineStr">
        <is>
          <t>Matter</t>
        </is>
      </c>
      <c r="E1" s="6" t="inlineStr">
        <is>
          <t>Hours</t>
        </is>
      </c>
      <c r="F1" s="6" t="inlineStr">
        <is>
          <t>Rate $/hr</t>
        </is>
      </c>
      <c r="G1" s="6" t="inlineStr">
        <is>
          <t>Amount $</t>
        </is>
      </c>
      <c r="H1" s="6" t="inlineStr">
        <is>
          <t>Activity</t>
        </is>
      </c>
      <c r="I1" s="6" t="inlineStr">
        <is>
          <t>Billable?</t>
        </is>
      </c>
    </row>
    <row r="2">
      <c r="A2" s="7" t="n">
        <v>46174</v>
      </c>
      <c r="B2" s="8" t="inlineStr">
        <is>
          <t>J. Martinez</t>
        </is>
      </c>
      <c r="C2" s="8" t="inlineStr">
        <is>
          <t>Alex Martin</t>
        </is>
      </c>
      <c r="D2" s="8" t="inlineStr">
        <is>
          <t>Smith - Contract Dispute</t>
        </is>
      </c>
      <c r="E2" s="8" t="n">
        <v>2.5</v>
      </c>
      <c r="F2" s="8" t="n">
        <v>350</v>
      </c>
      <c r="G2" s="8">
        <f>E2*F2</f>
        <v/>
      </c>
      <c r="H2" s="8" t="inlineStr">
        <is>
          <t>Research</t>
        </is>
      </c>
      <c r="I2" s="8" t="inlineStr">
        <is>
          <t>Yes</t>
        </is>
      </c>
    </row>
    <row r="3">
      <c r="A3" s="9" t="n">
        <v>46180</v>
      </c>
      <c r="B3" s="10" t="inlineStr">
        <is>
          <t>J. Martinez</t>
        </is>
      </c>
      <c r="C3" s="10" t="inlineStr">
        <is>
          <t>Sara Lopez</t>
        </is>
      </c>
      <c r="D3" s="10" t="inlineStr">
        <is>
          <t>Smith - Contract Dispute</t>
        </is>
      </c>
      <c r="E3" s="10" t="n">
        <v>1.75</v>
      </c>
      <c r="F3" s="10" t="n">
        <v>245</v>
      </c>
      <c r="G3" s="10">
        <f>E3*F3</f>
        <v/>
      </c>
      <c r="H3" s="10" t="inlineStr">
        <is>
          <t>Drafting</t>
        </is>
      </c>
      <c r="I3" s="10" t="inlineStr">
        <is>
          <t>No</t>
        </is>
      </c>
    </row>
    <row r="4">
      <c r="A4" s="7" t="n">
        <v>46186</v>
      </c>
      <c r="B4" s="8" t="inlineStr"/>
      <c r="C4" s="8" t="inlineStr">
        <is>
          <t>Omar Haddad</t>
        </is>
      </c>
      <c r="D4" s="8" t="inlineStr"/>
      <c r="E4" s="8" t="n">
        <v>3.25</v>
      </c>
      <c r="F4" s="8" t="n">
        <v>455</v>
      </c>
      <c r="G4" s="8">
        <f>E4*F4</f>
        <v/>
      </c>
      <c r="H4" s="8" t="inlineStr">
        <is>
          <t>Review</t>
        </is>
      </c>
      <c r="I4" s="8" t="inlineStr">
        <is>
          <t>Write-off</t>
        </is>
      </c>
    </row>
    <row r="5">
      <c r="A5" s="9" t="n">
        <v>46189</v>
      </c>
      <c r="B5" s="10" t="inlineStr">
        <is>
          <t>J. Martinez</t>
        </is>
      </c>
      <c r="C5" s="10" t="inlineStr">
        <is>
          <t>Emma Fischer</t>
        </is>
      </c>
      <c r="D5" s="10" t="inlineStr">
        <is>
          <t>Smith - Contract Dispute</t>
        </is>
      </c>
      <c r="E5" s="10" t="n">
        <v>2.12</v>
      </c>
      <c r="F5" s="10" t="n">
        <v>298</v>
      </c>
      <c r="G5" s="10">
        <f>E5*F5</f>
        <v/>
      </c>
      <c r="H5" s="10" t="inlineStr">
        <is>
          <t>Call</t>
        </is>
      </c>
      <c r="I5" s="10" t="inlineStr">
        <is>
          <t>Yes</t>
        </is>
      </c>
    </row>
    <row r="6">
      <c r="A6" s="7" t="n">
        <v>46195</v>
      </c>
      <c r="B6" s="8" t="inlineStr">
        <is>
          <t>J. Martinez</t>
        </is>
      </c>
      <c r="C6" s="8" t="inlineStr">
        <is>
          <t>Liam Carter</t>
        </is>
      </c>
      <c r="D6" s="8" t="inlineStr">
        <is>
          <t>Smith - Contract Dispute</t>
        </is>
      </c>
      <c r="E6" s="8" t="n">
        <v>2.88</v>
      </c>
      <c r="F6" s="8" t="n">
        <v>402</v>
      </c>
      <c r="G6" s="8">
        <f>E6*F6</f>
        <v/>
      </c>
      <c r="H6" s="8" t="inlineStr">
        <is>
          <t>Court</t>
        </is>
      </c>
      <c r="I6" s="8" t="inlineStr">
        <is>
          <t>No</t>
        </is>
      </c>
    </row>
    <row r="7">
      <c r="A7" s="9" t="n">
        <v>46201</v>
      </c>
      <c r="B7" s="10" t="inlineStr"/>
      <c r="C7" s="10" t="inlineStr">
        <is>
          <t>Nadia Rahali</t>
        </is>
      </c>
      <c r="D7" s="10" t="inlineStr"/>
      <c r="E7" s="10" t="n">
        <v>1.5</v>
      </c>
      <c r="F7" s="10" t="n">
        <v>210</v>
      </c>
      <c r="G7" s="10">
        <f>E7*F7</f>
        <v/>
      </c>
      <c r="H7" s="10" t="inlineStr">
        <is>
          <t>Negotiation</t>
        </is>
      </c>
      <c r="I7" s="10" t="inlineStr">
        <is>
          <t>Write-off</t>
        </is>
      </c>
    </row>
    <row r="8">
      <c r="A8" s="7" t="n">
        <v>46176</v>
      </c>
      <c r="B8" s="8" t="inlineStr">
        <is>
          <t>J. Martinez</t>
        </is>
      </c>
      <c r="C8" s="8" t="inlineStr">
        <is>
          <t>Tom Becker</t>
        </is>
      </c>
      <c r="D8" s="8" t="inlineStr">
        <is>
          <t>Smith - Contract Dispute</t>
        </is>
      </c>
      <c r="E8" s="8" t="n">
        <v>3.62</v>
      </c>
      <c r="F8" s="8" t="n">
        <v>508</v>
      </c>
      <c r="G8" s="8">
        <f>E8*F8</f>
        <v/>
      </c>
      <c r="H8" s="8" t="inlineStr">
        <is>
          <t>Travel</t>
        </is>
      </c>
      <c r="I8" s="8" t="inlineStr">
        <is>
          <t>Yes</t>
        </is>
      </c>
    </row>
    <row r="9">
      <c r="A9" s="9" t="n">
        <v>46182</v>
      </c>
      <c r="B9" s="10" t="inlineStr">
        <is>
          <t>J. Martinez</t>
        </is>
      </c>
      <c r="C9" s="10" t="inlineStr">
        <is>
          <t>Julia Romero</t>
        </is>
      </c>
      <c r="D9" s="10" t="inlineStr">
        <is>
          <t>Smith - Contract Dispute</t>
        </is>
      </c>
      <c r="E9" s="10" t="n">
        <v>2.38</v>
      </c>
      <c r="F9" s="10" t="n">
        <v>332</v>
      </c>
      <c r="G9" s="10">
        <f>E9*F9</f>
        <v/>
      </c>
      <c r="H9" s="10" t="inlineStr">
        <is>
          <t>Admin</t>
        </is>
      </c>
      <c r="I9" s="10" t="inlineStr">
        <is>
          <t>No</t>
        </is>
      </c>
    </row>
    <row r="10">
      <c r="A10" s="7" t="n">
        <v>46188</v>
      </c>
      <c r="B10" s="8" t="inlineStr"/>
      <c r="C10" s="8" t="inlineStr">
        <is>
          <t>Karim Ziani</t>
        </is>
      </c>
      <c r="D10" s="8" t="inlineStr"/>
      <c r="E10" s="8" t="n">
        <v>3.12</v>
      </c>
      <c r="F10" s="8" t="n">
        <v>438</v>
      </c>
      <c r="G10" s="8">
        <f>E10*F10</f>
        <v/>
      </c>
      <c r="H10" s="8" t="inlineStr">
        <is>
          <t>Research</t>
        </is>
      </c>
      <c r="I10" s="8" t="inlineStr">
        <is>
          <t>Write-off</t>
        </is>
      </c>
    </row>
    <row r="11">
      <c r="A11" s="9" t="n">
        <v>46191</v>
      </c>
      <c r="B11" s="10" t="inlineStr">
        <is>
          <t>J. Martinez</t>
        </is>
      </c>
      <c r="C11" s="10" t="inlineStr">
        <is>
          <t>Anna Kowalska</t>
        </is>
      </c>
      <c r="D11" s="10" t="inlineStr">
        <is>
          <t>Smith - Contract Dispute</t>
        </is>
      </c>
      <c r="E11" s="10" t="n">
        <v>2</v>
      </c>
      <c r="F11" s="10" t="n">
        <v>280</v>
      </c>
      <c r="G11" s="10">
        <f>E11*F11</f>
        <v/>
      </c>
      <c r="H11" s="10" t="inlineStr">
        <is>
          <t>Drafting</t>
        </is>
      </c>
      <c r="I11" s="10" t="inlineStr">
        <is>
          <t>Yes</t>
        </is>
      </c>
    </row>
    <row r="12">
      <c r="A12" s="7" t="n">
        <v>46197</v>
      </c>
      <c r="B12" s="8" t="inlineStr">
        <is>
          <t>J. Martinez</t>
        </is>
      </c>
      <c r="C12" s="8" t="inlineStr">
        <is>
          <t>David Chen</t>
        </is>
      </c>
      <c r="D12" s="8" t="inlineStr">
        <is>
          <t>Smith - Contract Dispute</t>
        </is>
      </c>
      <c r="E12" s="8" t="n">
        <v>2.75</v>
      </c>
      <c r="F12" s="8" t="n">
        <v>385</v>
      </c>
      <c r="G12" s="8">
        <f>E12*F12</f>
        <v/>
      </c>
      <c r="H12" s="8" t="inlineStr">
        <is>
          <t>Review</t>
        </is>
      </c>
      <c r="I12" s="8" t="inlineStr">
        <is>
          <t>No</t>
        </is>
      </c>
    </row>
    <row r="13">
      <c r="A13" s="9" t="n">
        <v>46175</v>
      </c>
      <c r="B13" s="10" t="inlineStr"/>
      <c r="C13" s="10" t="inlineStr">
        <is>
          <t>Lea Moreau</t>
        </is>
      </c>
      <c r="D13" s="10" t="inlineStr"/>
      <c r="E13" s="10" t="n">
        <v>1.88</v>
      </c>
      <c r="F13" s="10" t="n">
        <v>262</v>
      </c>
      <c r="G13" s="10">
        <f>E13*F13</f>
        <v/>
      </c>
      <c r="H13" s="10" t="inlineStr">
        <is>
          <t>Call</t>
        </is>
      </c>
      <c r="I13" s="10" t="inlineStr">
        <is>
          <t>Write-off</t>
        </is>
      </c>
    </row>
  </sheetData>
  <dataValidations count="2">
    <dataValidation sqref="H2:H500" showDropDown="0" showInputMessage="0" showErrorMessage="0" allowBlank="1" type="list">
      <formula1>"Research,Drafting,Review,Call,Court,Negotiation,Travel,Admin"</formula1>
    </dataValidation>
    <dataValidation sqref="I2:I500" showDropDown="0" showInputMessage="0" showErrorMessage="0" allowBlank="1" type="list">
      <formula1>"Yes,No,Write-off"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LAW FIRM BILLING TRACKER — DASHBOARD</t>
        </is>
      </c>
    </row>
    <row r="4">
      <c r="B4" s="12" t="inlineStr">
        <is>
          <t>TOTAL BILLABLE HRS</t>
        </is>
      </c>
      <c r="D4" s="13" t="inlineStr">
        <is>
          <t>TOTAL BILLED $</t>
        </is>
      </c>
      <c r="F4" s="14" t="inlineStr">
        <is>
          <t>TOTAL COLLECTED $</t>
        </is>
      </c>
      <c r="H4" s="15" t="inlineStr">
        <is>
          <t>REALIZATION RATE %</t>
        </is>
      </c>
    </row>
    <row r="5" ht="26" customHeight="1">
      <c r="B5" s="16">
        <f>SUM(TimeEntries!E:E)</f>
        <v/>
      </c>
      <c r="D5" s="17">
        <f>SUM(Invoices!D:D)</f>
        <v/>
      </c>
      <c r="F5" s="18">
        <f>SUMIF(Invoices!G:G,"Paid",Invoices!D:D)</f>
        <v/>
      </c>
      <c r="H5" s="19">
        <f>SUMIF(Invoices!G:G,"Paid",Invoices!D:D)/SUM(Invoices!D:D)</f>
        <v/>
      </c>
    </row>
    <row r="8">
      <c r="B8" s="20" t="inlineStr">
        <is>
          <t>WHAT'S INSIDE</t>
        </is>
      </c>
    </row>
    <row r="9">
      <c r="B9" s="21" t="inlineStr">
        <is>
          <t>⏱️  TimeEntries — Daily time entries by attorney, matter, and activity.</t>
        </is>
      </c>
    </row>
    <row r="10">
      <c r="B10" s="21" t="inlineStr">
        <is>
          <t>👥  Clients — Client directory with retainer and billing rate.</t>
        </is>
      </c>
    </row>
    <row r="11">
      <c r="B11" s="21" t="inlineStr">
        <is>
          <t>🧾  Invoices — Client invoices with due date and payment status.</t>
        </is>
      </c>
    </row>
    <row r="12">
      <c r="B12" s="21" t="inlineStr">
        <is>
          <t>📋  Reports — Monthly billing performance report by attorney.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Client Name</t>
        </is>
      </c>
      <c r="B1" s="6" t="inlineStr">
        <is>
          <t>Contact</t>
        </is>
      </c>
      <c r="C1" s="6" t="inlineStr">
        <is>
          <t>Email</t>
        </is>
      </c>
      <c r="D1" s="6" t="inlineStr">
        <is>
          <t>Rate $/hr</t>
        </is>
      </c>
      <c r="E1" s="6" t="inlineStr">
        <is>
          <t>Retainer $</t>
        </is>
      </c>
      <c r="F1" s="6" t="inlineStr">
        <is>
          <t>Balance $</t>
        </is>
      </c>
      <c r="G1" s="6" t="inlineStr">
        <is>
          <t>Status</t>
        </is>
      </c>
    </row>
    <row r="2">
      <c r="A2" s="8" t="inlineStr">
        <is>
          <t>Alex Martin</t>
        </is>
      </c>
      <c r="B2" s="8" t="inlineStr">
        <is>
          <t>Alex Martin</t>
        </is>
      </c>
      <c r="C2" s="8" t="inlineStr">
        <is>
          <t>alex@mail.com</t>
        </is>
      </c>
      <c r="D2" s="8" t="n">
        <v>350</v>
      </c>
      <c r="E2" s="8" t="n">
        <v>5000</v>
      </c>
      <c r="F2" s="22" t="n">
        <v>3200</v>
      </c>
      <c r="G2" s="8" t="inlineStr">
        <is>
          <t>Active</t>
        </is>
      </c>
    </row>
    <row r="3">
      <c r="A3" s="10" t="inlineStr">
        <is>
          <t>Sara Lopez</t>
        </is>
      </c>
      <c r="B3" s="10" t="inlineStr">
        <is>
          <t>Sara Lopez</t>
        </is>
      </c>
      <c r="C3" s="10" t="inlineStr">
        <is>
          <t>sara@mail.com</t>
        </is>
      </c>
      <c r="D3" s="10" t="n">
        <v>245</v>
      </c>
      <c r="E3" s="10" t="n">
        <v>3500</v>
      </c>
      <c r="F3" s="23" t="n">
        <v>2240</v>
      </c>
      <c r="G3" s="10" t="inlineStr">
        <is>
          <t>Inactive</t>
        </is>
      </c>
    </row>
    <row r="4">
      <c r="A4" s="8" t="inlineStr">
        <is>
          <t>Omar Haddad</t>
        </is>
      </c>
      <c r="B4" s="8" t="inlineStr">
        <is>
          <t>Omar Haddad</t>
        </is>
      </c>
      <c r="C4" s="8" t="inlineStr">
        <is>
          <t>omar@mail.com</t>
        </is>
      </c>
      <c r="D4" s="8" t="n">
        <v>455</v>
      </c>
      <c r="E4" s="8" t="n">
        <v>6500</v>
      </c>
      <c r="F4" s="22" t="n">
        <v>4160</v>
      </c>
      <c r="G4" s="8" t="inlineStr">
        <is>
          <t>Prospective</t>
        </is>
      </c>
    </row>
    <row r="5">
      <c r="A5" s="10" t="inlineStr">
        <is>
          <t>Emma Fischer</t>
        </is>
      </c>
      <c r="B5" s="10" t="inlineStr">
        <is>
          <t>Emma Fischer</t>
        </is>
      </c>
      <c r="C5" s="10" t="inlineStr">
        <is>
          <t>emma@mail.com</t>
        </is>
      </c>
      <c r="D5" s="10" t="n">
        <v>298</v>
      </c>
      <c r="E5" s="10" t="n">
        <v>4250</v>
      </c>
      <c r="F5" s="23" t="n">
        <v>2720</v>
      </c>
      <c r="G5" s="10" t="inlineStr">
        <is>
          <t>Active</t>
        </is>
      </c>
    </row>
    <row r="6">
      <c r="A6" s="8" t="inlineStr">
        <is>
          <t>Liam Carter</t>
        </is>
      </c>
      <c r="B6" s="8" t="inlineStr">
        <is>
          <t>Liam Carter</t>
        </is>
      </c>
      <c r="C6" s="8" t="inlineStr">
        <is>
          <t>liam@mail.com</t>
        </is>
      </c>
      <c r="D6" s="8" t="n">
        <v>402</v>
      </c>
      <c r="E6" s="8" t="n">
        <v>5750</v>
      </c>
      <c r="F6" s="22" t="n">
        <v>3680</v>
      </c>
      <c r="G6" s="8" t="inlineStr">
        <is>
          <t>Inactive</t>
        </is>
      </c>
    </row>
    <row r="7">
      <c r="A7" s="10" t="inlineStr">
        <is>
          <t>Nadia Rahali</t>
        </is>
      </c>
      <c r="B7" s="10" t="inlineStr">
        <is>
          <t>Nadia Rahali</t>
        </is>
      </c>
      <c r="C7" s="10" t="inlineStr">
        <is>
          <t>nadia@mail.com</t>
        </is>
      </c>
      <c r="D7" s="10" t="n">
        <v>210</v>
      </c>
      <c r="E7" s="10" t="n">
        <v>3000</v>
      </c>
      <c r="F7" s="23" t="n">
        <v>1920</v>
      </c>
      <c r="G7" s="10" t="inlineStr">
        <is>
          <t>Prospective</t>
        </is>
      </c>
    </row>
    <row r="8">
      <c r="A8" s="8" t="inlineStr">
        <is>
          <t>Tom Becker</t>
        </is>
      </c>
      <c r="B8" s="8" t="inlineStr">
        <is>
          <t>Tom Becker</t>
        </is>
      </c>
      <c r="C8" s="8" t="inlineStr">
        <is>
          <t>tom@mail.com</t>
        </is>
      </c>
      <c r="D8" s="8" t="n">
        <v>508</v>
      </c>
      <c r="E8" s="8" t="n">
        <v>7250</v>
      </c>
      <c r="F8" s="22" t="n">
        <v>4640</v>
      </c>
      <c r="G8" s="8" t="inlineStr">
        <is>
          <t>Active</t>
        </is>
      </c>
    </row>
    <row r="9">
      <c r="A9" s="10" t="inlineStr">
        <is>
          <t>Julia Romero</t>
        </is>
      </c>
      <c r="B9" s="10" t="inlineStr">
        <is>
          <t>Julia Romero</t>
        </is>
      </c>
      <c r="C9" s="10" t="inlineStr">
        <is>
          <t>julia@mail.com</t>
        </is>
      </c>
      <c r="D9" s="10" t="n">
        <v>332</v>
      </c>
      <c r="E9" s="10" t="n">
        <v>4750</v>
      </c>
      <c r="F9" s="23" t="n">
        <v>3040</v>
      </c>
      <c r="G9" s="10" t="inlineStr">
        <is>
          <t>Inactive</t>
        </is>
      </c>
    </row>
    <row r="10">
      <c r="A10" s="8" t="inlineStr">
        <is>
          <t>Karim Ziani</t>
        </is>
      </c>
      <c r="B10" s="8" t="inlineStr">
        <is>
          <t>Karim Ziani</t>
        </is>
      </c>
      <c r="C10" s="8" t="inlineStr">
        <is>
          <t>karim@mail.com</t>
        </is>
      </c>
      <c r="D10" s="8" t="n">
        <v>438</v>
      </c>
      <c r="E10" s="8" t="n">
        <v>6250</v>
      </c>
      <c r="F10" s="22" t="n">
        <v>4000</v>
      </c>
      <c r="G10" s="8" t="inlineStr">
        <is>
          <t>Prospective</t>
        </is>
      </c>
    </row>
    <row r="11">
      <c r="A11" s="10" t="inlineStr">
        <is>
          <t>Anna Kowalska</t>
        </is>
      </c>
      <c r="B11" s="10" t="inlineStr">
        <is>
          <t>Anna Kowalska</t>
        </is>
      </c>
      <c r="C11" s="10" t="inlineStr">
        <is>
          <t>anna@mail.com</t>
        </is>
      </c>
      <c r="D11" s="10" t="n">
        <v>280</v>
      </c>
      <c r="E11" s="10" t="n">
        <v>4000</v>
      </c>
      <c r="F11" s="23" t="n">
        <v>2560</v>
      </c>
      <c r="G11" s="10" t="inlineStr">
        <is>
          <t>Active</t>
        </is>
      </c>
    </row>
    <row r="12">
      <c r="A12" s="8" t="inlineStr">
        <is>
          <t>David Chen</t>
        </is>
      </c>
      <c r="B12" s="8" t="inlineStr">
        <is>
          <t>David Chen</t>
        </is>
      </c>
      <c r="C12" s="8" t="inlineStr">
        <is>
          <t>david@mail.com</t>
        </is>
      </c>
      <c r="D12" s="8" t="n">
        <v>385</v>
      </c>
      <c r="E12" s="8" t="n">
        <v>5500</v>
      </c>
      <c r="F12" s="22" t="n">
        <v>3520</v>
      </c>
      <c r="G12" s="8" t="inlineStr">
        <is>
          <t>Inactive</t>
        </is>
      </c>
    </row>
    <row r="13">
      <c r="A13" s="10" t="inlineStr">
        <is>
          <t>Lea Moreau</t>
        </is>
      </c>
      <c r="B13" s="10" t="inlineStr">
        <is>
          <t>Lea Moreau</t>
        </is>
      </c>
      <c r="C13" s="10" t="inlineStr">
        <is>
          <t>lea@mail.com</t>
        </is>
      </c>
      <c r="D13" s="10" t="n">
        <v>262</v>
      </c>
      <c r="E13" s="10" t="n">
        <v>3750</v>
      </c>
      <c r="F13" s="23" t="n">
        <v>2400</v>
      </c>
      <c r="G13" s="10" t="inlineStr">
        <is>
          <t>Prospective</t>
        </is>
      </c>
    </row>
  </sheetData>
  <dataValidations count="1">
    <dataValidation sqref="G2:G500" showDropDown="0" showInputMessage="0" showErrorMessage="0" allowBlank="1" type="list">
      <formula1>"Active,Inactive,Prospective"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Invoice #</t>
        </is>
      </c>
      <c r="B1" s="6" t="inlineStr">
        <is>
          <t>Client</t>
        </is>
      </c>
      <c r="C1" s="6" t="inlineStr">
        <is>
          <t>Period</t>
        </is>
      </c>
      <c r="D1" s="6" t="inlineStr">
        <is>
          <t>Amount $</t>
        </is>
      </c>
      <c r="E1" s="6" t="inlineStr">
        <is>
          <t>Issued Date</t>
        </is>
      </c>
      <c r="F1" s="6" t="inlineStr">
        <is>
          <t>Due Date</t>
        </is>
      </c>
      <c r="G1" s="6" t="inlineStr">
        <is>
          <t>Status</t>
        </is>
      </c>
    </row>
    <row r="2">
      <c r="A2" s="8" t="inlineStr">
        <is>
          <t>INV-2024-001</t>
        </is>
      </c>
      <c r="B2" s="8" t="inlineStr">
        <is>
          <t>Alex Martin</t>
        </is>
      </c>
      <c r="C2" s="8" t="inlineStr">
        <is>
          <t>January 2024</t>
        </is>
      </c>
      <c r="D2" s="22" t="n">
        <v>3500</v>
      </c>
      <c r="E2" s="7" t="n">
        <v>46174</v>
      </c>
      <c r="F2" s="7" t="n">
        <v>46174</v>
      </c>
      <c r="G2" s="8" t="inlineStr">
        <is>
          <t>Draft</t>
        </is>
      </c>
    </row>
    <row r="3">
      <c r="A3" s="10" t="inlineStr">
        <is>
          <t>INV-2024-002</t>
        </is>
      </c>
      <c r="B3" s="10" t="inlineStr">
        <is>
          <t>Sara Lopez</t>
        </is>
      </c>
      <c r="C3" s="10" t="inlineStr">
        <is>
          <t>January 2025</t>
        </is>
      </c>
      <c r="D3" s="23" t="n">
        <v>2450</v>
      </c>
      <c r="E3" s="9" t="n">
        <v>46180</v>
      </c>
      <c r="F3" s="9" t="n">
        <v>46180</v>
      </c>
      <c r="G3" s="10" t="inlineStr">
        <is>
          <t>Sent</t>
        </is>
      </c>
    </row>
    <row r="4">
      <c r="A4" s="8" t="inlineStr">
        <is>
          <t>INV-2024-003</t>
        </is>
      </c>
      <c r="B4" s="8" t="inlineStr">
        <is>
          <t>Omar Haddad</t>
        </is>
      </c>
      <c r="C4" s="8" t="inlineStr">
        <is>
          <t>January 2026</t>
        </is>
      </c>
      <c r="D4" s="22" t="n">
        <v>4550</v>
      </c>
      <c r="E4" s="7" t="n">
        <v>46186</v>
      </c>
      <c r="F4" s="7" t="n">
        <v>46186</v>
      </c>
      <c r="G4" s="8" t="inlineStr">
        <is>
          <t>Paid</t>
        </is>
      </c>
    </row>
    <row r="5">
      <c r="A5" s="10" t="inlineStr">
        <is>
          <t>INV-2024-004</t>
        </is>
      </c>
      <c r="B5" s="10" t="inlineStr">
        <is>
          <t>Emma Fischer</t>
        </is>
      </c>
      <c r="C5" s="10" t="inlineStr">
        <is>
          <t>January 2027</t>
        </is>
      </c>
      <c r="D5" s="23" t="n">
        <v>2975</v>
      </c>
      <c r="E5" s="9" t="n">
        <v>46189</v>
      </c>
      <c r="F5" s="9" t="n">
        <v>46189</v>
      </c>
      <c r="G5" s="10" t="inlineStr">
        <is>
          <t>Overdue</t>
        </is>
      </c>
    </row>
    <row r="6">
      <c r="A6" s="8" t="inlineStr">
        <is>
          <t>INV-2024-005</t>
        </is>
      </c>
      <c r="B6" s="8" t="inlineStr">
        <is>
          <t>Liam Carter</t>
        </is>
      </c>
      <c r="C6" s="8" t="inlineStr">
        <is>
          <t>January 2028</t>
        </is>
      </c>
      <c r="D6" s="22" t="n">
        <v>4025</v>
      </c>
      <c r="E6" s="7" t="n">
        <v>46195</v>
      </c>
      <c r="F6" s="7" t="n">
        <v>46195</v>
      </c>
      <c r="G6" s="8" t="inlineStr">
        <is>
          <t>Disputed</t>
        </is>
      </c>
    </row>
    <row r="7">
      <c r="A7" s="10" t="inlineStr">
        <is>
          <t>INV-2024-006</t>
        </is>
      </c>
      <c r="B7" s="10" t="inlineStr">
        <is>
          <t>Nadia Rahali</t>
        </is>
      </c>
      <c r="C7" s="10" t="inlineStr">
        <is>
          <t>January 2029</t>
        </is>
      </c>
      <c r="D7" s="23" t="n">
        <v>2100</v>
      </c>
      <c r="E7" s="9" t="n">
        <v>46201</v>
      </c>
      <c r="F7" s="9" t="n">
        <v>46201</v>
      </c>
      <c r="G7" s="10" t="inlineStr">
        <is>
          <t>Draft</t>
        </is>
      </c>
    </row>
    <row r="8">
      <c r="A8" s="8" t="inlineStr">
        <is>
          <t>INV-2024-007</t>
        </is>
      </c>
      <c r="B8" s="8" t="inlineStr">
        <is>
          <t>Tom Becker</t>
        </is>
      </c>
      <c r="C8" s="8" t="inlineStr">
        <is>
          <t>January 2030</t>
        </is>
      </c>
      <c r="D8" s="22" t="n">
        <v>5075</v>
      </c>
      <c r="E8" s="7" t="n">
        <v>46176</v>
      </c>
      <c r="F8" s="7" t="n">
        <v>46176</v>
      </c>
      <c r="G8" s="8" t="inlineStr">
        <is>
          <t>Sent</t>
        </is>
      </c>
    </row>
    <row r="9">
      <c r="A9" s="10" t="inlineStr">
        <is>
          <t>INV-2024-008</t>
        </is>
      </c>
      <c r="B9" s="10" t="inlineStr">
        <is>
          <t>Julia Romero</t>
        </is>
      </c>
      <c r="C9" s="10" t="inlineStr">
        <is>
          <t>January 2031</t>
        </is>
      </c>
      <c r="D9" s="23" t="n">
        <v>3325</v>
      </c>
      <c r="E9" s="9" t="n">
        <v>46182</v>
      </c>
      <c r="F9" s="9" t="n">
        <v>46182</v>
      </c>
      <c r="G9" s="10" t="inlineStr">
        <is>
          <t>Paid</t>
        </is>
      </c>
    </row>
    <row r="10">
      <c r="A10" s="8" t="inlineStr">
        <is>
          <t>INV-2024-009</t>
        </is>
      </c>
      <c r="B10" s="8" t="inlineStr">
        <is>
          <t>Karim Ziani</t>
        </is>
      </c>
      <c r="C10" s="8" t="inlineStr">
        <is>
          <t>January 2032</t>
        </is>
      </c>
      <c r="D10" s="22" t="n">
        <v>4375</v>
      </c>
      <c r="E10" s="7" t="n">
        <v>46188</v>
      </c>
      <c r="F10" s="7" t="n">
        <v>46188</v>
      </c>
      <c r="G10" s="8" t="inlineStr">
        <is>
          <t>Overdue</t>
        </is>
      </c>
    </row>
    <row r="11">
      <c r="A11" s="10" t="inlineStr">
        <is>
          <t>INV-2024-010</t>
        </is>
      </c>
      <c r="B11" s="10" t="inlineStr">
        <is>
          <t>Anna Kowalska</t>
        </is>
      </c>
      <c r="C11" s="10" t="inlineStr">
        <is>
          <t>January 2033</t>
        </is>
      </c>
      <c r="D11" s="23" t="n">
        <v>2800</v>
      </c>
      <c r="E11" s="9" t="n">
        <v>46191</v>
      </c>
      <c r="F11" s="9" t="n">
        <v>46191</v>
      </c>
      <c r="G11" s="10" t="inlineStr">
        <is>
          <t>Disputed</t>
        </is>
      </c>
    </row>
    <row r="12">
      <c r="A12" s="8" t="inlineStr">
        <is>
          <t>INV-2024-011</t>
        </is>
      </c>
      <c r="B12" s="8" t="inlineStr">
        <is>
          <t>David Chen</t>
        </is>
      </c>
      <c r="C12" s="8" t="inlineStr">
        <is>
          <t>January 2034</t>
        </is>
      </c>
      <c r="D12" s="22" t="n">
        <v>3850</v>
      </c>
      <c r="E12" s="7" t="n">
        <v>46197</v>
      </c>
      <c r="F12" s="7" t="n">
        <v>46197</v>
      </c>
      <c r="G12" s="8" t="inlineStr">
        <is>
          <t>Draft</t>
        </is>
      </c>
    </row>
    <row r="13">
      <c r="A13" s="10" t="inlineStr">
        <is>
          <t>INV-2024-012</t>
        </is>
      </c>
      <c r="B13" s="10" t="inlineStr">
        <is>
          <t>Lea Moreau</t>
        </is>
      </c>
      <c r="C13" s="10" t="inlineStr">
        <is>
          <t>January 2035</t>
        </is>
      </c>
      <c r="D13" s="23" t="n">
        <v>2625</v>
      </c>
      <c r="E13" s="9" t="n">
        <v>46175</v>
      </c>
      <c r="F13" s="9" t="n">
        <v>46175</v>
      </c>
      <c r="G13" s="10" t="inlineStr">
        <is>
          <t>Sent</t>
        </is>
      </c>
    </row>
  </sheetData>
  <dataValidations count="1">
    <dataValidation sqref="G2:G500" showDropDown="0" showInputMessage="0" showErrorMessage="0" allowBlank="1" type="list">
      <formula1>"Draft,Sent,Paid,Overdue,Disputed"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Month</t>
        </is>
      </c>
      <c r="B1" s="6" t="inlineStr">
        <is>
          <t>Attorney</t>
        </is>
      </c>
      <c r="C1" s="6" t="inlineStr">
        <is>
          <t>Billable Hrs</t>
        </is>
      </c>
      <c r="D1" s="6" t="inlineStr">
        <is>
          <t>Billed $</t>
        </is>
      </c>
      <c r="E1" s="6" t="inlineStr">
        <is>
          <t>Collected $</t>
        </is>
      </c>
      <c r="F1" s="6" t="inlineStr">
        <is>
          <t>Realization %</t>
        </is>
      </c>
      <c r="G1" s="6" t="inlineStr">
        <is>
          <t>Write-offs $</t>
        </is>
      </c>
    </row>
    <row r="2">
      <c r="A2" s="8" t="inlineStr">
        <is>
          <t>January 2024</t>
        </is>
      </c>
      <c r="B2" s="8" t="inlineStr">
        <is>
          <t>J. Martinez</t>
        </is>
      </c>
      <c r="C2" s="8" t="n">
        <v>142</v>
      </c>
      <c r="D2" s="8" t="n">
        <v>49700</v>
      </c>
      <c r="E2" s="8" t="n">
        <v>38000</v>
      </c>
      <c r="F2" s="8">
        <f>E2/D2</f>
        <v/>
      </c>
      <c r="G2" s="8" t="n">
        <v>2100</v>
      </c>
    </row>
    <row r="3">
      <c r="A3" s="10" t="inlineStr">
        <is>
          <t>January 2025</t>
        </is>
      </c>
      <c r="B3" s="10" t="inlineStr">
        <is>
          <t>J. Martinez</t>
        </is>
      </c>
      <c r="C3" s="10" t="n">
        <v>99</v>
      </c>
      <c r="D3" s="10" t="n">
        <v>34790</v>
      </c>
      <c r="E3" s="10" t="n">
        <v>26600</v>
      </c>
      <c r="F3" s="10">
        <f>E3/D3</f>
        <v/>
      </c>
      <c r="G3" s="10" t="n">
        <v>1470</v>
      </c>
    </row>
    <row r="4">
      <c r="A4" s="8" t="inlineStr">
        <is>
          <t>January 2026</t>
        </is>
      </c>
      <c r="B4" s="8" t="inlineStr"/>
      <c r="C4" s="8" t="n">
        <v>185</v>
      </c>
      <c r="D4" s="8" t="n">
        <v>64610</v>
      </c>
      <c r="E4" s="8" t="n">
        <v>49400</v>
      </c>
      <c r="F4" s="8">
        <f>E4/D4</f>
        <v/>
      </c>
      <c r="G4" s="8" t="n">
        <v>2730</v>
      </c>
    </row>
    <row r="5">
      <c r="A5" s="10" t="inlineStr">
        <is>
          <t>January 2027</t>
        </is>
      </c>
      <c r="B5" s="10" t="inlineStr">
        <is>
          <t>J. Martinez</t>
        </is>
      </c>
      <c r="C5" s="10" t="n">
        <v>121</v>
      </c>
      <c r="D5" s="10" t="n">
        <v>42245</v>
      </c>
      <c r="E5" s="10" t="n">
        <v>32300</v>
      </c>
      <c r="F5" s="10">
        <f>E5/D5</f>
        <v/>
      </c>
      <c r="G5" s="10" t="n">
        <v>1785</v>
      </c>
    </row>
    <row r="6">
      <c r="A6" s="8" t="inlineStr">
        <is>
          <t>January 2028</t>
        </is>
      </c>
      <c r="B6" s="8" t="inlineStr">
        <is>
          <t>J. Martinez</t>
        </is>
      </c>
      <c r="C6" s="8" t="n">
        <v>163</v>
      </c>
      <c r="D6" s="8" t="n">
        <v>57155</v>
      </c>
      <c r="E6" s="8" t="n">
        <v>43700</v>
      </c>
      <c r="F6" s="8">
        <f>E6/D6</f>
        <v/>
      </c>
      <c r="G6" s="8" t="n">
        <v>2415</v>
      </c>
    </row>
    <row r="7">
      <c r="A7" s="10" t="inlineStr">
        <is>
          <t>January 2029</t>
        </is>
      </c>
      <c r="B7" s="10" t="inlineStr"/>
      <c r="C7" s="10" t="n">
        <v>85</v>
      </c>
      <c r="D7" s="10" t="n">
        <v>29820</v>
      </c>
      <c r="E7" s="10" t="n">
        <v>22800</v>
      </c>
      <c r="F7" s="10">
        <f>E7/D7</f>
        <v/>
      </c>
      <c r="G7" s="10" t="n">
        <v>1260</v>
      </c>
    </row>
    <row r="8">
      <c r="A8" s="8" t="inlineStr">
        <is>
          <t>January 2030</t>
        </is>
      </c>
      <c r="B8" s="8" t="inlineStr">
        <is>
          <t>J. Martinez</t>
        </is>
      </c>
      <c r="C8" s="8" t="n">
        <v>206</v>
      </c>
      <c r="D8" s="8" t="n">
        <v>72065</v>
      </c>
      <c r="E8" s="8" t="n">
        <v>55100</v>
      </c>
      <c r="F8" s="8">
        <f>E8/D8</f>
        <v/>
      </c>
      <c r="G8" s="8" t="n">
        <v>3045</v>
      </c>
    </row>
    <row r="9">
      <c r="A9" s="10" t="inlineStr">
        <is>
          <t>January 2031</t>
        </is>
      </c>
      <c r="B9" s="10" t="inlineStr">
        <is>
          <t>J. Martinez</t>
        </is>
      </c>
      <c r="C9" s="10" t="n">
        <v>135</v>
      </c>
      <c r="D9" s="10" t="n">
        <v>47215</v>
      </c>
      <c r="E9" s="10" t="n">
        <v>36100</v>
      </c>
      <c r="F9" s="10">
        <f>E9/D9</f>
        <v/>
      </c>
      <c r="G9" s="10" t="n">
        <v>1995</v>
      </c>
    </row>
    <row r="10">
      <c r="A10" s="8" t="inlineStr">
        <is>
          <t>January 2032</t>
        </is>
      </c>
      <c r="B10" s="8" t="inlineStr"/>
      <c r="C10" s="8" t="n">
        <v>178</v>
      </c>
      <c r="D10" s="8" t="n">
        <v>62125</v>
      </c>
      <c r="E10" s="8" t="n">
        <v>47500</v>
      </c>
      <c r="F10" s="8">
        <f>E10/D10</f>
        <v/>
      </c>
      <c r="G10" s="8" t="n">
        <v>2625</v>
      </c>
    </row>
    <row r="11">
      <c r="A11" s="10" t="inlineStr">
        <is>
          <t>January 2033</t>
        </is>
      </c>
      <c r="B11" s="10" t="inlineStr">
        <is>
          <t>J. Martinez</t>
        </is>
      </c>
      <c r="C11" s="10" t="n">
        <v>114</v>
      </c>
      <c r="D11" s="10" t="n">
        <v>39760</v>
      </c>
      <c r="E11" s="10" t="n">
        <v>30400</v>
      </c>
      <c r="F11" s="10">
        <f>E11/D11</f>
        <v/>
      </c>
      <c r="G11" s="10" t="n">
        <v>1680</v>
      </c>
    </row>
    <row r="12">
      <c r="A12" s="8" t="inlineStr">
        <is>
          <t>January 2034</t>
        </is>
      </c>
      <c r="B12" s="8" t="inlineStr">
        <is>
          <t>J. Martinez</t>
        </is>
      </c>
      <c r="C12" s="8" t="n">
        <v>156</v>
      </c>
      <c r="D12" s="8" t="n">
        <v>54670</v>
      </c>
      <c r="E12" s="8" t="n">
        <v>41800</v>
      </c>
      <c r="F12" s="8">
        <f>E12/D12</f>
        <v/>
      </c>
      <c r="G12" s="8" t="n">
        <v>2310</v>
      </c>
    </row>
    <row r="13">
      <c r="A13" s="10" t="inlineStr">
        <is>
          <t>January 2035</t>
        </is>
      </c>
      <c r="B13" s="10" t="inlineStr"/>
      <c r="C13" s="10" t="n">
        <v>106</v>
      </c>
      <c r="D13" s="10" t="n">
        <v>37275</v>
      </c>
      <c r="E13" s="10" t="n">
        <v>28500</v>
      </c>
      <c r="F13" s="10">
        <f>E13/D13</f>
        <v/>
      </c>
      <c r="G13" s="10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