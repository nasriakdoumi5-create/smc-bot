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asks" sheetId="2" state="visible" r:id="rId2"/>
    <sheet name="Dashboard" sheetId="3" state="visible" r:id="rId3"/>
    <sheet name="Milestones" sheetId="4" state="visible" r:id="rId4"/>
    <sheet name="Team" sheetId="5" state="visible" r:id="rId5"/>
    <sheet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4F46E5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E1B4B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FF7F0"/>
      </patternFill>
    </fill>
    <fill>
      <patternFill patternType="solid">
        <fgColor rgb="004F46E5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📋  PROJECT MANAGEMENT DASHBOARD</t>
        </is>
      </c>
    </row>
    <row r="3"/>
    <row r="4">
      <c r="B4" s="2" t="inlineStr">
        <is>
          <t>Tasks, Milestones &amp; Team Tracker Google Sheets</t>
        </is>
      </c>
    </row>
    <row r="6">
      <c r="B6" s="3" t="inlineStr">
        <is>
          <t>STEP 1 — Fill in “Tasks”</t>
        </is>
      </c>
    </row>
    <row r="7" ht="28" customHeight="1">
      <c r="B7" s="4" t="inlineStr">
        <is>
          <t>All project tasks with owner, deadline, priority, and status.</t>
        </is>
      </c>
    </row>
    <row r="9">
      <c r="B9" s="3" t="inlineStr">
        <is>
          <t>STEP 2 — Fill in “Milestones”</t>
        </is>
      </c>
    </row>
    <row r="10" ht="28" customHeight="1">
      <c r="B10" s="4" t="inlineStr">
        <is>
          <t>Key project milestones with target dates and completion status.</t>
        </is>
      </c>
    </row>
    <row r="12">
      <c r="B12" s="3" t="inlineStr">
        <is>
          <t>STEP 3 — Fill in “Team”</t>
        </is>
      </c>
    </row>
    <row r="13" ht="28" customHeight="1">
      <c r="B13" s="4" t="inlineStr">
        <is>
          <t>Team directory with roles, workload, and task count.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6" customWidth="1" min="5" max="5"/>
    <col width="16" customWidth="1" min="6" max="6"/>
    <col width="28" customWidth="1" min="7" max="7"/>
  </cols>
  <sheetData>
    <row r="1">
      <c r="A1" s="6" t="inlineStr">
        <is>
          <t>Task</t>
        </is>
      </c>
      <c r="B1" s="6" t="inlineStr">
        <is>
          <t>Assigned To</t>
        </is>
      </c>
      <c r="C1" s="6" t="inlineStr">
        <is>
          <t>Due Date</t>
        </is>
      </c>
      <c r="D1" s="6" t="inlineStr">
        <is>
          <t>Priority</t>
        </is>
      </c>
      <c r="E1" s="6" t="inlineStr">
        <is>
          <t>Status</t>
        </is>
      </c>
      <c r="F1" s="6" t="inlineStr">
        <is>
          <t>Phase</t>
        </is>
      </c>
      <c r="G1" s="6" t="inlineStr">
        <is>
          <t>Notes</t>
        </is>
      </c>
    </row>
    <row r="2">
      <c r="A2" s="7" t="inlineStr">
        <is>
          <t>Kickoff meeting</t>
        </is>
      </c>
      <c r="B2" s="7" t="inlineStr">
        <is>
          <t>Sarah</t>
        </is>
      </c>
      <c r="C2" s="8" t="n">
        <v>46174</v>
      </c>
      <c r="D2" s="7" t="inlineStr">
        <is>
          <t>🔥 Critical</t>
        </is>
      </c>
      <c r="E2" s="7" t="inlineStr">
        <is>
          <t>Not Started</t>
        </is>
      </c>
      <c r="F2" s="7" t="inlineStr">
        <is>
          <t>Design</t>
        </is>
      </c>
      <c r="G2" s="7" t="inlineStr"/>
    </row>
    <row r="3">
      <c r="A3" s="9" t="inlineStr">
        <is>
          <t>Send proposal</t>
        </is>
      </c>
      <c r="B3" s="9" t="inlineStr">
        <is>
          <t>Sarah</t>
        </is>
      </c>
      <c r="C3" s="10" t="n">
        <v>46180</v>
      </c>
      <c r="D3" s="9" t="inlineStr">
        <is>
          <t>High</t>
        </is>
      </c>
      <c r="E3" s="9" t="inlineStr">
        <is>
          <t>In Progress</t>
        </is>
      </c>
      <c r="F3" s="9" t="inlineStr">
        <is>
          <t>Design</t>
        </is>
      </c>
      <c r="G3" s="9" t="inlineStr">
        <is>
          <t>Paid</t>
        </is>
      </c>
    </row>
    <row r="4">
      <c r="A4" s="7" t="inlineStr">
        <is>
          <t>Review feedback</t>
        </is>
      </c>
      <c r="B4" s="7" t="inlineStr"/>
      <c r="C4" s="8" t="n">
        <v>46186</v>
      </c>
      <c r="D4" s="7" t="inlineStr">
        <is>
          <t>Medium</t>
        </is>
      </c>
      <c r="E4" s="7" t="inlineStr">
        <is>
          <t>Review</t>
        </is>
      </c>
      <c r="F4" s="7" t="inlineStr"/>
      <c r="G4" s="7" t="inlineStr">
        <is>
          <t>Urgent</t>
        </is>
      </c>
    </row>
    <row r="5">
      <c r="A5" s="9" t="inlineStr">
        <is>
          <t>Update website copy</t>
        </is>
      </c>
      <c r="B5" s="9" t="inlineStr">
        <is>
          <t>Sarah</t>
        </is>
      </c>
      <c r="C5" s="10" t="n">
        <v>46189</v>
      </c>
      <c r="D5" s="9" t="inlineStr">
        <is>
          <t>Low</t>
        </is>
      </c>
      <c r="E5" s="9" t="inlineStr">
        <is>
          <t>Done</t>
        </is>
      </c>
      <c r="F5" s="9" t="inlineStr">
        <is>
          <t>Design</t>
        </is>
      </c>
      <c r="G5" s="9" t="inlineStr">
        <is>
          <t>Follow up Friday</t>
        </is>
      </c>
    </row>
    <row r="6">
      <c r="A6" s="7" t="inlineStr">
        <is>
          <t>Prepare invoice</t>
        </is>
      </c>
      <c r="B6" s="7" t="inlineStr">
        <is>
          <t>Sarah</t>
        </is>
      </c>
      <c r="C6" s="8" t="n">
        <v>46195</v>
      </c>
      <c r="D6" s="7" t="inlineStr">
        <is>
          <t>🔥 Critical</t>
        </is>
      </c>
      <c r="E6" s="7" t="inlineStr">
        <is>
          <t>Blocked</t>
        </is>
      </c>
      <c r="F6" s="7" t="inlineStr">
        <is>
          <t>Design</t>
        </is>
      </c>
      <c r="G6" s="7" t="inlineStr"/>
    </row>
    <row r="7">
      <c r="A7" s="9" t="inlineStr">
        <is>
          <t>Client call</t>
        </is>
      </c>
      <c r="B7" s="9" t="inlineStr"/>
      <c r="C7" s="10" t="n">
        <v>46201</v>
      </c>
      <c r="D7" s="9" t="inlineStr">
        <is>
          <t>High</t>
        </is>
      </c>
      <c r="E7" s="9" t="inlineStr">
        <is>
          <t>Overdue</t>
        </is>
      </c>
      <c r="F7" s="9" t="inlineStr"/>
      <c r="G7" s="9" t="inlineStr">
        <is>
          <t>Monthly</t>
        </is>
      </c>
    </row>
    <row r="8">
      <c r="A8" s="7" t="inlineStr">
        <is>
          <t>Design first draft</t>
        </is>
      </c>
      <c r="B8" s="7" t="inlineStr">
        <is>
          <t>Sarah</t>
        </is>
      </c>
      <c r="C8" s="8" t="n">
        <v>46176</v>
      </c>
      <c r="D8" s="7" t="inlineStr">
        <is>
          <t>Medium</t>
        </is>
      </c>
      <c r="E8" s="7" t="inlineStr">
        <is>
          <t>Not Started</t>
        </is>
      </c>
      <c r="F8" s="7" t="inlineStr">
        <is>
          <t>Design</t>
        </is>
      </c>
      <c r="G8" s="7" t="inlineStr">
        <is>
          <t>Confirmed</t>
        </is>
      </c>
    </row>
    <row r="9">
      <c r="A9" s="9" t="inlineStr">
        <is>
          <t>Fix reported bug</t>
        </is>
      </c>
      <c r="B9" s="9" t="inlineStr">
        <is>
          <t>Sarah</t>
        </is>
      </c>
      <c r="C9" s="10" t="n">
        <v>46182</v>
      </c>
      <c r="D9" s="9" t="inlineStr">
        <is>
          <t>Low</t>
        </is>
      </c>
      <c r="E9" s="9" t="inlineStr">
        <is>
          <t>In Progress</t>
        </is>
      </c>
      <c r="F9" s="9" t="inlineStr">
        <is>
          <t>Design</t>
        </is>
      </c>
      <c r="G9" s="9" t="inlineStr"/>
    </row>
    <row r="10">
      <c r="A10" s="7" t="inlineStr">
        <is>
          <t>Weekly report</t>
        </is>
      </c>
      <c r="B10" s="7" t="inlineStr"/>
      <c r="C10" s="8" t="n">
        <v>46188</v>
      </c>
      <c r="D10" s="7" t="inlineStr">
        <is>
          <t>🔥 Critical</t>
        </is>
      </c>
      <c r="E10" s="7" t="inlineStr">
        <is>
          <t>Review</t>
        </is>
      </c>
      <c r="F10" s="7" t="inlineStr"/>
      <c r="G10" s="7" t="inlineStr">
        <is>
          <t>Waiting reply</t>
        </is>
      </c>
    </row>
    <row r="11">
      <c r="A11" s="9" t="inlineStr">
        <is>
          <t>Plan next sprint</t>
        </is>
      </c>
      <c r="B11" s="9" t="inlineStr">
        <is>
          <t>Sarah</t>
        </is>
      </c>
      <c r="C11" s="10" t="n">
        <v>46191</v>
      </c>
      <c r="D11" s="9" t="inlineStr">
        <is>
          <t>High</t>
        </is>
      </c>
      <c r="E11" s="9" t="inlineStr">
        <is>
          <t>Done</t>
        </is>
      </c>
      <c r="F11" s="9" t="inlineStr">
        <is>
          <t>Design</t>
        </is>
      </c>
      <c r="G11" s="9" t="inlineStr">
        <is>
          <t>Done early</t>
        </is>
      </c>
    </row>
    <row r="12">
      <c r="A12" s="7" t="inlineStr">
        <is>
          <t>Publish blog post</t>
        </is>
      </c>
      <c r="B12" s="7" t="inlineStr">
        <is>
          <t>Sarah</t>
        </is>
      </c>
      <c r="C12" s="8" t="n">
        <v>46197</v>
      </c>
      <c r="D12" s="7" t="inlineStr">
        <is>
          <t>Medium</t>
        </is>
      </c>
      <c r="E12" s="7" t="inlineStr">
        <is>
          <t>Blocked</t>
        </is>
      </c>
      <c r="F12" s="7" t="inlineStr">
        <is>
          <t>Design</t>
        </is>
      </c>
      <c r="G12" s="7" t="inlineStr"/>
    </row>
    <row r="13">
      <c r="A13" s="9" t="inlineStr">
        <is>
          <t>Team sync</t>
        </is>
      </c>
      <c r="B13" s="9" t="inlineStr"/>
      <c r="C13" s="10" t="n">
        <v>46175</v>
      </c>
      <c r="D13" s="9" t="inlineStr">
        <is>
          <t>Low</t>
        </is>
      </c>
      <c r="E13" s="9" t="inlineStr">
        <is>
          <t>Overdue</t>
        </is>
      </c>
      <c r="F13" s="9" t="inlineStr"/>
      <c r="G13" s="9" t="inlineStr">
        <is>
          <t>Recheck</t>
        </is>
      </c>
    </row>
  </sheetData>
  <dataValidations count="2">
    <dataValidation sqref="D2:D500" showDropDown="0" showInputMessage="0" showErrorMessage="0" allowBlank="1" type="list">
      <formula1>"🔥 Critical,High,Medium,Low"</formula1>
    </dataValidation>
    <dataValidation sqref="E2:E500" showDropDown="0" showInputMessage="0" showErrorMessage="0" allowBlank="1" type="list">
      <formula1>"Not Started,In Progress,Review,Done,Blocked,Overdue"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PROJECT MANAGEMENT DASHBOARD — DASHBOARD</t>
        </is>
      </c>
    </row>
    <row r="4">
      <c r="B4" s="12" t="inlineStr">
        <is>
          <t>TOTAL TASKS</t>
        </is>
      </c>
      <c r="D4" s="13" t="inlineStr">
        <is>
          <t>COMPLETED</t>
        </is>
      </c>
      <c r="F4" s="14" t="inlineStr">
        <is>
          <t>IN PROGRESS</t>
        </is>
      </c>
      <c r="H4" s="15" t="inlineStr">
        <is>
          <t>OVERDUE</t>
        </is>
      </c>
    </row>
    <row r="5" ht="26" customHeight="1">
      <c r="B5" s="16">
        <f>COUNTA(Tasks!A:A)-1</f>
        <v/>
      </c>
      <c r="D5" s="17">
        <f>COUNTIF(Tasks!E:E,"Done")</f>
        <v/>
      </c>
      <c r="F5" s="18">
        <f>COUNTIF(Tasks!E:E,"In Progress")</f>
        <v/>
      </c>
      <c r="H5" s="19">
        <f>COUNTIF(Tasks!E:E,"Overdue")</f>
        <v/>
      </c>
    </row>
    <row r="8">
      <c r="B8" s="20" t="inlineStr">
        <is>
          <t>WHAT'S INSIDE</t>
        </is>
      </c>
    </row>
    <row r="9">
      <c r="B9" s="21" t="inlineStr">
        <is>
          <t>✅  Tasks — All project tasks with owner, deadline, priority, and status.</t>
        </is>
      </c>
    </row>
    <row r="10">
      <c r="B10" s="21" t="inlineStr">
        <is>
          <t>🎯  Milestones — Key project milestones with target dates and completion status.</t>
        </is>
      </c>
    </row>
    <row r="11">
      <c r="B11" s="21" t="inlineStr">
        <is>
          <t>👥  Team — Team directory with roles, workload, and task count.</t>
        </is>
      </c>
    </row>
    <row r="12">
      <c r="B12" s="21" t="inlineStr">
        <is>
          <t>📊  Timeline — Project completion summary and phase-by-phase breakdown.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30" customWidth="1" min="5" max="5"/>
  </cols>
  <sheetData>
    <row r="1">
      <c r="A1" s="6" t="inlineStr">
        <is>
          <t>Milestone</t>
        </is>
      </c>
      <c r="B1" s="6" t="inlineStr">
        <is>
          <t>Target Date</t>
        </is>
      </c>
      <c r="C1" s="6" t="inlineStr">
        <is>
          <t>Owner</t>
        </is>
      </c>
      <c r="D1" s="6" t="inlineStr">
        <is>
          <t>Status</t>
        </is>
      </c>
      <c r="E1" s="6" t="inlineStr">
        <is>
          <t>Notes</t>
        </is>
      </c>
    </row>
    <row r="2">
      <c r="A2" s="7" t="inlineStr">
        <is>
          <t>Kickoff meeting</t>
        </is>
      </c>
      <c r="B2" s="8" t="n">
        <v>46174</v>
      </c>
      <c r="C2" s="7" t="inlineStr">
        <is>
          <t>Project Lead</t>
        </is>
      </c>
      <c r="D2" s="7" t="inlineStr">
        <is>
          <t>Upcoming</t>
        </is>
      </c>
      <c r="E2" s="7" t="inlineStr"/>
    </row>
    <row r="3">
      <c r="A3" s="9" t="inlineStr">
        <is>
          <t>Send proposal</t>
        </is>
      </c>
      <c r="B3" s="10" t="n">
        <v>46180</v>
      </c>
      <c r="C3" s="9" t="inlineStr">
        <is>
          <t>Project Lead</t>
        </is>
      </c>
      <c r="D3" s="9" t="inlineStr">
        <is>
          <t>In Progress</t>
        </is>
      </c>
      <c r="E3" s="9" t="inlineStr">
        <is>
          <t>Paid</t>
        </is>
      </c>
    </row>
    <row r="4">
      <c r="A4" s="7" t="inlineStr">
        <is>
          <t>Review feedback</t>
        </is>
      </c>
      <c r="B4" s="8" t="n">
        <v>46186</v>
      </c>
      <c r="C4" s="7" t="inlineStr"/>
      <c r="D4" s="7" t="inlineStr">
        <is>
          <t>Completed</t>
        </is>
      </c>
      <c r="E4" s="7" t="inlineStr">
        <is>
          <t>Urgent</t>
        </is>
      </c>
    </row>
    <row r="5">
      <c r="A5" s="9" t="inlineStr">
        <is>
          <t>Update website copy</t>
        </is>
      </c>
      <c r="B5" s="10" t="n">
        <v>46189</v>
      </c>
      <c r="C5" s="9" t="inlineStr">
        <is>
          <t>Project Lead</t>
        </is>
      </c>
      <c r="D5" s="9" t="inlineStr">
        <is>
          <t>At Risk</t>
        </is>
      </c>
      <c r="E5" s="9" t="inlineStr">
        <is>
          <t>Follow up Friday</t>
        </is>
      </c>
    </row>
    <row r="6">
      <c r="A6" s="7" t="inlineStr">
        <is>
          <t>Prepare invoice</t>
        </is>
      </c>
      <c r="B6" s="8" t="n">
        <v>46195</v>
      </c>
      <c r="C6" s="7" t="inlineStr">
        <is>
          <t>Project Lead</t>
        </is>
      </c>
      <c r="D6" s="7" t="inlineStr">
        <is>
          <t>Delayed</t>
        </is>
      </c>
      <c r="E6" s="7" t="inlineStr"/>
    </row>
    <row r="7">
      <c r="A7" s="9" t="inlineStr">
        <is>
          <t>Client call</t>
        </is>
      </c>
      <c r="B7" s="10" t="n">
        <v>46201</v>
      </c>
      <c r="C7" s="9" t="inlineStr"/>
      <c r="D7" s="9" t="inlineStr">
        <is>
          <t>Upcoming</t>
        </is>
      </c>
      <c r="E7" s="9" t="inlineStr">
        <is>
          <t>Monthly</t>
        </is>
      </c>
    </row>
    <row r="8">
      <c r="A8" s="7" t="inlineStr">
        <is>
          <t>Design first draft</t>
        </is>
      </c>
      <c r="B8" s="8" t="n">
        <v>46176</v>
      </c>
      <c r="C8" s="7" t="inlineStr">
        <is>
          <t>Project Lead</t>
        </is>
      </c>
      <c r="D8" s="7" t="inlineStr">
        <is>
          <t>In Progress</t>
        </is>
      </c>
      <c r="E8" s="7" t="inlineStr">
        <is>
          <t>Confirmed</t>
        </is>
      </c>
    </row>
    <row r="9">
      <c r="A9" s="9" t="inlineStr">
        <is>
          <t>Fix reported bug</t>
        </is>
      </c>
      <c r="B9" s="10" t="n">
        <v>46182</v>
      </c>
      <c r="C9" s="9" t="inlineStr">
        <is>
          <t>Project Lead</t>
        </is>
      </c>
      <c r="D9" s="9" t="inlineStr">
        <is>
          <t>Completed</t>
        </is>
      </c>
      <c r="E9" s="9" t="inlineStr"/>
    </row>
    <row r="10">
      <c r="A10" s="7" t="inlineStr">
        <is>
          <t>Weekly report</t>
        </is>
      </c>
      <c r="B10" s="8" t="n">
        <v>46188</v>
      </c>
      <c r="C10" s="7" t="inlineStr"/>
      <c r="D10" s="7" t="inlineStr">
        <is>
          <t>At Risk</t>
        </is>
      </c>
      <c r="E10" s="7" t="inlineStr">
        <is>
          <t>Waiting reply</t>
        </is>
      </c>
    </row>
    <row r="11">
      <c r="A11" s="9" t="inlineStr">
        <is>
          <t>Plan next sprint</t>
        </is>
      </c>
      <c r="B11" s="10" t="n">
        <v>46191</v>
      </c>
      <c r="C11" s="9" t="inlineStr">
        <is>
          <t>Project Lead</t>
        </is>
      </c>
      <c r="D11" s="9" t="inlineStr">
        <is>
          <t>Delayed</t>
        </is>
      </c>
      <c r="E11" s="9" t="inlineStr">
        <is>
          <t>Done early</t>
        </is>
      </c>
    </row>
    <row r="12">
      <c r="A12" s="7" t="inlineStr">
        <is>
          <t>Publish blog post</t>
        </is>
      </c>
      <c r="B12" s="8" t="n">
        <v>46197</v>
      </c>
      <c r="C12" s="7" t="inlineStr">
        <is>
          <t>Project Lead</t>
        </is>
      </c>
      <c r="D12" s="7" t="inlineStr">
        <is>
          <t>Upcoming</t>
        </is>
      </c>
      <c r="E12" s="7" t="inlineStr"/>
    </row>
    <row r="13">
      <c r="A13" s="9" t="inlineStr">
        <is>
          <t>Team sync</t>
        </is>
      </c>
      <c r="B13" s="10" t="n">
        <v>46175</v>
      </c>
      <c r="C13" s="9" t="inlineStr"/>
      <c r="D13" s="9" t="inlineStr">
        <is>
          <t>In Progress</t>
        </is>
      </c>
      <c r="E13" s="9" t="inlineStr">
        <is>
          <t>Recheck</t>
        </is>
      </c>
    </row>
  </sheetData>
  <dataValidations count="1">
    <dataValidation sqref="D2:D500" showDropDown="0" showInputMessage="0" showErrorMessage="0" allowBlank="1" type="list">
      <formula1>"Upcoming,In Progress,Completed,At Risk,Delayed"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16" customWidth="1" min="5" max="5"/>
  </cols>
  <sheetData>
    <row r="1">
      <c r="A1" s="6" t="inlineStr">
        <is>
          <t>Name</t>
        </is>
      </c>
      <c r="B1" s="6" t="inlineStr">
        <is>
          <t>Role</t>
        </is>
      </c>
      <c r="C1" s="6" t="inlineStr">
        <is>
          <t>Tasks Assigned</t>
        </is>
      </c>
      <c r="D1" s="6" t="inlineStr">
        <is>
          <t>Tasks Done</t>
        </is>
      </c>
      <c r="E1" s="6" t="inlineStr">
        <is>
          <t>Status</t>
        </is>
      </c>
    </row>
    <row r="2">
      <c r="A2" s="7" t="inlineStr">
        <is>
          <t>Alex Martin</t>
        </is>
      </c>
      <c r="B2" s="7" t="inlineStr">
        <is>
          <t>UI Designer</t>
        </is>
      </c>
      <c r="C2" s="7" t="n">
        <v>8</v>
      </c>
      <c r="D2" s="7" t="n">
        <v>5</v>
      </c>
      <c r="E2" s="7" t="inlineStr">
        <is>
          <t>Available</t>
        </is>
      </c>
    </row>
    <row r="3">
      <c r="A3" s="9" t="inlineStr">
        <is>
          <t>Sara Lopez</t>
        </is>
      </c>
      <c r="B3" s="9" t="inlineStr">
        <is>
          <t>UI Designer</t>
        </is>
      </c>
      <c r="C3" s="9" t="n">
        <v>5.6</v>
      </c>
      <c r="D3" s="9" t="n">
        <v>3.5</v>
      </c>
      <c r="E3" s="9" t="inlineStr">
        <is>
          <t>Busy</t>
        </is>
      </c>
    </row>
    <row r="4">
      <c r="A4" s="7" t="inlineStr">
        <is>
          <t>Omar Haddad</t>
        </is>
      </c>
      <c r="B4" s="7" t="inlineStr"/>
      <c r="C4" s="7" t="n">
        <v>10.4</v>
      </c>
      <c r="D4" s="7" t="n">
        <v>6.5</v>
      </c>
      <c r="E4" s="7" t="inlineStr">
        <is>
          <t>On Leave</t>
        </is>
      </c>
    </row>
    <row r="5">
      <c r="A5" s="9" t="inlineStr">
        <is>
          <t>Emma Fischer</t>
        </is>
      </c>
      <c r="B5" s="9" t="inlineStr">
        <is>
          <t>UI Designer</t>
        </is>
      </c>
      <c r="C5" s="9" t="n">
        <v>6.8</v>
      </c>
      <c r="D5" s="9" t="n">
        <v>4.25</v>
      </c>
      <c r="E5" s="9" t="inlineStr">
        <is>
          <t>Overloaded</t>
        </is>
      </c>
    </row>
    <row r="6">
      <c r="A6" s="7" t="inlineStr">
        <is>
          <t>Liam Carter</t>
        </is>
      </c>
      <c r="B6" s="7" t="inlineStr">
        <is>
          <t>UI Designer</t>
        </is>
      </c>
      <c r="C6" s="7" t="n">
        <v>9.199999999999999</v>
      </c>
      <c r="D6" s="7" t="n">
        <v>5.75</v>
      </c>
      <c r="E6" s="7" t="inlineStr">
        <is>
          <t>Available</t>
        </is>
      </c>
    </row>
    <row r="7">
      <c r="A7" s="9" t="inlineStr">
        <is>
          <t>Nadia Rahali</t>
        </is>
      </c>
      <c r="B7" s="9" t="inlineStr"/>
      <c r="C7" s="9" t="n">
        <v>4.8</v>
      </c>
      <c r="D7" s="9" t="n">
        <v>3</v>
      </c>
      <c r="E7" s="9" t="inlineStr">
        <is>
          <t>Busy</t>
        </is>
      </c>
    </row>
    <row r="8">
      <c r="A8" s="7" t="inlineStr">
        <is>
          <t>Tom Becker</t>
        </is>
      </c>
      <c r="B8" s="7" t="inlineStr">
        <is>
          <t>UI Designer</t>
        </is>
      </c>
      <c r="C8" s="7" t="n">
        <v>11.6</v>
      </c>
      <c r="D8" s="7" t="n">
        <v>7.25</v>
      </c>
      <c r="E8" s="7" t="inlineStr">
        <is>
          <t>On Leave</t>
        </is>
      </c>
    </row>
    <row r="9">
      <c r="A9" s="9" t="inlineStr">
        <is>
          <t>Julia Romero</t>
        </is>
      </c>
      <c r="B9" s="9" t="inlineStr">
        <is>
          <t>UI Designer</t>
        </is>
      </c>
      <c r="C9" s="9" t="n">
        <v>7.6</v>
      </c>
      <c r="D9" s="9" t="n">
        <v>4.75</v>
      </c>
      <c r="E9" s="9" t="inlineStr">
        <is>
          <t>Overloaded</t>
        </is>
      </c>
    </row>
    <row r="10">
      <c r="A10" s="7" t="inlineStr">
        <is>
          <t>Karim Ziani</t>
        </is>
      </c>
      <c r="B10" s="7" t="inlineStr"/>
      <c r="C10" s="7" t="n">
        <v>10</v>
      </c>
      <c r="D10" s="7" t="n">
        <v>6.25</v>
      </c>
      <c r="E10" s="7" t="inlineStr">
        <is>
          <t>Available</t>
        </is>
      </c>
    </row>
    <row r="11">
      <c r="A11" s="9" t="inlineStr">
        <is>
          <t>Anna Kowalska</t>
        </is>
      </c>
      <c r="B11" s="9" t="inlineStr">
        <is>
          <t>UI Designer</t>
        </is>
      </c>
      <c r="C11" s="9" t="n">
        <v>6.4</v>
      </c>
      <c r="D11" s="9" t="n">
        <v>4</v>
      </c>
      <c r="E11" s="9" t="inlineStr">
        <is>
          <t>Busy</t>
        </is>
      </c>
    </row>
    <row r="12">
      <c r="A12" s="7" t="inlineStr">
        <is>
          <t>David Chen</t>
        </is>
      </c>
      <c r="B12" s="7" t="inlineStr">
        <is>
          <t>UI Designer</t>
        </is>
      </c>
      <c r="C12" s="7" t="n">
        <v>8.800000000000001</v>
      </c>
      <c r="D12" s="7" t="n">
        <v>5.5</v>
      </c>
      <c r="E12" s="7" t="inlineStr">
        <is>
          <t>On Leave</t>
        </is>
      </c>
    </row>
    <row r="13">
      <c r="A13" s="9" t="inlineStr">
        <is>
          <t>Lea Moreau</t>
        </is>
      </c>
      <c r="B13" s="9" t="inlineStr"/>
      <c r="C13" s="9" t="n">
        <v>6</v>
      </c>
      <c r="D13" s="9" t="n">
        <v>3.75</v>
      </c>
      <c r="E13" s="9" t="inlineStr">
        <is>
          <t>Overloaded</t>
        </is>
      </c>
    </row>
  </sheetData>
  <dataValidations count="1">
    <dataValidation sqref="E2:E500" showDropDown="0" showInputMessage="0" showErrorMessage="0" allowBlank="1" type="list">
      <formula1>"Available,Busy,On Leave,Overloaded"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TIMELINE</t>
        </is>
      </c>
    </row>
    <row r="4">
      <c r="B4" s="3" t="inlineStr">
        <is>
          <t>Project Summary</t>
        </is>
      </c>
    </row>
    <row r="5">
      <c r="B5" s="9" t="inlineStr">
        <is>
          <t>Total Tasks</t>
        </is>
      </c>
      <c r="C5" s="23">
        <f>COUNTA(Tasks!A:A)-1</f>
        <v/>
      </c>
    </row>
    <row r="6">
      <c r="B6" s="7" t="inlineStr">
        <is>
          <t>Completed</t>
        </is>
      </c>
      <c r="C6" s="24">
        <f>COUNTIF(Tasks!E:E,"Done")</f>
        <v/>
      </c>
    </row>
    <row r="7">
      <c r="B7" s="9" t="inlineStr">
        <is>
          <t>Completion Rate</t>
        </is>
      </c>
      <c r="C7" s="25">
        <f>TEXT(COUNTIF(Tasks!E:E,"Done")/COUNTA(Tasks!A:A),"0%")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