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Dashboard" sheetId="3" state="visible" r:id="rId3"/>
    <sheet name="ShoppingList" sheetId="4" state="visible" r:id="rId4"/>
    <sheet name="ByStudent" sheetId="5" state="visible" r:id="rId5"/>
    <sheet name="Comparis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C1000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F59E0B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C1000"/>
      </patternFill>
    </fill>
    <fill>
      <patternFill patternType="solid">
        <fgColor rgb="00FFF7F0"/>
      </patternFill>
    </fill>
    <fill>
      <patternFill patternType="solid">
        <fgColor rgb="00F59E0B"/>
      </patternFill>
    </fill>
    <fill>
      <patternFill patternType="solid">
        <fgColor rgb="0086EFAC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🎒  SCHOOL SUPPLY BUDGET</t>
        </is>
      </c>
    </row>
    <row r="3"/>
    <row r="4">
      <c r="B4" s="2" t="inlineStr">
        <is>
          <t>Back to School Shopping List &amp; Budget Google Sheets</t>
        </is>
      </c>
    </row>
    <row r="6">
      <c r="B6" s="3" t="inlineStr">
        <is>
          <t>STEP 1 — Fill in “Setup”</t>
        </is>
      </c>
    </row>
    <row r="7" ht="28" customHeight="1">
      <c r="B7" s="4" t="inlineStr">
        <is>
          <t>Budget and student details.</t>
        </is>
      </c>
    </row>
    <row r="9">
      <c r="B9" s="3" t="inlineStr">
        <is>
          <t>STEP 2 — Fill in “ShoppingList”</t>
        </is>
      </c>
    </row>
    <row r="10" ht="28" customHeight="1">
      <c r="B10" s="4" t="inlineStr">
        <is>
          <t>Complete shopping list with price and purchase status.</t>
        </is>
      </c>
    </row>
    <row r="12">
      <c r="B12" s="3" t="inlineStr">
        <is>
          <t>STEP 3 — Fill in “ByStudent”</t>
        </is>
      </c>
    </row>
    <row r="13" ht="28" customHeight="1">
      <c r="B13" s="4" t="inlineStr">
        <is>
          <t>Per-student budget breakdown.</t>
        </is>
      </c>
    </row>
    <row r="15">
      <c r="B15" s="3" t="inlineStr">
        <is>
          <t>STEP 4 — Fill in “Comparison”</t>
        </is>
      </c>
    </row>
    <row r="16" ht="28" customHeight="1">
      <c r="B16" s="4" t="inlineStr">
        <is>
          <t>Price comparison across stores for key items.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6" t="inlineStr">
        <is>
          <t>Item</t>
        </is>
      </c>
      <c r="B1" s="6" t="inlineStr">
        <is>
          <t>Value</t>
        </is>
      </c>
    </row>
    <row r="2">
      <c r="A2" s="7" t="inlineStr">
        <is>
          <t>Kickoff meeting</t>
        </is>
      </c>
      <c r="B2" s="8" t="n">
        <v>300</v>
      </c>
    </row>
    <row r="3">
      <c r="A3" s="9" t="inlineStr">
        <is>
          <t>Send proposal</t>
        </is>
      </c>
      <c r="B3" s="10" t="n">
        <v>210</v>
      </c>
    </row>
    <row r="4">
      <c r="A4" s="7" t="inlineStr">
        <is>
          <t>Review feedback</t>
        </is>
      </c>
      <c r="B4" s="8" t="n">
        <v>390</v>
      </c>
    </row>
    <row r="5">
      <c r="A5" s="9" t="inlineStr">
        <is>
          <t>Update website copy</t>
        </is>
      </c>
      <c r="B5" s="10" t="n">
        <v>255</v>
      </c>
    </row>
    <row r="6">
      <c r="A6" s="7" t="inlineStr">
        <is>
          <t>Prepare invoice</t>
        </is>
      </c>
      <c r="B6" s="8" t="n">
        <v>345</v>
      </c>
    </row>
    <row r="7">
      <c r="A7" s="9" t="inlineStr">
        <is>
          <t>Client call</t>
        </is>
      </c>
      <c r="B7" s="10" t="n">
        <v>180</v>
      </c>
    </row>
    <row r="8">
      <c r="A8" s="7" t="inlineStr">
        <is>
          <t>Design first draft</t>
        </is>
      </c>
      <c r="B8" s="8" t="n">
        <v>435</v>
      </c>
    </row>
    <row r="9">
      <c r="A9" s="9" t="inlineStr">
        <is>
          <t>Fix reported bug</t>
        </is>
      </c>
      <c r="B9" s="10" t="n">
        <v>285</v>
      </c>
    </row>
    <row r="10">
      <c r="A10" s="7" t="inlineStr">
        <is>
          <t>Weekly report</t>
        </is>
      </c>
      <c r="B10" s="8" t="n">
        <v>375</v>
      </c>
    </row>
    <row r="11">
      <c r="A11" s="9" t="inlineStr">
        <is>
          <t>Plan next sprint</t>
        </is>
      </c>
      <c r="B11" s="10" t="n">
        <v>240</v>
      </c>
    </row>
    <row r="12">
      <c r="A12" s="7" t="inlineStr">
        <is>
          <t>Publish blog post</t>
        </is>
      </c>
      <c r="B12" s="8" t="n">
        <v>330</v>
      </c>
    </row>
    <row r="13">
      <c r="A13" s="9" t="inlineStr">
        <is>
          <t>Team sync</t>
        </is>
      </c>
      <c r="B13" s="10" t="n">
        <v>225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SCHOOL SUPPLY BUDGET — DASHBOARD</t>
        </is>
      </c>
    </row>
    <row r="4">
      <c r="B4" s="12" t="inlineStr">
        <is>
          <t>TOTAL BUDGET $</t>
        </is>
      </c>
      <c r="D4" s="13" t="inlineStr">
        <is>
          <t>TOTAL SPENT $</t>
        </is>
      </c>
      <c r="F4" s="14" t="inlineStr">
        <is>
          <t>REMAINING $</t>
        </is>
      </c>
      <c r="H4" s="15" t="inlineStr">
        <is>
          <t>ITEMS PURCHASED</t>
        </is>
      </c>
    </row>
    <row r="5" ht="26" customHeight="1">
      <c r="B5" s="16">
        <f>Setup!B2</f>
        <v/>
      </c>
      <c r="D5" s="17">
        <f>SUMIF(ShoppingList!G:G,"Purchased",ShoppingList!E:E)</f>
        <v/>
      </c>
      <c r="F5" s="18">
        <f>Setup!B2-SUMIF(ShoppingList!G:G,"Purchased",ShoppingList!E:E)</f>
        <v/>
      </c>
      <c r="H5" s="19">
        <f>COUNTIF(ShoppingList!G:G,"Purchased")</f>
        <v/>
      </c>
    </row>
    <row r="8">
      <c r="B8" s="20" t="inlineStr">
        <is>
          <t>WHAT'S INSIDE</t>
        </is>
      </c>
    </row>
    <row r="9">
      <c r="B9" s="21" t="inlineStr">
        <is>
          <t>⚙️  Setup — Budget and student details.</t>
        </is>
      </c>
    </row>
    <row r="10">
      <c r="B10" s="21" t="inlineStr">
        <is>
          <t>🛒  ShoppingList — Complete shopping list with price and purchase status.</t>
        </is>
      </c>
    </row>
    <row r="11">
      <c r="B11" s="21" t="inlineStr">
        <is>
          <t>👦  ByStudent — Per-student budget breakdown.</t>
        </is>
      </c>
    </row>
    <row r="12">
      <c r="B12" s="21" t="inlineStr">
        <is>
          <t>🔍  Comparison — Price comparison across stores for key items.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6" customWidth="1" min="3" max="3"/>
    <col width="8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>
      <c r="A1" s="6" t="inlineStr">
        <is>
          <t>Item</t>
        </is>
      </c>
      <c r="B1" s="6" t="inlineStr">
        <is>
          <t>Category</t>
        </is>
      </c>
      <c r="C1" s="6" t="inlineStr">
        <is>
          <t>Student</t>
        </is>
      </c>
      <c r="D1" s="6" t="inlineStr">
        <is>
          <t>Qty</t>
        </is>
      </c>
      <c r="E1" s="6" t="inlineStr">
        <is>
          <t>Est. Price $</t>
        </is>
      </c>
      <c r="F1" s="6" t="inlineStr">
        <is>
          <t>Actual Price $</t>
        </is>
      </c>
      <c r="G1" s="6" t="inlineStr">
        <is>
          <t>Status</t>
        </is>
      </c>
      <c r="H1" s="6" t="inlineStr">
        <is>
          <t>Store</t>
        </is>
      </c>
    </row>
    <row r="2">
      <c r="A2" s="7" t="inlineStr">
        <is>
          <t>Kickoff meeting</t>
        </is>
      </c>
      <c r="B2" s="7" t="inlineStr">
        <is>
          <t>Stationery</t>
        </is>
      </c>
      <c r="C2" s="7" t="inlineStr">
        <is>
          <t>Alex Martin</t>
        </is>
      </c>
      <c r="D2" s="7" t="n">
        <v>2</v>
      </c>
      <c r="E2" s="8" t="n">
        <v>12</v>
      </c>
      <c r="F2" s="8" t="n">
        <v>10.99</v>
      </c>
      <c r="G2" s="7" t="inlineStr">
        <is>
          <t>Needed</t>
        </is>
      </c>
      <c r="H2" s="7" t="inlineStr">
        <is>
          <t>Target</t>
        </is>
      </c>
    </row>
    <row r="3">
      <c r="A3" s="9" t="inlineStr">
        <is>
          <t>Send proposal</t>
        </is>
      </c>
      <c r="B3" s="9" t="inlineStr">
        <is>
          <t>Electronics</t>
        </is>
      </c>
      <c r="C3" s="9" t="inlineStr">
        <is>
          <t>Sara Lopez</t>
        </is>
      </c>
      <c r="D3" s="9" t="n">
        <v>1.4</v>
      </c>
      <c r="E3" s="10" t="n">
        <v>8.4</v>
      </c>
      <c r="F3" s="10" t="n">
        <v>7.69</v>
      </c>
      <c r="G3" s="9" t="inlineStr">
        <is>
          <t>In Cart</t>
        </is>
      </c>
      <c r="H3" s="9" t="inlineStr">
        <is>
          <t>Target</t>
        </is>
      </c>
    </row>
    <row r="4">
      <c r="A4" s="7" t="inlineStr">
        <is>
          <t>Review feedback</t>
        </is>
      </c>
      <c r="B4" s="7" t="inlineStr">
        <is>
          <t>Clothing</t>
        </is>
      </c>
      <c r="C4" s="7" t="inlineStr">
        <is>
          <t>Omar Haddad</t>
        </is>
      </c>
      <c r="D4" s="7" t="n">
        <v>2.6</v>
      </c>
      <c r="E4" s="8" t="n">
        <v>15.6</v>
      </c>
      <c r="F4" s="8" t="n">
        <v>14.29</v>
      </c>
      <c r="G4" s="7" t="inlineStr">
        <is>
          <t>Purchased</t>
        </is>
      </c>
      <c r="H4" s="7" t="inlineStr"/>
    </row>
    <row r="5">
      <c r="A5" s="9" t="inlineStr">
        <is>
          <t>Update website copy</t>
        </is>
      </c>
      <c r="B5" s="9" t="inlineStr">
        <is>
          <t>Books</t>
        </is>
      </c>
      <c r="C5" s="9" t="inlineStr">
        <is>
          <t>Emma Fischer</t>
        </is>
      </c>
      <c r="D5" s="9" t="n">
        <v>1.7</v>
      </c>
      <c r="E5" s="10" t="n">
        <v>10.2</v>
      </c>
      <c r="F5" s="10" t="n">
        <v>9.34</v>
      </c>
      <c r="G5" s="9" t="inlineStr">
        <is>
          <t>Skip</t>
        </is>
      </c>
      <c r="H5" s="9" t="inlineStr">
        <is>
          <t>Target</t>
        </is>
      </c>
    </row>
    <row r="6">
      <c r="A6" s="7" t="inlineStr">
        <is>
          <t>Prepare invoice</t>
        </is>
      </c>
      <c r="B6" s="7" t="inlineStr">
        <is>
          <t>Bags</t>
        </is>
      </c>
      <c r="C6" s="7" t="inlineStr">
        <is>
          <t>Liam Carter</t>
        </is>
      </c>
      <c r="D6" s="7" t="n">
        <v>2.3</v>
      </c>
      <c r="E6" s="8" t="n">
        <v>13.8</v>
      </c>
      <c r="F6" s="8" t="n">
        <v>12.64</v>
      </c>
      <c r="G6" s="7" t="inlineStr">
        <is>
          <t>Needed</t>
        </is>
      </c>
      <c r="H6" s="7" t="inlineStr">
        <is>
          <t>Target</t>
        </is>
      </c>
    </row>
    <row r="7">
      <c r="A7" s="9" t="inlineStr">
        <is>
          <t>Client call</t>
        </is>
      </c>
      <c r="B7" s="9" t="inlineStr">
        <is>
          <t>Art Supplies</t>
        </is>
      </c>
      <c r="C7" s="9" t="inlineStr">
        <is>
          <t>Nadia Rahali</t>
        </is>
      </c>
      <c r="D7" s="9" t="n">
        <v>1.2</v>
      </c>
      <c r="E7" s="10" t="n">
        <v>7.2</v>
      </c>
      <c r="F7" s="10" t="n">
        <v>6.59</v>
      </c>
      <c r="G7" s="9" t="inlineStr">
        <is>
          <t>In Cart</t>
        </is>
      </c>
      <c r="H7" s="9" t="inlineStr"/>
    </row>
    <row r="8">
      <c r="A8" s="7" t="inlineStr">
        <is>
          <t>Design first draft</t>
        </is>
      </c>
      <c r="B8" s="7" t="inlineStr">
        <is>
          <t>Other</t>
        </is>
      </c>
      <c r="C8" s="7" t="inlineStr">
        <is>
          <t>Tom Becker</t>
        </is>
      </c>
      <c r="D8" s="7" t="n">
        <v>2.9</v>
      </c>
      <c r="E8" s="8" t="n">
        <v>17.4</v>
      </c>
      <c r="F8" s="8" t="n">
        <v>15.94</v>
      </c>
      <c r="G8" s="7" t="inlineStr">
        <is>
          <t>Purchased</t>
        </is>
      </c>
      <c r="H8" s="7" t="inlineStr">
        <is>
          <t>Target</t>
        </is>
      </c>
    </row>
    <row r="9">
      <c r="A9" s="9" t="inlineStr">
        <is>
          <t>Fix reported bug</t>
        </is>
      </c>
      <c r="B9" s="9" t="inlineStr">
        <is>
          <t>Stationery</t>
        </is>
      </c>
      <c r="C9" s="9" t="inlineStr">
        <is>
          <t>Julia Romero</t>
        </is>
      </c>
      <c r="D9" s="9" t="n">
        <v>1.9</v>
      </c>
      <c r="E9" s="10" t="n">
        <v>11.4</v>
      </c>
      <c r="F9" s="10" t="n">
        <v>10.44</v>
      </c>
      <c r="G9" s="9" t="inlineStr">
        <is>
          <t>Skip</t>
        </is>
      </c>
      <c r="H9" s="9" t="inlineStr">
        <is>
          <t>Target</t>
        </is>
      </c>
    </row>
    <row r="10">
      <c r="A10" s="7" t="inlineStr">
        <is>
          <t>Weekly report</t>
        </is>
      </c>
      <c r="B10" s="7" t="inlineStr">
        <is>
          <t>Electronics</t>
        </is>
      </c>
      <c r="C10" s="7" t="inlineStr">
        <is>
          <t>Karim Ziani</t>
        </is>
      </c>
      <c r="D10" s="7" t="n">
        <v>2.5</v>
      </c>
      <c r="E10" s="8" t="n">
        <v>15</v>
      </c>
      <c r="F10" s="8" t="n">
        <v>13.74</v>
      </c>
      <c r="G10" s="7" t="inlineStr">
        <is>
          <t>Needed</t>
        </is>
      </c>
      <c r="H10" s="7" t="inlineStr"/>
    </row>
    <row r="11">
      <c r="A11" s="9" t="inlineStr">
        <is>
          <t>Plan next sprint</t>
        </is>
      </c>
      <c r="B11" s="9" t="inlineStr">
        <is>
          <t>Clothing</t>
        </is>
      </c>
      <c r="C11" s="9" t="inlineStr">
        <is>
          <t>Anna Kowalska</t>
        </is>
      </c>
      <c r="D11" s="9" t="n">
        <v>1.6</v>
      </c>
      <c r="E11" s="10" t="n">
        <v>9.6</v>
      </c>
      <c r="F11" s="10" t="n">
        <v>8.789999999999999</v>
      </c>
      <c r="G11" s="9" t="inlineStr">
        <is>
          <t>In Cart</t>
        </is>
      </c>
      <c r="H11" s="9" t="inlineStr">
        <is>
          <t>Target</t>
        </is>
      </c>
    </row>
    <row r="12">
      <c r="A12" s="7" t="inlineStr">
        <is>
          <t>Publish blog post</t>
        </is>
      </c>
      <c r="B12" s="7" t="inlineStr">
        <is>
          <t>Books</t>
        </is>
      </c>
      <c r="C12" s="7" t="inlineStr">
        <is>
          <t>David Chen</t>
        </is>
      </c>
      <c r="D12" s="7" t="n">
        <v>2.2</v>
      </c>
      <c r="E12" s="8" t="n">
        <v>13.2</v>
      </c>
      <c r="F12" s="8" t="n">
        <v>12.09</v>
      </c>
      <c r="G12" s="7" t="inlineStr">
        <is>
          <t>Purchased</t>
        </is>
      </c>
      <c r="H12" s="7" t="inlineStr">
        <is>
          <t>Target</t>
        </is>
      </c>
    </row>
    <row r="13">
      <c r="A13" s="9" t="inlineStr">
        <is>
          <t>Team sync</t>
        </is>
      </c>
      <c r="B13" s="9" t="inlineStr">
        <is>
          <t>Bags</t>
        </is>
      </c>
      <c r="C13" s="9" t="inlineStr">
        <is>
          <t>Lea Moreau</t>
        </is>
      </c>
      <c r="D13" s="9" t="n">
        <v>1.5</v>
      </c>
      <c r="E13" s="10" t="n">
        <v>9</v>
      </c>
      <c r="F13" s="10" t="n">
        <v>8.24</v>
      </c>
      <c r="G13" s="9" t="inlineStr">
        <is>
          <t>Skip</t>
        </is>
      </c>
      <c r="H13" s="9" t="inlineStr"/>
    </row>
  </sheetData>
  <dataValidations count="2">
    <dataValidation sqref="B2:B500" showDropDown="0" showInputMessage="0" showErrorMessage="0" allowBlank="1" type="list">
      <formula1>"Stationery,Electronics,Clothing,Books,Bags,Art Supplies,Other"</formula1>
    </dataValidation>
    <dataValidation sqref="G2:G500" showDropDown="0" showInputMessage="0" showErrorMessage="0" allowBlank="1" type="list">
      <formula1>"Needed,In Cart,Purchased,Skip"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6" t="inlineStr">
        <is>
          <t>Student</t>
        </is>
      </c>
      <c r="B1" s="6" t="inlineStr">
        <is>
          <t>Budget $</t>
        </is>
      </c>
      <c r="C1" s="6" t="inlineStr">
        <is>
          <t>Spent $</t>
        </is>
      </c>
      <c r="D1" s="6" t="inlineStr">
        <is>
          <t>Remaining $</t>
        </is>
      </c>
      <c r="E1" s="6" t="inlineStr">
        <is>
          <t>Grade/Level</t>
        </is>
      </c>
    </row>
    <row r="2">
      <c r="A2" s="7" t="inlineStr">
        <is>
          <t>Alex Martin</t>
        </is>
      </c>
      <c r="B2" s="8" t="n">
        <v>150</v>
      </c>
      <c r="C2" s="8" t="n">
        <v>98</v>
      </c>
      <c r="D2" s="7" t="n">
        <v>52</v>
      </c>
      <c r="E2" s="7" t="inlineStr">
        <is>
          <t>7th Grade</t>
        </is>
      </c>
    </row>
    <row r="3">
      <c r="A3" s="9" t="inlineStr">
        <is>
          <t>Sara Lopez</t>
        </is>
      </c>
      <c r="B3" s="10" t="n">
        <v>105</v>
      </c>
      <c r="C3" s="10" t="n">
        <v>68.59999999999999</v>
      </c>
      <c r="D3" s="9" t="n">
        <v>36.4</v>
      </c>
      <c r="E3" s="9" t="inlineStr">
        <is>
          <t>7th Grade</t>
        </is>
      </c>
    </row>
    <row r="4">
      <c r="A4" s="7" t="inlineStr">
        <is>
          <t>Omar Haddad</t>
        </is>
      </c>
      <c r="B4" s="8" t="n">
        <v>195</v>
      </c>
      <c r="C4" s="8" t="n">
        <v>127.4</v>
      </c>
      <c r="D4" s="7" t="n">
        <v>67.59999999999999</v>
      </c>
      <c r="E4" s="7" t="inlineStr"/>
    </row>
    <row r="5">
      <c r="A5" s="9" t="inlineStr">
        <is>
          <t>Emma Fischer</t>
        </is>
      </c>
      <c r="B5" s="10" t="n">
        <v>128</v>
      </c>
      <c r="C5" s="10" t="n">
        <v>83.3</v>
      </c>
      <c r="D5" s="9" t="n">
        <v>44.2</v>
      </c>
      <c r="E5" s="9" t="inlineStr">
        <is>
          <t>7th Grade</t>
        </is>
      </c>
    </row>
    <row r="6">
      <c r="A6" s="7" t="inlineStr">
        <is>
          <t>Liam Carter</t>
        </is>
      </c>
      <c r="B6" s="8" t="n">
        <v>172</v>
      </c>
      <c r="C6" s="8" t="n">
        <v>112.7</v>
      </c>
      <c r="D6" s="7" t="n">
        <v>59.8</v>
      </c>
      <c r="E6" s="7" t="inlineStr">
        <is>
          <t>7th Grade</t>
        </is>
      </c>
    </row>
    <row r="7">
      <c r="A7" s="9" t="inlineStr">
        <is>
          <t>Nadia Rahali</t>
        </is>
      </c>
      <c r="B7" s="10" t="n">
        <v>90</v>
      </c>
      <c r="C7" s="10" t="n">
        <v>58.8</v>
      </c>
      <c r="D7" s="9" t="n">
        <v>31.2</v>
      </c>
      <c r="E7" s="9" t="inlineStr"/>
    </row>
    <row r="8">
      <c r="A8" s="7" t="inlineStr">
        <is>
          <t>Tom Becker</t>
        </is>
      </c>
      <c r="B8" s="8" t="n">
        <v>218</v>
      </c>
      <c r="C8" s="8" t="n">
        <v>142.1</v>
      </c>
      <c r="D8" s="7" t="n">
        <v>75.40000000000001</v>
      </c>
      <c r="E8" s="7" t="inlineStr">
        <is>
          <t>7th Grade</t>
        </is>
      </c>
    </row>
    <row r="9">
      <c r="A9" s="9" t="inlineStr">
        <is>
          <t>Julia Romero</t>
        </is>
      </c>
      <c r="B9" s="10" t="n">
        <v>142</v>
      </c>
      <c r="C9" s="10" t="n">
        <v>93.09999999999999</v>
      </c>
      <c r="D9" s="9" t="n">
        <v>49.4</v>
      </c>
      <c r="E9" s="9" t="inlineStr">
        <is>
          <t>7th Grade</t>
        </is>
      </c>
    </row>
    <row r="10">
      <c r="A10" s="7" t="inlineStr">
        <is>
          <t>Karim Ziani</t>
        </is>
      </c>
      <c r="B10" s="8" t="n">
        <v>188</v>
      </c>
      <c r="C10" s="8" t="n">
        <v>122.5</v>
      </c>
      <c r="D10" s="7" t="n">
        <v>65</v>
      </c>
      <c r="E10" s="7" t="inlineStr"/>
    </row>
    <row r="11">
      <c r="A11" s="9" t="inlineStr">
        <is>
          <t>Anna Kowalska</t>
        </is>
      </c>
      <c r="B11" s="10" t="n">
        <v>120</v>
      </c>
      <c r="C11" s="10" t="n">
        <v>78.40000000000001</v>
      </c>
      <c r="D11" s="9" t="n">
        <v>41.6</v>
      </c>
      <c r="E11" s="9" t="inlineStr">
        <is>
          <t>7th Grade</t>
        </is>
      </c>
    </row>
    <row r="12">
      <c r="A12" s="7" t="inlineStr">
        <is>
          <t>David Chen</t>
        </is>
      </c>
      <c r="B12" s="8" t="n">
        <v>165</v>
      </c>
      <c r="C12" s="8" t="n">
        <v>107.8</v>
      </c>
      <c r="D12" s="7" t="n">
        <v>57.2</v>
      </c>
      <c r="E12" s="7" t="inlineStr">
        <is>
          <t>7th Grade</t>
        </is>
      </c>
    </row>
    <row r="13">
      <c r="A13" s="9" t="inlineStr">
        <is>
          <t>Lea Moreau</t>
        </is>
      </c>
      <c r="B13" s="10" t="n">
        <v>112</v>
      </c>
      <c r="C13" s="10" t="n">
        <v>73.5</v>
      </c>
      <c r="D13" s="9" t="n">
        <v>39</v>
      </c>
      <c r="E13" s="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  <col width="16" customWidth="1" min="7" max="7"/>
  </cols>
  <sheetData>
    <row r="1">
      <c r="A1" s="6" t="inlineStr">
        <is>
          <t>Item</t>
        </is>
      </c>
      <c r="B1" s="6" t="inlineStr">
        <is>
          <t>Target $</t>
        </is>
      </c>
      <c r="C1" s="6" t="inlineStr">
        <is>
          <t>Walmart $</t>
        </is>
      </c>
      <c r="D1" s="6" t="inlineStr">
        <is>
          <t>Amazon $</t>
        </is>
      </c>
      <c r="E1" s="6" t="inlineStr">
        <is>
          <t>Dollar Store $</t>
        </is>
      </c>
      <c r="F1" s="6" t="inlineStr">
        <is>
          <t>Best Price</t>
        </is>
      </c>
      <c r="G1" s="6" t="inlineStr">
        <is>
          <t>Buy At</t>
        </is>
      </c>
    </row>
    <row r="2">
      <c r="A2" s="7" t="inlineStr">
        <is>
          <t>Kickoff meeting</t>
        </is>
      </c>
      <c r="B2" s="8" t="n">
        <v>8.99</v>
      </c>
      <c r="C2" s="7" t="n">
        <v>7.49</v>
      </c>
      <c r="D2" s="7" t="n">
        <v>9.5</v>
      </c>
      <c r="E2" s="7" t="n">
        <v>5</v>
      </c>
      <c r="F2" s="7">
        <f>MIN(B2:E2)</f>
        <v/>
      </c>
      <c r="G2" s="7" t="inlineStr">
        <is>
          <t>Dollar Store</t>
        </is>
      </c>
    </row>
    <row r="3">
      <c r="A3" s="9" t="inlineStr">
        <is>
          <t>Send proposal</t>
        </is>
      </c>
      <c r="B3" s="10" t="n">
        <v>6.29</v>
      </c>
      <c r="C3" s="9" t="n">
        <v>5.24</v>
      </c>
      <c r="D3" s="9" t="n">
        <v>6.65</v>
      </c>
      <c r="E3" s="9" t="n">
        <v>3.5</v>
      </c>
      <c r="F3" s="9">
        <f>MIN(B3:E3)</f>
        <v/>
      </c>
      <c r="G3" s="9" t="inlineStr">
        <is>
          <t>Dollar Store</t>
        </is>
      </c>
    </row>
    <row r="4">
      <c r="A4" s="7" t="inlineStr">
        <is>
          <t>Review feedback</t>
        </is>
      </c>
      <c r="B4" s="8" t="n">
        <v>11.69</v>
      </c>
      <c r="C4" s="7" t="n">
        <v>9.74</v>
      </c>
      <c r="D4" s="7" t="n">
        <v>12.35</v>
      </c>
      <c r="E4" s="7" t="n">
        <v>6.5</v>
      </c>
      <c r="F4" s="7">
        <f>MIN(B4:E4)</f>
        <v/>
      </c>
      <c r="G4" s="7" t="inlineStr"/>
    </row>
    <row r="5">
      <c r="A5" s="9" t="inlineStr">
        <is>
          <t>Update website copy</t>
        </is>
      </c>
      <c r="B5" s="10" t="n">
        <v>7.64</v>
      </c>
      <c r="C5" s="9" t="n">
        <v>6.37</v>
      </c>
      <c r="D5" s="9" t="n">
        <v>8.07</v>
      </c>
      <c r="E5" s="9" t="n">
        <v>4.25</v>
      </c>
      <c r="F5" s="9">
        <f>MIN(B5:E5)</f>
        <v/>
      </c>
      <c r="G5" s="9" t="inlineStr">
        <is>
          <t>Dollar Store</t>
        </is>
      </c>
    </row>
    <row r="6">
      <c r="A6" s="7" t="inlineStr">
        <is>
          <t>Prepare invoice</t>
        </is>
      </c>
      <c r="B6" s="8" t="n">
        <v>10.34</v>
      </c>
      <c r="C6" s="7" t="n">
        <v>8.609999999999999</v>
      </c>
      <c r="D6" s="7" t="n">
        <v>10.92</v>
      </c>
      <c r="E6" s="7" t="n">
        <v>5.75</v>
      </c>
      <c r="F6" s="7">
        <f>MIN(B6:E6)</f>
        <v/>
      </c>
      <c r="G6" s="7" t="inlineStr">
        <is>
          <t>Dollar Store</t>
        </is>
      </c>
    </row>
    <row r="7">
      <c r="A7" s="9" t="inlineStr">
        <is>
          <t>Client call</t>
        </is>
      </c>
      <c r="B7" s="10" t="n">
        <v>5.39</v>
      </c>
      <c r="C7" s="9" t="n">
        <v>4.49</v>
      </c>
      <c r="D7" s="9" t="n">
        <v>5.7</v>
      </c>
      <c r="E7" s="9" t="n">
        <v>3</v>
      </c>
      <c r="F7" s="9">
        <f>MIN(B7:E7)</f>
        <v/>
      </c>
      <c r="G7" s="9" t="inlineStr"/>
    </row>
    <row r="8">
      <c r="A8" s="7" t="inlineStr">
        <is>
          <t>Design first draft</t>
        </is>
      </c>
      <c r="B8" s="8" t="n">
        <v>13.04</v>
      </c>
      <c r="C8" s="7" t="n">
        <v>10.86</v>
      </c>
      <c r="D8" s="7" t="n">
        <v>13.78</v>
      </c>
      <c r="E8" s="7" t="n">
        <v>7.25</v>
      </c>
      <c r="F8" s="7">
        <f>MIN(B8:E8)</f>
        <v/>
      </c>
      <c r="G8" s="7" t="inlineStr">
        <is>
          <t>Dollar Store</t>
        </is>
      </c>
    </row>
    <row r="9">
      <c r="A9" s="9" t="inlineStr">
        <is>
          <t>Fix reported bug</t>
        </is>
      </c>
      <c r="B9" s="10" t="n">
        <v>8.539999999999999</v>
      </c>
      <c r="C9" s="9" t="n">
        <v>7.12</v>
      </c>
      <c r="D9" s="9" t="n">
        <v>9.029999999999999</v>
      </c>
      <c r="E9" s="9" t="n">
        <v>4.75</v>
      </c>
      <c r="F9" s="9">
        <f>MIN(B9:E9)</f>
        <v/>
      </c>
      <c r="G9" s="9" t="inlineStr">
        <is>
          <t>Dollar Store</t>
        </is>
      </c>
    </row>
    <row r="10">
      <c r="A10" s="7" t="inlineStr">
        <is>
          <t>Weekly report</t>
        </is>
      </c>
      <c r="B10" s="8" t="n">
        <v>11.24</v>
      </c>
      <c r="C10" s="7" t="n">
        <v>9.359999999999999</v>
      </c>
      <c r="D10" s="7" t="n">
        <v>11.88</v>
      </c>
      <c r="E10" s="7" t="n">
        <v>6.25</v>
      </c>
      <c r="F10" s="7">
        <f>MIN(B10:E10)</f>
        <v/>
      </c>
      <c r="G10" s="7" t="inlineStr"/>
    </row>
    <row r="11">
      <c r="A11" s="9" t="inlineStr">
        <is>
          <t>Plan next sprint</t>
        </is>
      </c>
      <c r="B11" s="10" t="n">
        <v>7.19</v>
      </c>
      <c r="C11" s="9" t="n">
        <v>5.99</v>
      </c>
      <c r="D11" s="9" t="n">
        <v>7.6</v>
      </c>
      <c r="E11" s="9" t="n">
        <v>4</v>
      </c>
      <c r="F11" s="9">
        <f>MIN(B11:E11)</f>
        <v/>
      </c>
      <c r="G11" s="9" t="inlineStr">
        <is>
          <t>Dollar Store</t>
        </is>
      </c>
    </row>
    <row r="12">
      <c r="A12" s="7" t="inlineStr">
        <is>
          <t>Publish blog post</t>
        </is>
      </c>
      <c r="B12" s="8" t="n">
        <v>9.890000000000001</v>
      </c>
      <c r="C12" s="7" t="n">
        <v>8.24</v>
      </c>
      <c r="D12" s="7" t="n">
        <v>10.45</v>
      </c>
      <c r="E12" s="7" t="n">
        <v>5.5</v>
      </c>
      <c r="F12" s="7">
        <f>MIN(B12:E12)</f>
        <v/>
      </c>
      <c r="G12" s="7" t="inlineStr">
        <is>
          <t>Dollar Store</t>
        </is>
      </c>
    </row>
    <row r="13">
      <c r="A13" s="9" t="inlineStr">
        <is>
          <t>Team sync</t>
        </is>
      </c>
      <c r="B13" s="10" t="n">
        <v>6.74</v>
      </c>
      <c r="C13" s="9" t="n">
        <v>5.62</v>
      </c>
      <c r="D13" s="9" t="n">
        <v>7.12</v>
      </c>
      <c r="E13" s="9" t="n">
        <v>3.75</v>
      </c>
      <c r="F13" s="9">
        <f>MIN(B13:E13)</f>
        <v/>
      </c>
      <c r="G13" s="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2026-07-16T21:44:40Z</dcterms:created>
  <dcterms:modified xsi:type="dcterms:W3CDTF">2026-07-16T21:44:40Z</dcterms:modified>
</cp:coreProperties>
</file>