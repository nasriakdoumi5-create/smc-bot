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Income" sheetId="3" state="visible" r:id="rId3"/>
    <sheet name="Expenses" sheetId="4" state="visible" r:id="rId4"/>
    <sheet name="Budget" sheetId="5" state="visible" r:id="rId5"/>
    <sheet name="Savings Goal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F97316"/>
      <sz val="12"/>
    </font>
    <font>
      <name val="Arial"/>
      <color rgb="00333333"/>
      <sz val="11"/>
    </font>
    <font>
      <name val="Arial"/>
      <i val="1"/>
      <color rgb="00777777"/>
      <sz val="10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b val="1"/>
      <color rgb="00FFFFFF"/>
      <sz val="18"/>
    </font>
    <font>
      <name val="Arial"/>
      <b val="1"/>
      <color rgb="001A1A2E"/>
      <sz val="12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7F0"/>
      </patternFill>
    </fill>
    <fill>
      <patternFill patternType="solid">
        <fgColor rgb="0022C55E"/>
      </patternFill>
    </fill>
    <fill>
      <patternFill patternType="solid">
        <fgColor rgb="00EF4444"/>
      </patternFill>
    </fill>
    <fill>
      <patternFill patternType="solid">
        <fgColor rgb="00F9731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165" fontId="10" fillId="4" borderId="0" applyAlignment="1" pivotButton="0" quotePrefix="0" xfId="0">
      <alignment horizontal="center" vertical="center"/>
    </xf>
    <xf numFmtId="165" fontId="10" fillId="5" borderId="0" applyAlignment="1" pivotButton="0" quotePrefix="0" xfId="0">
      <alignment horizontal="center" vertical="center"/>
    </xf>
    <xf numFmtId="165" fontId="10" fillId="6" borderId="0" applyAlignment="1" pivotButton="0" quotePrefix="0" xfId="0">
      <alignment horizontal="center" vertical="center"/>
    </xf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3" borderId="1" pivotButton="0" quotePrefix="0" xfId="0"/>
    <xf numFmtId="165" fontId="0" fillId="3" borderId="1" pivotButton="0" quotePrefix="0" xfId="0"/>
    <xf numFmtId="0" fontId="0" fillId="3" borderId="1" pivotButton="0" quotePrefix="0" xfId="0"/>
    <xf numFmtId="0" fontId="7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165" fontId="7" fillId="0" borderId="1" pivotButton="0" quotePrefix="0" xfId="0"/>
    <xf numFmtId="164" fontId="7" fillId="3" borderId="1" pivotButton="0" quotePrefix="0" xfId="0"/>
    <xf numFmtId="165" fontId="7" fillId="3" borderId="1" pivotButton="0" quotePrefix="0" xfId="0"/>
    <xf numFmtId="164" fontId="7" fillId="0" borderId="1" pivotButton="0" quotePrefix="0" xfId="0"/>
    <xf numFmtId="0" fontId="7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EF4444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'Dashboard'!C9</f>
            </strRef>
          </tx>
          <spPr>
            <a:ln>
              <a:prstDash val="solid"/>
            </a:ln>
          </spPr>
          <cat>
            <numRef>
              <f>'Dashboard'!$B$10:$B$21</f>
            </numRef>
          </cat>
          <val>
            <numRef>
              <f>'Dashboard'!$C$10:$C$21</f>
            </numRef>
          </val>
        </ser>
        <ser>
          <idx val="1"/>
          <order val="1"/>
          <tx>
            <strRef>
              <f>'Dashboard'!D9</f>
            </strRef>
          </tx>
          <spPr>
            <a:ln>
              <a:prstDash val="solid"/>
            </a:ln>
          </spPr>
          <cat>
            <numRef>
              <f>'Dashboard'!$B$10:$B$21</f>
            </numRef>
          </cat>
          <val>
            <numRef>
              <f>'Dashboard'!$D$10:$D$21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💰  STARTER BUDGET TRACKER</t>
        </is>
      </c>
    </row>
    <row r="3"/>
    <row r="4">
      <c r="B4" s="2" t="inlineStr">
        <is>
          <t>Welcome! You're 3 steps away from knowing exactly where your money goes.</t>
        </is>
      </c>
    </row>
    <row r="6">
      <c r="B6" s="3" t="inlineStr">
        <is>
          <t>STEP 1 — Add your income</t>
        </is>
      </c>
    </row>
    <row r="7" ht="30" customHeight="1">
      <c r="B7" s="4" t="inlineStr">
        <is>
          <t>Open the "Income" tab and log everything you earn: salary, freelance, side money. Just type the date, amount and pick a source.</t>
        </is>
      </c>
    </row>
    <row r="9">
      <c r="B9" s="3" t="inlineStr">
        <is>
          <t>STEP 2 — Log your expenses</t>
        </is>
      </c>
    </row>
    <row r="10" ht="30" customHeight="1">
      <c r="B10" s="4" t="inlineStr">
        <is>
          <t>Open the "Expenses" tab every time you spend. Pick a category from the dropdown — this powers all the charts.</t>
        </is>
      </c>
    </row>
    <row r="12">
      <c r="B12" s="3" t="inlineStr">
        <is>
          <t>STEP 3 — Watch the Dashboard</t>
        </is>
      </c>
    </row>
    <row r="13" ht="30" customHeight="1">
      <c r="B13" s="4" t="inlineStr">
        <is>
          <t>The "Dashboard" tab updates itself: this month's income, spending, what's left, and your savings rate. Set limits in "Budget" and goals in "Savings Goals".</t>
        </is>
      </c>
    </row>
    <row r="15">
      <c r="B15" s="5" t="inlineStr">
        <is>
          <t>TIP: Delete the sample rows once you've seen how it works — select them and press Delete.</t>
        </is>
      </c>
    </row>
    <row r="17">
      <c r="B17" s="5" t="inlineStr">
        <is>
          <t>TIP: On Google Sheets? File → Make a copy first, then edit your own copy.</t>
        </is>
      </c>
    </row>
    <row r="19">
      <c r="B19" s="5" t="inlineStr">
        <is>
          <t>TIP: Everything recalculates automatically. You never need to touch a formula.</t>
        </is>
      </c>
    </row>
    <row r="21">
      <c r="B21" s="5" t="inlineStr">
        <is>
          <t>Need help? Message NasriTools on Etsy — I reply fast. Enjoy! 🧡</t>
        </is>
      </c>
    </row>
  </sheetData>
  <mergeCells count="12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 ht="30" customHeight="1">
      <c r="B2" s="6" t="inlineStr">
        <is>
          <t>📊  MY BUDGET DASHBOARD</t>
        </is>
      </c>
    </row>
    <row r="4">
      <c r="B4" s="7" t="inlineStr">
        <is>
          <t>THIS MONTH IN</t>
        </is>
      </c>
      <c r="D4" s="8" t="inlineStr">
        <is>
          <t>THIS MONTH OUT</t>
        </is>
      </c>
      <c r="F4" s="9" t="inlineStr">
        <is>
          <t>LEFT TO SPEND</t>
        </is>
      </c>
    </row>
    <row r="5" ht="28" customHeight="1">
      <c r="B5" s="10">
        <f>SUMPRODUCT((TEXT(Income!$A$2:$A$500,"yyyy-mm")=TEXT(TODAY(),"yyyy-mm"))*Income!$B$2:$B$500)</f>
        <v/>
      </c>
      <c r="D5" s="11">
        <f>SUMPRODUCT((TEXT(Expenses!$A$2:$A$500,"yyyy-mm")=TEXT(TODAY(),"yyyy-mm"))*Expenses!$D$2:$D$500)</f>
        <v/>
      </c>
      <c r="F5" s="12">
        <f>B5-D5</f>
        <v/>
      </c>
    </row>
    <row r="8">
      <c r="B8" s="13" t="inlineStr">
        <is>
          <t>MONTH-BY-MONTH (2026)</t>
        </is>
      </c>
    </row>
    <row r="9">
      <c r="B9" s="14" t="inlineStr">
        <is>
          <t>Month</t>
        </is>
      </c>
      <c r="C9" s="14" t="inlineStr">
        <is>
          <t>Income</t>
        </is>
      </c>
      <c r="D9" s="14" t="inlineStr">
        <is>
          <t>Expenses</t>
        </is>
      </c>
      <c r="E9" s="14" t="inlineStr">
        <is>
          <t>Saved</t>
        </is>
      </c>
      <c r="F9" s="14" t="inlineStr">
        <is>
          <t>Rate</t>
        </is>
      </c>
    </row>
    <row r="10">
      <c r="B10" s="15" t="inlineStr">
        <is>
          <t>Jan</t>
        </is>
      </c>
      <c r="C10" s="16">
        <f>SUMPRODUCT((TEXT(Income!$A$2:$A$500,"yyyy-mm")="2026-01")*Income!$B$2:$B$500)</f>
        <v/>
      </c>
      <c r="D10" s="16">
        <f>SUMPRODUCT((TEXT(Expenses!$A$2:$A$500,"yyyy-mm")="2026-01")*Expenses!$D$2:$D$500)</f>
        <v/>
      </c>
      <c r="E10" s="16">
        <f>C10-D10</f>
        <v/>
      </c>
      <c r="F10" s="17">
        <f>IFERROR(TEXT(E10/C10,"0%"),"—")</f>
        <v/>
      </c>
    </row>
    <row r="11">
      <c r="B11" s="18" t="inlineStr">
        <is>
          <t>Feb</t>
        </is>
      </c>
      <c r="C11" s="19">
        <f>SUMPRODUCT((TEXT(Income!$A$2:$A$500,"yyyy-mm")="2026-02")*Income!$B$2:$B$500)</f>
        <v/>
      </c>
      <c r="D11" s="19">
        <f>SUMPRODUCT((TEXT(Expenses!$A$2:$A$500,"yyyy-mm")="2026-02")*Expenses!$D$2:$D$500)</f>
        <v/>
      </c>
      <c r="E11" s="19">
        <f>C11-D11</f>
        <v/>
      </c>
      <c r="F11" s="20">
        <f>IFERROR(TEXT(E11/C11,"0%"),"—")</f>
        <v/>
      </c>
    </row>
    <row r="12">
      <c r="B12" s="15" t="inlineStr">
        <is>
          <t>Mar</t>
        </is>
      </c>
      <c r="C12" s="16">
        <f>SUMPRODUCT((TEXT(Income!$A$2:$A$500,"yyyy-mm")="2026-03")*Income!$B$2:$B$500)</f>
        <v/>
      </c>
      <c r="D12" s="16">
        <f>SUMPRODUCT((TEXT(Expenses!$A$2:$A$500,"yyyy-mm")="2026-03")*Expenses!$D$2:$D$500)</f>
        <v/>
      </c>
      <c r="E12" s="16">
        <f>C12-D12</f>
        <v/>
      </c>
      <c r="F12" s="17">
        <f>IFERROR(TEXT(E12/C12,"0%"),"—")</f>
        <v/>
      </c>
    </row>
    <row r="13">
      <c r="B13" s="18" t="inlineStr">
        <is>
          <t>Apr</t>
        </is>
      </c>
      <c r="C13" s="19">
        <f>SUMPRODUCT((TEXT(Income!$A$2:$A$500,"yyyy-mm")="2026-04")*Income!$B$2:$B$500)</f>
        <v/>
      </c>
      <c r="D13" s="19">
        <f>SUMPRODUCT((TEXT(Expenses!$A$2:$A$500,"yyyy-mm")="2026-04")*Expenses!$D$2:$D$500)</f>
        <v/>
      </c>
      <c r="E13" s="19">
        <f>C13-D13</f>
        <v/>
      </c>
      <c r="F13" s="20">
        <f>IFERROR(TEXT(E13/C13,"0%"),"—")</f>
        <v/>
      </c>
    </row>
    <row r="14">
      <c r="B14" s="15" t="inlineStr">
        <is>
          <t>May</t>
        </is>
      </c>
      <c r="C14" s="16">
        <f>SUMPRODUCT((TEXT(Income!$A$2:$A$500,"yyyy-mm")="2026-05")*Income!$B$2:$B$500)</f>
        <v/>
      </c>
      <c r="D14" s="16">
        <f>SUMPRODUCT((TEXT(Expenses!$A$2:$A$500,"yyyy-mm")="2026-05")*Expenses!$D$2:$D$500)</f>
        <v/>
      </c>
      <c r="E14" s="16">
        <f>C14-D14</f>
        <v/>
      </c>
      <c r="F14" s="17">
        <f>IFERROR(TEXT(E14/C14,"0%"),"—")</f>
        <v/>
      </c>
    </row>
    <row r="15">
      <c r="B15" s="18" t="inlineStr">
        <is>
          <t>Jun</t>
        </is>
      </c>
      <c r="C15" s="19">
        <f>SUMPRODUCT((TEXT(Income!$A$2:$A$500,"yyyy-mm")="2026-06")*Income!$B$2:$B$500)</f>
        <v/>
      </c>
      <c r="D15" s="19">
        <f>SUMPRODUCT((TEXT(Expenses!$A$2:$A$500,"yyyy-mm")="2026-06")*Expenses!$D$2:$D$500)</f>
        <v/>
      </c>
      <c r="E15" s="19">
        <f>C15-D15</f>
        <v/>
      </c>
      <c r="F15" s="20">
        <f>IFERROR(TEXT(E15/C15,"0%"),"—")</f>
        <v/>
      </c>
    </row>
    <row r="16">
      <c r="B16" s="15" t="inlineStr">
        <is>
          <t>Jul</t>
        </is>
      </c>
      <c r="C16" s="16">
        <f>SUMPRODUCT((TEXT(Income!$A$2:$A$500,"yyyy-mm")="2026-07")*Income!$B$2:$B$500)</f>
        <v/>
      </c>
      <c r="D16" s="16">
        <f>SUMPRODUCT((TEXT(Expenses!$A$2:$A$500,"yyyy-mm")="2026-07")*Expenses!$D$2:$D$500)</f>
        <v/>
      </c>
      <c r="E16" s="16">
        <f>C16-D16</f>
        <v/>
      </c>
      <c r="F16" s="17">
        <f>IFERROR(TEXT(E16/C16,"0%"),"—")</f>
        <v/>
      </c>
    </row>
    <row r="17">
      <c r="B17" s="18" t="inlineStr">
        <is>
          <t>Aug</t>
        </is>
      </c>
      <c r="C17" s="19">
        <f>SUMPRODUCT((TEXT(Income!$A$2:$A$500,"yyyy-mm")="2026-08")*Income!$B$2:$B$500)</f>
        <v/>
      </c>
      <c r="D17" s="19">
        <f>SUMPRODUCT((TEXT(Expenses!$A$2:$A$500,"yyyy-mm")="2026-08")*Expenses!$D$2:$D$500)</f>
        <v/>
      </c>
      <c r="E17" s="19">
        <f>C17-D17</f>
        <v/>
      </c>
      <c r="F17" s="20">
        <f>IFERROR(TEXT(E17/C17,"0%"),"—")</f>
        <v/>
      </c>
    </row>
    <row r="18">
      <c r="B18" s="15" t="inlineStr">
        <is>
          <t>Sep</t>
        </is>
      </c>
      <c r="C18" s="16">
        <f>SUMPRODUCT((TEXT(Income!$A$2:$A$500,"yyyy-mm")="2026-09")*Income!$B$2:$B$500)</f>
        <v/>
      </c>
      <c r="D18" s="16">
        <f>SUMPRODUCT((TEXT(Expenses!$A$2:$A$500,"yyyy-mm")="2026-09")*Expenses!$D$2:$D$500)</f>
        <v/>
      </c>
      <c r="E18" s="16">
        <f>C18-D18</f>
        <v/>
      </c>
      <c r="F18" s="17">
        <f>IFERROR(TEXT(E18/C18,"0%"),"—")</f>
        <v/>
      </c>
    </row>
    <row r="19">
      <c r="B19" s="18" t="inlineStr">
        <is>
          <t>Oct</t>
        </is>
      </c>
      <c r="C19" s="19">
        <f>SUMPRODUCT((TEXT(Income!$A$2:$A$500,"yyyy-mm")="2026-10")*Income!$B$2:$B$500)</f>
        <v/>
      </c>
      <c r="D19" s="19">
        <f>SUMPRODUCT((TEXT(Expenses!$A$2:$A$500,"yyyy-mm")="2026-10")*Expenses!$D$2:$D$500)</f>
        <v/>
      </c>
      <c r="E19" s="19">
        <f>C19-D19</f>
        <v/>
      </c>
      <c r="F19" s="20">
        <f>IFERROR(TEXT(E19/C19,"0%"),"—")</f>
        <v/>
      </c>
    </row>
    <row r="20">
      <c r="B20" s="15" t="inlineStr">
        <is>
          <t>Nov</t>
        </is>
      </c>
      <c r="C20" s="16">
        <f>SUMPRODUCT((TEXT(Income!$A$2:$A$500,"yyyy-mm")="2026-11")*Income!$B$2:$B$500)</f>
        <v/>
      </c>
      <c r="D20" s="16">
        <f>SUMPRODUCT((TEXT(Expenses!$A$2:$A$500,"yyyy-mm")="2026-11")*Expenses!$D$2:$D$500)</f>
        <v/>
      </c>
      <c r="E20" s="16">
        <f>C20-D20</f>
        <v/>
      </c>
      <c r="F20" s="17">
        <f>IFERROR(TEXT(E20/C20,"0%"),"—")</f>
        <v/>
      </c>
    </row>
    <row r="21">
      <c r="B21" s="18" t="inlineStr">
        <is>
          <t>Dec</t>
        </is>
      </c>
      <c r="C21" s="19">
        <f>SUMPRODUCT((TEXT(Income!$A$2:$A$500,"yyyy-mm")="2026-12")*Income!$B$2:$B$500)</f>
        <v/>
      </c>
      <c r="D21" s="19">
        <f>SUMPRODUCT((TEXT(Expenses!$A$2:$A$500,"yyyy-mm")="2026-12")*Expenses!$D$2:$D$500)</f>
        <v/>
      </c>
      <c r="E21" s="19">
        <f>C21-D21</f>
        <v/>
      </c>
      <c r="F21" s="20">
        <f>IFERROR(TEXT(E21/C21,"0%"),"—")</f>
        <v/>
      </c>
    </row>
    <row r="24">
      <c r="B24" s="13" t="inlineStr">
        <is>
          <t>SPENDING BY CATEGORY (all time)</t>
        </is>
      </c>
    </row>
    <row r="25">
      <c r="B25" s="14" t="inlineStr">
        <is>
          <t>Category</t>
        </is>
      </c>
      <c r="C25" s="14" t="inlineStr">
        <is>
          <t>Spent</t>
        </is>
      </c>
    </row>
    <row r="26">
      <c r="B26" s="18" t="inlineStr">
        <is>
          <t>Housing</t>
        </is>
      </c>
      <c r="C26" s="21">
        <f>SUMIFS(Expenses!$D$2:$D$500,Expenses!$C$2:$C$500,B26)</f>
        <v/>
      </c>
    </row>
    <row r="27">
      <c r="B27" s="18" t="inlineStr">
        <is>
          <t>Food</t>
        </is>
      </c>
      <c r="C27" s="21">
        <f>SUMIFS(Expenses!$D$2:$D$500,Expenses!$C$2:$C$500,B27)</f>
        <v/>
      </c>
    </row>
    <row r="28">
      <c r="B28" s="18" t="inlineStr">
        <is>
          <t>Transport</t>
        </is>
      </c>
      <c r="C28" s="21">
        <f>SUMIFS(Expenses!$D$2:$D$500,Expenses!$C$2:$C$500,B28)</f>
        <v/>
      </c>
    </row>
    <row r="29">
      <c r="B29" s="18" t="inlineStr">
        <is>
          <t>Health</t>
        </is>
      </c>
      <c r="C29" s="21">
        <f>SUMIFS(Expenses!$D$2:$D$500,Expenses!$C$2:$C$500,B29)</f>
        <v/>
      </c>
    </row>
    <row r="30">
      <c r="B30" s="18" t="inlineStr">
        <is>
          <t>Fun</t>
        </is>
      </c>
      <c r="C30" s="21">
        <f>SUMIFS(Expenses!$D$2:$D$500,Expenses!$C$2:$C$500,B30)</f>
        <v/>
      </c>
    </row>
    <row r="31">
      <c r="B31" s="18" t="inlineStr">
        <is>
          <t>Shopping</t>
        </is>
      </c>
      <c r="C31" s="21">
        <f>SUMIFS(Expenses!$D$2:$D$500,Expenses!$C$2:$C$500,B31)</f>
        <v/>
      </c>
    </row>
    <row r="32">
      <c r="B32" s="18" t="inlineStr">
        <is>
          <t>Bills</t>
        </is>
      </c>
      <c r="C32" s="21">
        <f>SUMIFS(Expenses!$D$2:$D$500,Expenses!$C$2:$C$500,B32)</f>
        <v/>
      </c>
    </row>
    <row r="33">
      <c r="B33" s="18" t="inlineStr">
        <is>
          <t>Other</t>
        </is>
      </c>
      <c r="C33" s="21">
        <f>SUMIFS(Expenses!$D$2:$D$500,Expenses!$C$2:$C$500,B33)</f>
        <v/>
      </c>
    </row>
  </sheetData>
  <mergeCells count="7">
    <mergeCell ref="B2:G2"/>
    <mergeCell ref="F4:G4"/>
    <mergeCell ref="B5:C5"/>
    <mergeCell ref="F5:G5"/>
    <mergeCell ref="D5:E5"/>
    <mergeCell ref="D4:E4"/>
    <mergeCell ref="B4:C4"/>
  </mergeCells>
  <conditionalFormatting sqref="C26:C33">
    <cfRule type="dataBar" priority="1">
      <dataBar showValue="1">
        <cfvo type="num" val="0"/>
        <cfvo type="max"/>
        <color rgb="00F9731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2" customWidth="1" min="4" max="4"/>
  </cols>
  <sheetData>
    <row r="1">
      <c r="A1" s="14" t="inlineStr">
        <is>
          <t>Date</t>
        </is>
      </c>
      <c r="B1" s="14" t="inlineStr">
        <is>
          <t>Amount</t>
        </is>
      </c>
      <c r="C1" s="14" t="inlineStr">
        <is>
          <t>Source</t>
        </is>
      </c>
      <c r="D1" s="14" t="inlineStr">
        <is>
          <t>Notes</t>
        </is>
      </c>
    </row>
    <row r="2">
      <c r="A2" s="22" t="n">
        <v>46204</v>
      </c>
      <c r="B2" s="23" t="n">
        <v>2200</v>
      </c>
      <c r="C2" s="15" t="inlineStr">
        <is>
          <t>Salary</t>
        </is>
      </c>
      <c r="D2" s="15" t="inlineStr">
        <is>
          <t>Monthly salary</t>
        </is>
      </c>
    </row>
    <row r="3">
      <c r="A3" s="24" t="n">
        <v>46208</v>
      </c>
      <c r="B3" s="21" t="n">
        <v>350</v>
      </c>
      <c r="C3" s="18" t="inlineStr">
        <is>
          <t>Freelance</t>
        </is>
      </c>
      <c r="D3" s="18" t="inlineStr">
        <is>
          <t>Logo project</t>
        </is>
      </c>
    </row>
    <row r="4">
      <c r="A4" s="22" t="n">
        <v>46215</v>
      </c>
      <c r="B4" s="23" t="n">
        <v>120</v>
      </c>
      <c r="C4" s="15" t="inlineStr">
        <is>
          <t>Side Hustle</t>
        </is>
      </c>
      <c r="D4" s="15" t="inlineStr">
        <is>
          <t>Etsy shop sales</t>
        </is>
      </c>
    </row>
    <row r="5">
      <c r="A5" s="24" t="n">
        <v>46222</v>
      </c>
      <c r="B5" s="21" t="n">
        <v>60</v>
      </c>
      <c r="C5" s="18" t="inlineStr">
        <is>
          <t>Other</t>
        </is>
      </c>
      <c r="D5" s="18" t="inlineStr">
        <is>
          <t>Sold old phone</t>
        </is>
      </c>
    </row>
    <row r="6">
      <c r="A6" s="22" t="n">
        <v>46229</v>
      </c>
      <c r="B6" s="23" t="n">
        <v>200</v>
      </c>
      <c r="C6" s="15" t="inlineStr">
        <is>
          <t>Freelance</t>
        </is>
      </c>
      <c r="D6" s="15" t="inlineStr">
        <is>
          <t>Consulting call</t>
        </is>
      </c>
    </row>
  </sheetData>
  <dataValidations count="1">
    <dataValidation sqref="C2:C500" showDropDown="0" showInputMessage="0" showErrorMessage="0" allowBlank="1" type="list">
      <formula1>"Salary,Freelance,Side Hustle,Gift,Other"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14" t="inlineStr">
        <is>
          <t>Date</t>
        </is>
      </c>
      <c r="B1" s="14" t="inlineStr">
        <is>
          <t>Item</t>
        </is>
      </c>
      <c r="C1" s="14" t="inlineStr">
        <is>
          <t>Category</t>
        </is>
      </c>
      <c r="D1" s="14" t="inlineStr">
        <is>
          <t>Amount</t>
        </is>
      </c>
      <c r="E1" s="14" t="inlineStr">
        <is>
          <t>Notes</t>
        </is>
      </c>
    </row>
    <row r="2">
      <c r="A2" s="22" t="n">
        <v>46204</v>
      </c>
      <c r="B2" s="15" t="inlineStr">
        <is>
          <t>Rent</t>
        </is>
      </c>
      <c r="C2" s="15" t="inlineStr">
        <is>
          <t>Housing</t>
        </is>
      </c>
      <c r="D2" s="23" t="n">
        <v>750</v>
      </c>
      <c r="E2" s="15" t="inlineStr">
        <is>
          <t>Monthly rent</t>
        </is>
      </c>
    </row>
    <row r="3">
      <c r="A3" s="24" t="n">
        <v>46205</v>
      </c>
      <c r="B3" s="18" t="inlineStr">
        <is>
          <t>Groceries</t>
        </is>
      </c>
      <c r="C3" s="18" t="inlineStr">
        <is>
          <t>Food</t>
        </is>
      </c>
      <c r="D3" s="21" t="n">
        <v>82</v>
      </c>
      <c r="E3" s="18" t="inlineStr">
        <is>
          <t>Weekly shop</t>
        </is>
      </c>
    </row>
    <row r="4">
      <c r="A4" s="22" t="n">
        <v>46206</v>
      </c>
      <c r="B4" s="15" t="inlineStr">
        <is>
          <t>Metro card</t>
        </is>
      </c>
      <c r="C4" s="15" t="inlineStr">
        <is>
          <t>Transport</t>
        </is>
      </c>
      <c r="D4" s="23" t="n">
        <v>40</v>
      </c>
      <c r="E4" s="15" t="inlineStr">
        <is>
          <t>Monthly pass</t>
        </is>
      </c>
    </row>
    <row r="5">
      <c r="A5" s="24" t="n">
        <v>46208</v>
      </c>
      <c r="B5" s="18" t="inlineStr">
        <is>
          <t>Pharmacy</t>
        </is>
      </c>
      <c r="C5" s="18" t="inlineStr">
        <is>
          <t>Health</t>
        </is>
      </c>
      <c r="D5" s="21" t="n">
        <v>18</v>
      </c>
      <c r="E5" s="18" t="inlineStr"/>
    </row>
    <row r="6">
      <c r="A6" s="22" t="n">
        <v>46210</v>
      </c>
      <c r="B6" s="15" t="inlineStr">
        <is>
          <t>Cinema</t>
        </is>
      </c>
      <c r="C6" s="15" t="inlineStr">
        <is>
          <t>Fun</t>
        </is>
      </c>
      <c r="D6" s="23" t="n">
        <v>24</v>
      </c>
      <c r="E6" s="15" t="inlineStr">
        <is>
          <t>Weekend movie</t>
        </is>
      </c>
    </row>
    <row r="7">
      <c r="A7" s="24" t="n">
        <v>46212</v>
      </c>
      <c r="B7" s="18" t="inlineStr">
        <is>
          <t>Groceries</t>
        </is>
      </c>
      <c r="C7" s="18" t="inlineStr">
        <is>
          <t>Food</t>
        </is>
      </c>
      <c r="D7" s="21" t="n">
        <v>76</v>
      </c>
      <c r="E7" s="18" t="inlineStr">
        <is>
          <t>Weekly shop</t>
        </is>
      </c>
    </row>
    <row r="8">
      <c r="A8" s="22" t="n">
        <v>46213</v>
      </c>
      <c r="B8" s="15" t="inlineStr">
        <is>
          <t>Electricity bill</t>
        </is>
      </c>
      <c r="C8" s="15" t="inlineStr">
        <is>
          <t>Bills</t>
        </is>
      </c>
      <c r="D8" s="23" t="n">
        <v>65</v>
      </c>
      <c r="E8" s="15" t="inlineStr"/>
    </row>
    <row r="9">
      <c r="A9" s="24" t="n">
        <v>46215</v>
      </c>
      <c r="B9" s="18" t="inlineStr">
        <is>
          <t>New shoes</t>
        </is>
      </c>
      <c r="C9" s="18" t="inlineStr">
        <is>
          <t>Shopping</t>
        </is>
      </c>
      <c r="D9" s="21" t="n">
        <v>59</v>
      </c>
      <c r="E9" s="18" t="inlineStr">
        <is>
          <t>Summer sale</t>
        </is>
      </c>
    </row>
    <row r="10">
      <c r="A10" s="22" t="n">
        <v>46217</v>
      </c>
      <c r="B10" s="15" t="inlineStr">
        <is>
          <t>Restaurant</t>
        </is>
      </c>
      <c r="C10" s="15" t="inlineStr">
        <is>
          <t>Food</t>
        </is>
      </c>
      <c r="D10" s="23" t="n">
        <v>45</v>
      </c>
      <c r="E10" s="15" t="inlineStr">
        <is>
          <t>Dinner out</t>
        </is>
      </c>
    </row>
    <row r="11">
      <c r="A11" s="24" t="n">
        <v>46219</v>
      </c>
      <c r="B11" s="18" t="inlineStr">
        <is>
          <t>Groceries</t>
        </is>
      </c>
      <c r="C11" s="18" t="inlineStr">
        <is>
          <t>Food</t>
        </is>
      </c>
      <c r="D11" s="21" t="n">
        <v>80</v>
      </c>
      <c r="E11" s="18" t="inlineStr">
        <is>
          <t>Weekly shop</t>
        </is>
      </c>
    </row>
    <row r="12">
      <c r="A12" s="22" t="n">
        <v>46221</v>
      </c>
      <c r="B12" s="15" t="inlineStr">
        <is>
          <t>Internet bill</t>
        </is>
      </c>
      <c r="C12" s="15" t="inlineStr">
        <is>
          <t>Bills</t>
        </is>
      </c>
      <c r="D12" s="23" t="n">
        <v>35</v>
      </c>
      <c r="E12" s="15" t="inlineStr"/>
    </row>
    <row r="13">
      <c r="A13" s="24" t="n">
        <v>46224</v>
      </c>
      <c r="B13" s="18" t="inlineStr">
        <is>
          <t>Fuel</t>
        </is>
      </c>
      <c r="C13" s="18" t="inlineStr">
        <is>
          <t>Transport</t>
        </is>
      </c>
      <c r="D13" s="21" t="n">
        <v>55</v>
      </c>
      <c r="E13" s="18" t="inlineStr"/>
    </row>
    <row r="14">
      <c r="A14" s="22" t="n">
        <v>46226</v>
      </c>
      <c r="B14" s="15" t="inlineStr">
        <is>
          <t>Groceries</t>
        </is>
      </c>
      <c r="C14" s="15" t="inlineStr">
        <is>
          <t>Food</t>
        </is>
      </c>
      <c r="D14" s="23" t="n">
        <v>74</v>
      </c>
      <c r="E14" s="15" t="inlineStr">
        <is>
          <t>Weekly shop</t>
        </is>
      </c>
    </row>
    <row r="15">
      <c r="A15" s="24" t="n">
        <v>46228</v>
      </c>
      <c r="B15" s="18" t="inlineStr">
        <is>
          <t>Gym</t>
        </is>
      </c>
      <c r="C15" s="18" t="inlineStr">
        <is>
          <t>Health</t>
        </is>
      </c>
      <c r="D15" s="21" t="n">
        <v>30</v>
      </c>
      <c r="E15" s="18" t="inlineStr">
        <is>
          <t>Monthly</t>
        </is>
      </c>
    </row>
    <row r="16">
      <c r="A16" s="22" t="n">
        <v>46231</v>
      </c>
      <c r="B16" s="15" t="inlineStr">
        <is>
          <t>Gift</t>
        </is>
      </c>
      <c r="C16" s="15" t="inlineStr">
        <is>
          <t>Other</t>
        </is>
      </c>
      <c r="D16" s="23" t="n">
        <v>25</v>
      </c>
      <c r="E16" s="15" t="inlineStr">
        <is>
          <t>Friend's birthday</t>
        </is>
      </c>
    </row>
  </sheetData>
  <dataValidations count="1">
    <dataValidation sqref="C2:C500" showDropDown="0" showInputMessage="0" showErrorMessage="0" allowBlank="1" type="list">
      <formula1>"Housing,Food,Transport,Health,Fun,Shopping,Bills,Other"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4" customWidth="1" min="4" max="4"/>
    <col width="14" customWidth="1" min="5" max="5"/>
  </cols>
  <sheetData>
    <row r="1">
      <c r="A1" s="14" t="inlineStr">
        <is>
          <t>Category</t>
        </is>
      </c>
      <c r="B1" s="14" t="inlineStr">
        <is>
          <t>Monthly Budget</t>
        </is>
      </c>
      <c r="C1" s="14" t="inlineStr">
        <is>
          <t>Spent This Month</t>
        </is>
      </c>
      <c r="D1" s="14" t="inlineStr">
        <is>
          <t>Left</t>
        </is>
      </c>
      <c r="E1" s="14" t="inlineStr">
        <is>
          <t>Status</t>
        </is>
      </c>
    </row>
    <row r="2">
      <c r="A2" s="15" t="inlineStr">
        <is>
          <t>Housing</t>
        </is>
      </c>
      <c r="B2" s="23" t="n">
        <v>800</v>
      </c>
      <c r="C2" s="23">
        <f>SUMPRODUCT((TEXT(Expenses!$A$2:$A$500,"yyyy-mm")=TEXT(TODAY(),"yyyy-mm"))*(Expenses!$C$2:$C$500=A2)*Expenses!$D$2:$D$500)</f>
        <v/>
      </c>
      <c r="D2" s="23">
        <f>B2-C2</f>
        <v/>
      </c>
      <c r="E2" s="25">
        <f>IF(C2&gt;B2,"⚠ OVER","✓ OK")</f>
        <v/>
      </c>
    </row>
    <row r="3">
      <c r="A3" s="18" t="inlineStr">
        <is>
          <t>Food</t>
        </is>
      </c>
      <c r="B3" s="21" t="n">
        <v>400</v>
      </c>
      <c r="C3" s="21">
        <f>SUMPRODUCT((TEXT(Expenses!$A$2:$A$500,"yyyy-mm")=TEXT(TODAY(),"yyyy-mm"))*(Expenses!$C$2:$C$500=A3)*Expenses!$D$2:$D$500)</f>
        <v/>
      </c>
      <c r="D3" s="21">
        <f>B3-C3</f>
        <v/>
      </c>
      <c r="E3" s="26">
        <f>IF(C3&gt;B3,"⚠ OVER","✓ OK")</f>
        <v/>
      </c>
    </row>
    <row r="4">
      <c r="A4" s="15" t="inlineStr">
        <is>
          <t>Transport</t>
        </is>
      </c>
      <c r="B4" s="23" t="n">
        <v>120</v>
      </c>
      <c r="C4" s="23">
        <f>SUMPRODUCT((TEXT(Expenses!$A$2:$A$500,"yyyy-mm")=TEXT(TODAY(),"yyyy-mm"))*(Expenses!$C$2:$C$500=A4)*Expenses!$D$2:$D$500)</f>
        <v/>
      </c>
      <c r="D4" s="23">
        <f>B4-C4</f>
        <v/>
      </c>
      <c r="E4" s="25">
        <f>IF(C4&gt;B4,"⚠ OVER","✓ OK")</f>
        <v/>
      </c>
    </row>
    <row r="5">
      <c r="A5" s="18" t="inlineStr">
        <is>
          <t>Health</t>
        </is>
      </c>
      <c r="B5" s="21" t="n">
        <v>80</v>
      </c>
      <c r="C5" s="21">
        <f>SUMPRODUCT((TEXT(Expenses!$A$2:$A$500,"yyyy-mm")=TEXT(TODAY(),"yyyy-mm"))*(Expenses!$C$2:$C$500=A5)*Expenses!$D$2:$D$500)</f>
        <v/>
      </c>
      <c r="D5" s="21">
        <f>B5-C5</f>
        <v/>
      </c>
      <c r="E5" s="26">
        <f>IF(C5&gt;B5,"⚠ OVER","✓ OK")</f>
        <v/>
      </c>
    </row>
    <row r="6">
      <c r="A6" s="15" t="inlineStr">
        <is>
          <t>Fun</t>
        </is>
      </c>
      <c r="B6" s="23" t="n">
        <v>100</v>
      </c>
      <c r="C6" s="23">
        <f>SUMPRODUCT((TEXT(Expenses!$A$2:$A$500,"yyyy-mm")=TEXT(TODAY(),"yyyy-mm"))*(Expenses!$C$2:$C$500=A6)*Expenses!$D$2:$D$500)</f>
        <v/>
      </c>
      <c r="D6" s="23">
        <f>B6-C6</f>
        <v/>
      </c>
      <c r="E6" s="25">
        <f>IF(C6&gt;B6,"⚠ OVER","✓ OK")</f>
        <v/>
      </c>
    </row>
    <row r="7">
      <c r="A7" s="18" t="inlineStr">
        <is>
          <t>Shopping</t>
        </is>
      </c>
      <c r="B7" s="21" t="n">
        <v>100</v>
      </c>
      <c r="C7" s="21">
        <f>SUMPRODUCT((TEXT(Expenses!$A$2:$A$500,"yyyy-mm")=TEXT(TODAY(),"yyyy-mm"))*(Expenses!$C$2:$C$500=A7)*Expenses!$D$2:$D$500)</f>
        <v/>
      </c>
      <c r="D7" s="21">
        <f>B7-C7</f>
        <v/>
      </c>
      <c r="E7" s="26">
        <f>IF(C7&gt;B7,"⚠ OVER","✓ OK")</f>
        <v/>
      </c>
    </row>
    <row r="8">
      <c r="A8" s="15" t="inlineStr">
        <is>
          <t>Bills</t>
        </is>
      </c>
      <c r="B8" s="23" t="n">
        <v>150</v>
      </c>
      <c r="C8" s="23">
        <f>SUMPRODUCT((TEXT(Expenses!$A$2:$A$500,"yyyy-mm")=TEXT(TODAY(),"yyyy-mm"))*(Expenses!$C$2:$C$500=A8)*Expenses!$D$2:$D$500)</f>
        <v/>
      </c>
      <c r="D8" s="23">
        <f>B8-C8</f>
        <v/>
      </c>
      <c r="E8" s="25">
        <f>IF(C8&gt;B8,"⚠ OVER","✓ OK")</f>
        <v/>
      </c>
    </row>
    <row r="9">
      <c r="A9" s="18" t="inlineStr">
        <is>
          <t>Other</t>
        </is>
      </c>
      <c r="B9" s="21" t="n">
        <v>60</v>
      </c>
      <c r="C9" s="21">
        <f>SUMPRODUCT((TEXT(Expenses!$A$2:$A$500,"yyyy-mm")=TEXT(TODAY(),"yyyy-mm"))*(Expenses!$C$2:$C$500=A9)*Expenses!$D$2:$D$500)</f>
        <v/>
      </c>
      <c r="D9" s="21">
        <f>B9-C9</f>
        <v/>
      </c>
      <c r="E9" s="26">
        <f>IF(C9&gt;B9,"⚠ OVER","✓ OK")</f>
        <v/>
      </c>
    </row>
  </sheetData>
  <conditionalFormatting sqref="D2:D9">
    <cfRule type="cellIs" priority="1" operator="lessThan" dxfId="0">
      <formula>0</formula>
    </cfRule>
  </conditionalFormatting>
  <conditionalFormatting sqref="E2:E9">
    <cfRule type="cellIs" priority="2" operator="equal" dxfId="0">
      <formula>"⚠ OVER"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4" customWidth="1" min="4" max="4"/>
    <col width="26" customWidth="1" min="5" max="5"/>
  </cols>
  <sheetData>
    <row r="1">
      <c r="A1" s="14" t="inlineStr">
        <is>
          <t>Goal</t>
        </is>
      </c>
      <c r="B1" s="14" t="inlineStr">
        <is>
          <t>Target</t>
        </is>
      </c>
      <c r="C1" s="14" t="inlineStr">
        <is>
          <t>Saved So Far</t>
        </is>
      </c>
      <c r="D1" s="14" t="inlineStr">
        <is>
          <t>Progress</t>
        </is>
      </c>
      <c r="E1" s="14" t="inlineStr">
        <is>
          <t>Note</t>
        </is>
      </c>
    </row>
    <row r="2">
      <c r="A2" s="18" t="inlineStr">
        <is>
          <t>Emergency Fund</t>
        </is>
      </c>
      <c r="B2" s="21" t="n">
        <v>3000</v>
      </c>
      <c r="C2" s="21" t="n">
        <v>850</v>
      </c>
      <c r="D2" s="27">
        <f>IFERROR(C2/B2,0)</f>
        <v/>
      </c>
      <c r="E2" s="18" t="inlineStr">
        <is>
          <t>3 months of expenses</t>
        </is>
      </c>
    </row>
    <row r="3">
      <c r="A3" s="18" t="inlineStr">
        <is>
          <t>Summer Trip</t>
        </is>
      </c>
      <c r="B3" s="21" t="n">
        <v>1200</v>
      </c>
      <c r="C3" s="21" t="n">
        <v>400</v>
      </c>
      <c r="D3" s="27">
        <f>IFERROR(C3/B3,0)</f>
        <v/>
      </c>
      <c r="E3" s="18" t="inlineStr">
        <is>
          <t>July next year</t>
        </is>
      </c>
    </row>
    <row r="4">
      <c r="A4" s="18" t="inlineStr">
        <is>
          <t>New Laptop</t>
        </is>
      </c>
      <c r="B4" s="21" t="n">
        <v>900</v>
      </c>
      <c r="C4" s="21" t="n">
        <v>620</v>
      </c>
      <c r="D4" s="27">
        <f>IFERROR(C4/B4,0)</f>
        <v/>
      </c>
      <c r="E4" s="18" t="inlineStr"/>
    </row>
  </sheetData>
  <conditionalFormatting sqref="D2:D50">
    <cfRule type="dataBar" priority="1">
      <dataBar showValue="1"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2026-07-16T14:45:51Z</dcterms:created>
  <dcterms:modified xsi:type="dcterms:W3CDTF">2026-07-16T14:45:51Z</dcterms:modified>
</cp:coreProperties>
</file>