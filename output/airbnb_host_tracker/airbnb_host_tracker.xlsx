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ookings" sheetId="2" state="visible" r:id="rId2"/>
    <sheet name="Dashboard" sheetId="3" state="visible" r:id="rId3"/>
    <sheet name="Expenses" sheetId="4" state="visible" r:id="rId4"/>
    <sheet name="Monthly Report" sheetId="5" state="visible" r:id="rId5"/>
    <sheet name="Annu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FF5A5F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484848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484848"/>
      </patternFill>
    </fill>
    <fill>
      <patternFill patternType="solid">
        <fgColor rgb="00FFF7F0"/>
      </patternFill>
    </fill>
    <fill>
      <patternFill patternType="solid">
        <fgColor rgb="00FF5A5F"/>
      </patternFill>
    </fill>
    <fill>
      <patternFill patternType="solid">
        <fgColor rgb="0000848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🏡  AIRBNB HOST REVENUE TRACKER</t>
        </is>
      </c>
    </row>
    <row r="3"/>
    <row r="4">
      <c r="B4" s="2" t="inlineStr">
        <is>
          <t>Short-Term Rental Income &amp; Expense Google Sheets</t>
        </is>
      </c>
    </row>
    <row r="6">
      <c r="B6" s="3" t="inlineStr">
        <is>
          <t>STEP 1 — Fill in “Bookings”</t>
        </is>
      </c>
    </row>
    <row r="7" ht="28" customHeight="1">
      <c r="B7" s="4" t="inlineStr">
        <is>
          <t>All guest bookings: dates, nights, revenue, and status.</t>
        </is>
      </c>
    </row>
    <row r="9">
      <c r="B9" s="3" t="inlineStr">
        <is>
          <t>STEP 2 — Fill in “Expenses”</t>
        </is>
      </c>
    </row>
    <row r="10" ht="28" customHeight="1">
      <c r="B10" s="4" t="inlineStr">
        <is>
          <t>All property expenses: cleaning, supplies, utilities, maintenance.</t>
        </is>
      </c>
    </row>
    <row r="12">
      <c r="B12" s="3" t="inlineStr">
        <is>
          <t>STEP 3 — Fill in “Monthly Report”</t>
        </is>
      </c>
    </row>
    <row r="13" ht="28" customHeight="1">
      <c r="B13" s="4" t="inlineStr">
        <is>
          <t>Month-by-month revenue, expenses, and net profit.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4" customWidth="1" min="5" max="5"/>
    <col width="16" customWidth="1" min="6" max="6"/>
    <col width="16" customWidth="1" min="7" max="7"/>
  </cols>
  <sheetData>
    <row r="1">
      <c r="A1" s="6" t="inlineStr">
        <is>
          <t>Check-in</t>
        </is>
      </c>
      <c r="B1" s="6" t="inlineStr">
        <is>
          <t>Check-out</t>
        </is>
      </c>
      <c r="C1" s="6" t="inlineStr">
        <is>
          <t>Nights</t>
        </is>
      </c>
      <c r="D1" s="6" t="inlineStr">
        <is>
          <t>Guest</t>
        </is>
      </c>
      <c r="E1" s="6" t="inlineStr">
        <is>
          <t>Revenue $</t>
        </is>
      </c>
      <c r="F1" s="6" t="inlineStr">
        <is>
          <t>Platform</t>
        </is>
      </c>
      <c r="G1" s="6" t="inlineStr">
        <is>
          <t>Status</t>
        </is>
      </c>
    </row>
    <row r="2">
      <c r="A2" s="7" t="n">
        <v>46174</v>
      </c>
      <c r="B2" s="7" t="n">
        <v>46174</v>
      </c>
      <c r="C2" s="8" t="n">
        <v>3</v>
      </c>
      <c r="D2" s="8" t="inlineStr">
        <is>
          <t>Alex Martin</t>
        </is>
      </c>
      <c r="E2" s="9" t="n">
        <v>360</v>
      </c>
      <c r="F2" s="8" t="inlineStr">
        <is>
          <t>Airbnb</t>
        </is>
      </c>
      <c r="G2" s="8" t="inlineStr">
        <is>
          <t>Confirmed</t>
        </is>
      </c>
    </row>
    <row r="3">
      <c r="A3" s="10" t="n">
        <v>46180</v>
      </c>
      <c r="B3" s="10" t="n">
        <v>46180</v>
      </c>
      <c r="C3" s="11" t="n">
        <v>2.1</v>
      </c>
      <c r="D3" s="11" t="inlineStr">
        <is>
          <t>Sara Lopez</t>
        </is>
      </c>
      <c r="E3" s="12" t="n">
        <v>252</v>
      </c>
      <c r="F3" s="11" t="inlineStr">
        <is>
          <t>VRBO</t>
        </is>
      </c>
      <c r="G3" s="11" t="inlineStr">
        <is>
          <t>Checked In</t>
        </is>
      </c>
    </row>
    <row r="4">
      <c r="A4" s="7" t="n">
        <v>46186</v>
      </c>
      <c r="B4" s="7" t="n">
        <v>46186</v>
      </c>
      <c r="C4" s="8" t="n">
        <v>3.9</v>
      </c>
      <c r="D4" s="8" t="inlineStr">
        <is>
          <t>Omar Haddad</t>
        </is>
      </c>
      <c r="E4" s="9" t="n">
        <v>468</v>
      </c>
      <c r="F4" s="8" t="inlineStr">
        <is>
          <t>Booking.com</t>
        </is>
      </c>
      <c r="G4" s="8" t="inlineStr">
        <is>
          <t>Completed</t>
        </is>
      </c>
    </row>
    <row r="5">
      <c r="A5" s="10" t="n">
        <v>46189</v>
      </c>
      <c r="B5" s="10" t="n">
        <v>46189</v>
      </c>
      <c r="C5" s="11" t="n">
        <v>2.55</v>
      </c>
      <c r="D5" s="11" t="inlineStr">
        <is>
          <t>Emma Fischer</t>
        </is>
      </c>
      <c r="E5" s="12" t="n">
        <v>306</v>
      </c>
      <c r="F5" s="11" t="inlineStr">
        <is>
          <t>Direct</t>
        </is>
      </c>
      <c r="G5" s="11" t="inlineStr">
        <is>
          <t>Cancelled</t>
        </is>
      </c>
    </row>
    <row r="6">
      <c r="A6" s="7" t="n">
        <v>46195</v>
      </c>
      <c r="B6" s="7" t="n">
        <v>46195</v>
      </c>
      <c r="C6" s="8" t="n">
        <v>3.45</v>
      </c>
      <c r="D6" s="8" t="inlineStr">
        <is>
          <t>Liam Carter</t>
        </is>
      </c>
      <c r="E6" s="9" t="n">
        <v>414</v>
      </c>
      <c r="F6" s="8" t="inlineStr">
        <is>
          <t>Other</t>
        </is>
      </c>
      <c r="G6" s="8" t="inlineStr">
        <is>
          <t>Confirmed</t>
        </is>
      </c>
    </row>
    <row r="7">
      <c r="A7" s="10" t="n">
        <v>46201</v>
      </c>
      <c r="B7" s="10" t="n">
        <v>46201</v>
      </c>
      <c r="C7" s="11" t="n">
        <v>1.8</v>
      </c>
      <c r="D7" s="11" t="inlineStr">
        <is>
          <t>Nadia Rahali</t>
        </is>
      </c>
      <c r="E7" s="12" t="n">
        <v>216</v>
      </c>
      <c r="F7" s="11" t="inlineStr">
        <is>
          <t>Airbnb</t>
        </is>
      </c>
      <c r="G7" s="11" t="inlineStr">
        <is>
          <t>Checked In</t>
        </is>
      </c>
    </row>
    <row r="8">
      <c r="A8" s="7" t="n">
        <v>46176</v>
      </c>
      <c r="B8" s="7" t="n">
        <v>46176</v>
      </c>
      <c r="C8" s="8" t="n">
        <v>4.35</v>
      </c>
      <c r="D8" s="8" t="inlineStr">
        <is>
          <t>Tom Becker</t>
        </is>
      </c>
      <c r="E8" s="9" t="n">
        <v>522</v>
      </c>
      <c r="F8" s="8" t="inlineStr">
        <is>
          <t>VRBO</t>
        </is>
      </c>
      <c r="G8" s="8" t="inlineStr">
        <is>
          <t>Completed</t>
        </is>
      </c>
    </row>
    <row r="9">
      <c r="A9" s="10" t="n">
        <v>46182</v>
      </c>
      <c r="B9" s="10" t="n">
        <v>46182</v>
      </c>
      <c r="C9" s="11" t="n">
        <v>2.85</v>
      </c>
      <c r="D9" s="11" t="inlineStr">
        <is>
          <t>Julia Romero</t>
        </is>
      </c>
      <c r="E9" s="12" t="n">
        <v>342</v>
      </c>
      <c r="F9" s="11" t="inlineStr">
        <is>
          <t>Booking.com</t>
        </is>
      </c>
      <c r="G9" s="11" t="inlineStr">
        <is>
          <t>Cancelled</t>
        </is>
      </c>
    </row>
    <row r="10">
      <c r="A10" s="7" t="n">
        <v>46188</v>
      </c>
      <c r="B10" s="7" t="n">
        <v>46188</v>
      </c>
      <c r="C10" s="8" t="n">
        <v>3.75</v>
      </c>
      <c r="D10" s="8" t="inlineStr">
        <is>
          <t>Karim Ziani</t>
        </is>
      </c>
      <c r="E10" s="9" t="n">
        <v>450</v>
      </c>
      <c r="F10" s="8" t="inlineStr">
        <is>
          <t>Direct</t>
        </is>
      </c>
      <c r="G10" s="8" t="inlineStr">
        <is>
          <t>Confirmed</t>
        </is>
      </c>
    </row>
    <row r="11">
      <c r="A11" s="10" t="n">
        <v>46191</v>
      </c>
      <c r="B11" s="10" t="n">
        <v>46191</v>
      </c>
      <c r="C11" s="11" t="n">
        <v>2.4</v>
      </c>
      <c r="D11" s="11" t="inlineStr">
        <is>
          <t>Anna Kowalska</t>
        </is>
      </c>
      <c r="E11" s="12" t="n">
        <v>288</v>
      </c>
      <c r="F11" s="11" t="inlineStr">
        <is>
          <t>Other</t>
        </is>
      </c>
      <c r="G11" s="11" t="inlineStr">
        <is>
          <t>Checked In</t>
        </is>
      </c>
    </row>
    <row r="12">
      <c r="A12" s="7" t="n">
        <v>46197</v>
      </c>
      <c r="B12" s="7" t="n">
        <v>46197</v>
      </c>
      <c r="C12" s="8" t="n">
        <v>3.3</v>
      </c>
      <c r="D12" s="8" t="inlineStr">
        <is>
          <t>David Chen</t>
        </is>
      </c>
      <c r="E12" s="9" t="n">
        <v>396</v>
      </c>
      <c r="F12" s="8" t="inlineStr">
        <is>
          <t>Airbnb</t>
        </is>
      </c>
      <c r="G12" s="8" t="inlineStr">
        <is>
          <t>Completed</t>
        </is>
      </c>
    </row>
    <row r="13">
      <c r="A13" s="10" t="n">
        <v>46175</v>
      </c>
      <c r="B13" s="10" t="n">
        <v>46175</v>
      </c>
      <c r="C13" s="11" t="n">
        <v>2.25</v>
      </c>
      <c r="D13" s="11" t="inlineStr">
        <is>
          <t>Lea Moreau</t>
        </is>
      </c>
      <c r="E13" s="12" t="n">
        <v>270</v>
      </c>
      <c r="F13" s="11" t="inlineStr">
        <is>
          <t>VRBO</t>
        </is>
      </c>
      <c r="G13" s="11" t="inlineStr">
        <is>
          <t>Cancelled</t>
        </is>
      </c>
    </row>
  </sheetData>
  <dataValidations count="2">
    <dataValidation sqref="F2:F500" showDropDown="0" showInputMessage="0" showErrorMessage="0" allowBlank="1" type="list">
      <formula1>"Airbnb,VRBO,Booking.com,Direct,Other"</formula1>
    </dataValidation>
    <dataValidation sqref="G2:G500" showDropDown="0" showInputMessage="0" showErrorMessage="0" allowBlank="1" type="list">
      <formula1>"Confirmed,Checked In,Completed,Cancelled"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AIRBNB HOST REVENUE TRACKER — DASHBOARD</t>
        </is>
      </c>
    </row>
    <row r="4">
      <c r="B4" s="14" t="inlineStr">
        <is>
          <t>TOTAL REVENUE</t>
        </is>
      </c>
      <c r="D4" s="15" t="inlineStr">
        <is>
          <t>OCCUPANCY RATE</t>
        </is>
      </c>
      <c r="F4" s="16" t="inlineStr">
        <is>
          <t>TOTAL EXPENSES</t>
        </is>
      </c>
      <c r="H4" s="17" t="inlineStr">
        <is>
          <t>NET PROFIT</t>
        </is>
      </c>
    </row>
    <row r="5" ht="26" customHeight="1">
      <c r="B5" s="18">
        <f>SUM(Bookings!E:E)</f>
        <v/>
      </c>
      <c r="D5" s="19">
        <f>TEXT(SUM(Bookings!C:C)/365,"0%")</f>
        <v/>
      </c>
      <c r="F5" s="20">
        <f>SUM(Expenses!C:C)</f>
        <v/>
      </c>
      <c r="H5" s="21">
        <f>SUM(Bookings!E:E)-SUM(Expenses!C:C)</f>
        <v/>
      </c>
    </row>
    <row r="8">
      <c r="B8" s="22" t="inlineStr">
        <is>
          <t>WHAT'S INSIDE</t>
        </is>
      </c>
    </row>
    <row r="9">
      <c r="B9" s="23" t="inlineStr">
        <is>
          <t>📅  Bookings — All guest bookings: dates, nights, revenue, and status.</t>
        </is>
      </c>
    </row>
    <row r="10">
      <c r="B10" s="23" t="inlineStr">
        <is>
          <t>💸  Expenses — All property expenses: cleaning, supplies, utilities, maintenance.</t>
        </is>
      </c>
    </row>
    <row r="11">
      <c r="B11" s="23" t="inlineStr">
        <is>
          <t>📊  Monthly Report — Month-by-month revenue, expenses, and net profit.</t>
        </is>
      </c>
    </row>
    <row r="12">
      <c r="B12" s="23" t="inlineStr">
        <is>
          <t>📋  Annual Summary — Annual revenue, expenses, and net income for tax reporting.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2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Description</t>
        </is>
      </c>
      <c r="C1" s="6" t="inlineStr">
        <is>
          <t>Amount $</t>
        </is>
      </c>
      <c r="D1" s="6" t="inlineStr">
        <is>
          <t>Category</t>
        </is>
      </c>
      <c r="E1" s="6" t="inlineStr">
        <is>
          <t>Deductible</t>
        </is>
      </c>
    </row>
    <row r="2">
      <c r="A2" s="7" t="n">
        <v>46174</v>
      </c>
      <c r="B2" s="8" t="inlineStr">
        <is>
          <t>Cleaning after checkout</t>
        </is>
      </c>
      <c r="C2" s="9" t="n">
        <v>75</v>
      </c>
      <c r="D2" s="8" t="inlineStr">
        <is>
          <t>Cleaning</t>
        </is>
      </c>
      <c r="E2" s="8" t="inlineStr">
        <is>
          <t>Yes</t>
        </is>
      </c>
    </row>
    <row r="3">
      <c r="A3" s="10" t="n">
        <v>46180</v>
      </c>
      <c r="B3" s="11" t="inlineStr">
        <is>
          <t>Cleaning after checkout</t>
        </is>
      </c>
      <c r="C3" s="12" t="n">
        <v>52.5</v>
      </c>
      <c r="D3" s="11" t="inlineStr">
        <is>
          <t>Supplies</t>
        </is>
      </c>
      <c r="E3" s="11" t="inlineStr">
        <is>
          <t>No</t>
        </is>
      </c>
    </row>
    <row r="4">
      <c r="A4" s="7" t="n">
        <v>46186</v>
      </c>
      <c r="B4" s="8" t="inlineStr"/>
      <c r="C4" s="9" t="n">
        <v>97.5</v>
      </c>
      <c r="D4" s="8" t="inlineStr">
        <is>
          <t>Utilities</t>
        </is>
      </c>
      <c r="E4" s="8" t="inlineStr">
        <is>
          <t>Partial</t>
        </is>
      </c>
    </row>
    <row r="5">
      <c r="A5" s="10" t="n">
        <v>46189</v>
      </c>
      <c r="B5" s="11" t="inlineStr">
        <is>
          <t>Cleaning after checkout</t>
        </is>
      </c>
      <c r="C5" s="12" t="n">
        <v>63.75</v>
      </c>
      <c r="D5" s="11" t="inlineStr">
        <is>
          <t>Maintenance</t>
        </is>
      </c>
      <c r="E5" s="11" t="inlineStr">
        <is>
          <t>Yes</t>
        </is>
      </c>
    </row>
    <row r="6">
      <c r="A6" s="7" t="n">
        <v>46195</v>
      </c>
      <c r="B6" s="8" t="inlineStr">
        <is>
          <t>Cleaning after checkout</t>
        </is>
      </c>
      <c r="C6" s="9" t="n">
        <v>86.25</v>
      </c>
      <c r="D6" s="8" t="inlineStr">
        <is>
          <t>Platform Fee</t>
        </is>
      </c>
      <c r="E6" s="8" t="inlineStr">
        <is>
          <t>No</t>
        </is>
      </c>
    </row>
    <row r="7">
      <c r="A7" s="10" t="n">
        <v>46201</v>
      </c>
      <c r="B7" s="11" t="inlineStr"/>
      <c r="C7" s="12" t="n">
        <v>45</v>
      </c>
      <c r="D7" s="11" t="inlineStr">
        <is>
          <t>Insurance</t>
        </is>
      </c>
      <c r="E7" s="11" t="inlineStr">
        <is>
          <t>Partial</t>
        </is>
      </c>
    </row>
    <row r="8">
      <c r="A8" s="7" t="n">
        <v>46176</v>
      </c>
      <c r="B8" s="8" t="inlineStr">
        <is>
          <t>Cleaning after checkout</t>
        </is>
      </c>
      <c r="C8" s="9" t="n">
        <v>108.75</v>
      </c>
      <c r="D8" s="8" t="inlineStr">
        <is>
          <t>Mortgage</t>
        </is>
      </c>
      <c r="E8" s="8" t="inlineStr">
        <is>
          <t>Yes</t>
        </is>
      </c>
    </row>
    <row r="9">
      <c r="A9" s="10" t="n">
        <v>46182</v>
      </c>
      <c r="B9" s="11" t="inlineStr">
        <is>
          <t>Cleaning after checkout</t>
        </is>
      </c>
      <c r="C9" s="12" t="n">
        <v>71.25</v>
      </c>
      <c r="D9" s="11" t="inlineStr">
        <is>
          <t>Other</t>
        </is>
      </c>
      <c r="E9" s="11" t="inlineStr">
        <is>
          <t>No</t>
        </is>
      </c>
    </row>
    <row r="10">
      <c r="A10" s="7" t="n">
        <v>46188</v>
      </c>
      <c r="B10" s="8" t="inlineStr"/>
      <c r="C10" s="9" t="n">
        <v>93.75</v>
      </c>
      <c r="D10" s="8" t="inlineStr">
        <is>
          <t>Cleaning</t>
        </is>
      </c>
      <c r="E10" s="8" t="inlineStr">
        <is>
          <t>Partial</t>
        </is>
      </c>
    </row>
    <row r="11">
      <c r="A11" s="10" t="n">
        <v>46191</v>
      </c>
      <c r="B11" s="11" t="inlineStr">
        <is>
          <t>Cleaning after checkout</t>
        </is>
      </c>
      <c r="C11" s="12" t="n">
        <v>60</v>
      </c>
      <c r="D11" s="11" t="inlineStr">
        <is>
          <t>Supplies</t>
        </is>
      </c>
      <c r="E11" s="11" t="inlineStr">
        <is>
          <t>Yes</t>
        </is>
      </c>
    </row>
    <row r="12">
      <c r="A12" s="7" t="n">
        <v>46197</v>
      </c>
      <c r="B12" s="8" t="inlineStr">
        <is>
          <t>Cleaning after checkout</t>
        </is>
      </c>
      <c r="C12" s="9" t="n">
        <v>82.5</v>
      </c>
      <c r="D12" s="8" t="inlineStr">
        <is>
          <t>Utilities</t>
        </is>
      </c>
      <c r="E12" s="8" t="inlineStr">
        <is>
          <t>No</t>
        </is>
      </c>
    </row>
    <row r="13">
      <c r="A13" s="10" t="n">
        <v>46175</v>
      </c>
      <c r="B13" s="11" t="inlineStr"/>
      <c r="C13" s="12" t="n">
        <v>56.25</v>
      </c>
      <c r="D13" s="11" t="inlineStr">
        <is>
          <t>Maintenance</t>
        </is>
      </c>
      <c r="E13" s="11" t="inlineStr">
        <is>
          <t>Partial</t>
        </is>
      </c>
    </row>
  </sheetData>
  <dataValidations count="2">
    <dataValidation sqref="D2:D500" showDropDown="0" showInputMessage="0" showErrorMessage="0" allowBlank="1" type="list">
      <formula1>"Cleaning,Supplies,Utilities,Maintenance,Platform Fee,Insurance,Mortgage,Other"</formula1>
    </dataValidation>
    <dataValidation sqref="E2:E50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Month</t>
        </is>
      </c>
      <c r="B1" s="6" t="inlineStr">
        <is>
          <t>Bookings</t>
        </is>
      </c>
      <c r="C1" s="6" t="inlineStr">
        <is>
          <t>Nights</t>
        </is>
      </c>
      <c r="D1" s="6" t="inlineStr">
        <is>
          <t>Revenue $</t>
        </is>
      </c>
      <c r="E1" s="6" t="inlineStr">
        <is>
          <t>Expenses $</t>
        </is>
      </c>
      <c r="F1" s="6" t="inlineStr">
        <is>
          <t>Net $</t>
        </is>
      </c>
      <c r="G1" s="6" t="inlineStr">
        <is>
          <t>Occupancy %</t>
        </is>
      </c>
    </row>
    <row r="2">
      <c r="A2" s="8" t="inlineStr">
        <is>
          <t>January 2024</t>
        </is>
      </c>
      <c r="B2" s="8" t="n">
        <v>8</v>
      </c>
      <c r="C2" s="8" t="n">
        <v>22</v>
      </c>
      <c r="D2" s="9" t="n">
        <v>2640</v>
      </c>
      <c r="E2" s="9" t="n">
        <v>900</v>
      </c>
      <c r="F2" s="8">
        <f>D2-E2</f>
        <v/>
      </c>
      <c r="G2" s="8">
        <f>TEXT(C2/30,"0%")</f>
        <v/>
      </c>
    </row>
    <row r="3">
      <c r="A3" s="11" t="inlineStr">
        <is>
          <t>January 2025</t>
        </is>
      </c>
      <c r="B3" s="11" t="n">
        <v>5.6</v>
      </c>
      <c r="C3" s="11" t="n">
        <v>15.4</v>
      </c>
      <c r="D3" s="12" t="n">
        <v>1848</v>
      </c>
      <c r="E3" s="12" t="n">
        <v>630</v>
      </c>
      <c r="F3" s="11">
        <f>D3-E3</f>
        <v/>
      </c>
      <c r="G3" s="11">
        <f>TEXT(C3/30,"0%")</f>
        <v/>
      </c>
    </row>
    <row r="4">
      <c r="A4" s="8" t="inlineStr">
        <is>
          <t>January 2026</t>
        </is>
      </c>
      <c r="B4" s="8" t="n">
        <v>10.4</v>
      </c>
      <c r="C4" s="8" t="n">
        <v>28.6</v>
      </c>
      <c r="D4" s="9" t="n">
        <v>3432</v>
      </c>
      <c r="E4" s="9" t="n">
        <v>1170</v>
      </c>
      <c r="F4" s="8">
        <f>D4-E4</f>
        <v/>
      </c>
      <c r="G4" s="8">
        <f>TEXT(C4/30,"0%")</f>
        <v/>
      </c>
    </row>
    <row r="5">
      <c r="A5" s="11" t="inlineStr">
        <is>
          <t>January 2027</t>
        </is>
      </c>
      <c r="B5" s="11" t="n">
        <v>6.8</v>
      </c>
      <c r="C5" s="11" t="n">
        <v>18.7</v>
      </c>
      <c r="D5" s="12" t="n">
        <v>2244</v>
      </c>
      <c r="E5" s="12" t="n">
        <v>765</v>
      </c>
      <c r="F5" s="11">
        <f>D5-E5</f>
        <v/>
      </c>
      <c r="G5" s="11">
        <f>TEXT(C5/30,"0%")</f>
        <v/>
      </c>
    </row>
    <row r="6">
      <c r="A6" s="8" t="inlineStr">
        <is>
          <t>January 2028</t>
        </is>
      </c>
      <c r="B6" s="8" t="n">
        <v>9.199999999999999</v>
      </c>
      <c r="C6" s="8" t="n">
        <v>25.3</v>
      </c>
      <c r="D6" s="9" t="n">
        <v>3036</v>
      </c>
      <c r="E6" s="9" t="n">
        <v>1035</v>
      </c>
      <c r="F6" s="8">
        <f>D6-E6</f>
        <v/>
      </c>
      <c r="G6" s="8">
        <f>TEXT(C6/30,"0%")</f>
        <v/>
      </c>
    </row>
    <row r="7">
      <c r="A7" s="11" t="inlineStr">
        <is>
          <t>January 2029</t>
        </is>
      </c>
      <c r="B7" s="11" t="n">
        <v>4.8</v>
      </c>
      <c r="C7" s="11" t="n">
        <v>13.2</v>
      </c>
      <c r="D7" s="12" t="n">
        <v>1584</v>
      </c>
      <c r="E7" s="12" t="n">
        <v>540</v>
      </c>
      <c r="F7" s="11">
        <f>D7-E7</f>
        <v/>
      </c>
      <c r="G7" s="11">
        <f>TEXT(C7/30,"0%")</f>
        <v/>
      </c>
    </row>
    <row r="8">
      <c r="A8" s="8" t="inlineStr">
        <is>
          <t>January 2030</t>
        </is>
      </c>
      <c r="B8" s="8" t="n">
        <v>11.6</v>
      </c>
      <c r="C8" s="8" t="n">
        <v>31.9</v>
      </c>
      <c r="D8" s="9" t="n">
        <v>3828</v>
      </c>
      <c r="E8" s="9" t="n">
        <v>1305</v>
      </c>
      <c r="F8" s="8">
        <f>D8-E8</f>
        <v/>
      </c>
      <c r="G8" s="8">
        <f>TEXT(C8/30,"0%")</f>
        <v/>
      </c>
    </row>
    <row r="9">
      <c r="A9" s="11" t="inlineStr">
        <is>
          <t>January 2031</t>
        </is>
      </c>
      <c r="B9" s="11" t="n">
        <v>7.6</v>
      </c>
      <c r="C9" s="11" t="n">
        <v>20.9</v>
      </c>
      <c r="D9" s="12" t="n">
        <v>2508</v>
      </c>
      <c r="E9" s="12" t="n">
        <v>855</v>
      </c>
      <c r="F9" s="11">
        <f>D9-E9</f>
        <v/>
      </c>
      <c r="G9" s="11">
        <f>TEXT(C9/30,"0%")</f>
        <v/>
      </c>
    </row>
    <row r="10">
      <c r="A10" s="8" t="inlineStr">
        <is>
          <t>January 2032</t>
        </is>
      </c>
      <c r="B10" s="8" t="n">
        <v>10</v>
      </c>
      <c r="C10" s="8" t="n">
        <v>27.5</v>
      </c>
      <c r="D10" s="9" t="n">
        <v>3300</v>
      </c>
      <c r="E10" s="9" t="n">
        <v>1125</v>
      </c>
      <c r="F10" s="8">
        <f>D10-E10</f>
        <v/>
      </c>
      <c r="G10" s="8">
        <f>TEXT(C10/30,"0%")</f>
        <v/>
      </c>
    </row>
    <row r="11">
      <c r="A11" s="11" t="inlineStr">
        <is>
          <t>January 2033</t>
        </is>
      </c>
      <c r="B11" s="11" t="n">
        <v>6.4</v>
      </c>
      <c r="C11" s="11" t="n">
        <v>17.6</v>
      </c>
      <c r="D11" s="12" t="n">
        <v>2112</v>
      </c>
      <c r="E11" s="12" t="n">
        <v>720</v>
      </c>
      <c r="F11" s="11">
        <f>D11-E11</f>
        <v/>
      </c>
      <c r="G11" s="11">
        <f>TEXT(C11/30,"0%")</f>
        <v/>
      </c>
    </row>
    <row r="12">
      <c r="A12" s="8" t="inlineStr">
        <is>
          <t>January 2034</t>
        </is>
      </c>
      <c r="B12" s="8" t="n">
        <v>8.800000000000001</v>
      </c>
      <c r="C12" s="8" t="n">
        <v>24.2</v>
      </c>
      <c r="D12" s="9" t="n">
        <v>2904</v>
      </c>
      <c r="E12" s="9" t="n">
        <v>990</v>
      </c>
      <c r="F12" s="8">
        <f>D12-E12</f>
        <v/>
      </c>
      <c r="G12" s="8">
        <f>TEXT(C12/30,"0%")</f>
        <v/>
      </c>
    </row>
    <row r="13">
      <c r="A13" s="11" t="inlineStr">
        <is>
          <t>January 2035</t>
        </is>
      </c>
      <c r="B13" s="11" t="n">
        <v>6</v>
      </c>
      <c r="C13" s="11" t="n">
        <v>16.5</v>
      </c>
      <c r="D13" s="12" t="n">
        <v>1980</v>
      </c>
      <c r="E13" s="12" t="n">
        <v>675</v>
      </c>
      <c r="F13" s="11">
        <f>D13-E13</f>
        <v/>
      </c>
      <c r="G13" s="11">
        <f>TEXT(C13/30,"0%")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SUMMARY</t>
        </is>
      </c>
    </row>
    <row r="4">
      <c r="B4" s="3" t="inlineStr">
        <is>
          <t>Annual Performance</t>
        </is>
      </c>
    </row>
    <row r="5">
      <c r="B5" s="11" t="inlineStr">
        <is>
          <t>Total Revenue</t>
        </is>
      </c>
      <c r="C5" s="25">
        <f>SUM(Bookings!E:E)</f>
        <v/>
      </c>
    </row>
    <row r="6">
      <c r="B6" s="8" t="inlineStr">
        <is>
          <t>Total Expenses</t>
        </is>
      </c>
      <c r="C6" s="26">
        <f>SUM(Expenses!C:C)</f>
        <v/>
      </c>
    </row>
    <row r="7">
      <c r="B7" s="11" t="inlineStr">
        <is>
          <t>Net Income</t>
        </is>
      </c>
      <c r="C7" s="25">
        <f>SUM(Bookings!E:E)-SUM(Expenses!C:C)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