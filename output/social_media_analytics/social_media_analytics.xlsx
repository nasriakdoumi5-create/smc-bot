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latforms" sheetId="2" state="visible" r:id="rId2"/>
    <sheet name="Dashboard" sheetId="3" state="visible" r:id="rId3"/>
    <sheet name="Posts" sheetId="4" state="visible" r:id="rId4"/>
    <sheet name="Monthly Recap" sheetId="5" state="visible" r:id="rId5"/>
    <sheet name="Repo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E91E8C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D1B2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FFF7F0"/>
      </patternFill>
    </fill>
    <fill>
      <patternFill patternType="solid">
        <fgColor rgb="00E91E8C"/>
      </patternFill>
    </fill>
    <fill>
      <patternFill patternType="solid">
        <fgColor rgb="0000BCD4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164" fontId="2" fillId="3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165" fontId="5" fillId="0" borderId="1" pivotButton="0" quotePrefix="0" xfId="0"/>
    <xf numFmtId="165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📈  SOCIAL MEDIA ANALYTICS DASHBOARD</t>
        </is>
      </c>
    </row>
    <row r="3"/>
    <row r="4">
      <c r="B4" s="2" t="inlineStr">
        <is>
          <t>Multi-Platform Growth Tracker Google Sheets</t>
        </is>
      </c>
    </row>
    <row r="6">
      <c r="B6" s="3" t="inlineStr">
        <is>
          <t>STEP 1 — Fill in “Platforms”</t>
        </is>
      </c>
    </row>
    <row r="7" ht="28" customHeight="1">
      <c r="B7" s="4" t="inlineStr">
        <is>
          <t>Follower count and growth per platform, updated monthly.</t>
        </is>
      </c>
    </row>
    <row r="9">
      <c r="B9" s="3" t="inlineStr">
        <is>
          <t>STEP 2 — Fill in “Posts”</t>
        </is>
      </c>
    </row>
    <row r="10" ht="28" customHeight="1">
      <c r="B10" s="4" t="inlineStr">
        <is>
          <t>Track performance of every post: reach, likes, comments.</t>
        </is>
      </c>
    </row>
    <row r="12">
      <c r="B12" s="3" t="inlineStr">
        <is>
          <t>STEP 3 — Fill in “Monthly Recap”</t>
        </is>
      </c>
    </row>
    <row r="13" ht="28" customHeight="1">
      <c r="B13" s="4" t="inlineStr">
        <is>
          <t>Month-by-month follower count across all platforms.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6" customWidth="1" min="4" max="4"/>
    <col width="12" customWidth="1" min="5" max="5"/>
  </cols>
  <sheetData>
    <row r="1">
      <c r="A1" s="6" t="inlineStr">
        <is>
          <t>Platform</t>
        </is>
      </c>
      <c r="B1" s="6" t="inlineStr">
        <is>
          <t>Handle</t>
        </is>
      </c>
      <c r="C1" s="6" t="inlineStr">
        <is>
          <t>Followers</t>
        </is>
      </c>
      <c r="D1" s="6" t="inlineStr">
        <is>
          <t>Growth (MoM)</t>
        </is>
      </c>
      <c r="E1" s="6" t="inlineStr">
        <is>
          <t>Growth %</t>
        </is>
      </c>
    </row>
    <row r="2">
      <c r="A2" s="7" t="inlineStr">
        <is>
          <t>Instagram</t>
        </is>
      </c>
      <c r="B2" s="7" t="inlineStr">
        <is>
          <t>alex@mail.com</t>
        </is>
      </c>
      <c r="C2" s="7" t="n">
        <v>12500</v>
      </c>
      <c r="D2" s="7" t="n">
        <v>340</v>
      </c>
      <c r="E2" s="7">
        <f>TEXT(D2/C2,"0.0%")</f>
        <v/>
      </c>
    </row>
    <row r="3">
      <c r="A3" s="8" t="inlineStr">
        <is>
          <t>YouTube</t>
        </is>
      </c>
      <c r="B3" s="8" t="inlineStr">
        <is>
          <t>sara@mail.com</t>
        </is>
      </c>
      <c r="C3" s="8" t="n">
        <v>8750</v>
      </c>
      <c r="D3" s="8" t="n">
        <v>238</v>
      </c>
      <c r="E3" s="8">
        <f>TEXT(D3/C3,"0.0%")</f>
        <v/>
      </c>
    </row>
    <row r="4">
      <c r="A4" s="7" t="inlineStr">
        <is>
          <t>TikTok</t>
        </is>
      </c>
      <c r="B4" s="7" t="inlineStr">
        <is>
          <t>omar@mail.com</t>
        </is>
      </c>
      <c r="C4" s="7" t="n">
        <v>16250</v>
      </c>
      <c r="D4" s="7" t="n">
        <v>442</v>
      </c>
      <c r="E4" s="7">
        <f>TEXT(D4/C4,"0.0%")</f>
        <v/>
      </c>
    </row>
    <row r="5">
      <c r="A5" s="8" t="inlineStr">
        <is>
          <t>Twitter/X</t>
        </is>
      </c>
      <c r="B5" s="8" t="inlineStr">
        <is>
          <t>emma@mail.com</t>
        </is>
      </c>
      <c r="C5" s="8" t="n">
        <v>10625</v>
      </c>
      <c r="D5" s="8" t="n">
        <v>289</v>
      </c>
      <c r="E5" s="8">
        <f>TEXT(D5/C5,"0.0%")</f>
        <v/>
      </c>
    </row>
    <row r="6">
      <c r="A6" s="7" t="inlineStr">
        <is>
          <t>LinkedIn</t>
        </is>
      </c>
      <c r="B6" s="7" t="inlineStr">
        <is>
          <t>liam@mail.com</t>
        </is>
      </c>
      <c r="C6" s="7" t="n">
        <v>14375</v>
      </c>
      <c r="D6" s="7" t="n">
        <v>391</v>
      </c>
      <c r="E6" s="7">
        <f>TEXT(D6/C6,"0.0%")</f>
        <v/>
      </c>
    </row>
    <row r="7">
      <c r="A7" s="8" t="inlineStr">
        <is>
          <t>Pinterest</t>
        </is>
      </c>
      <c r="B7" s="8" t="inlineStr">
        <is>
          <t>nadia@mail.com</t>
        </is>
      </c>
      <c r="C7" s="8" t="n">
        <v>7500</v>
      </c>
      <c r="D7" s="8" t="n">
        <v>204</v>
      </c>
      <c r="E7" s="8">
        <f>TEXT(D7/C7,"0.0%")</f>
        <v/>
      </c>
    </row>
    <row r="8">
      <c r="A8" s="7" t="inlineStr">
        <is>
          <t>Facebook</t>
        </is>
      </c>
      <c r="B8" s="7" t="inlineStr">
        <is>
          <t>tom@mail.com</t>
        </is>
      </c>
      <c r="C8" s="7" t="n">
        <v>18125</v>
      </c>
      <c r="D8" s="7" t="n">
        <v>493</v>
      </c>
      <c r="E8" s="7">
        <f>TEXT(D8/C8,"0.0%")</f>
        <v/>
      </c>
    </row>
    <row r="9">
      <c r="A9" s="8" t="inlineStr">
        <is>
          <t>Threads</t>
        </is>
      </c>
      <c r="B9" s="8" t="inlineStr">
        <is>
          <t>julia@mail.com</t>
        </is>
      </c>
      <c r="C9" s="8" t="n">
        <v>11875</v>
      </c>
      <c r="D9" s="8" t="n">
        <v>323</v>
      </c>
      <c r="E9" s="8">
        <f>TEXT(D9/C9,"0.0%")</f>
        <v/>
      </c>
    </row>
    <row r="10">
      <c r="A10" s="7" t="inlineStr">
        <is>
          <t>Instagram</t>
        </is>
      </c>
      <c r="B10" s="7" t="inlineStr">
        <is>
          <t>karim@mail.com</t>
        </is>
      </c>
      <c r="C10" s="7" t="n">
        <v>15625</v>
      </c>
      <c r="D10" s="7" t="n">
        <v>425</v>
      </c>
      <c r="E10" s="7">
        <f>TEXT(D10/C10,"0.0%")</f>
        <v/>
      </c>
    </row>
    <row r="11">
      <c r="A11" s="8" t="inlineStr">
        <is>
          <t>YouTube</t>
        </is>
      </c>
      <c r="B11" s="8" t="inlineStr">
        <is>
          <t>anna@mail.com</t>
        </is>
      </c>
      <c r="C11" s="8" t="n">
        <v>10000</v>
      </c>
      <c r="D11" s="8" t="n">
        <v>272</v>
      </c>
      <c r="E11" s="8">
        <f>TEXT(D11/C11,"0.0%")</f>
        <v/>
      </c>
    </row>
    <row r="12">
      <c r="A12" s="7" t="inlineStr">
        <is>
          <t>TikTok</t>
        </is>
      </c>
      <c r="B12" s="7" t="inlineStr">
        <is>
          <t>david@mail.com</t>
        </is>
      </c>
      <c r="C12" s="7" t="n">
        <v>13750</v>
      </c>
      <c r="D12" s="7" t="n">
        <v>374</v>
      </c>
      <c r="E12" s="7">
        <f>TEXT(D12/C12,"0.0%")</f>
        <v/>
      </c>
    </row>
    <row r="13">
      <c r="A13" s="8" t="inlineStr">
        <is>
          <t>Twitter/X</t>
        </is>
      </c>
      <c r="B13" s="8" t="inlineStr">
        <is>
          <t>lea@mail.com</t>
        </is>
      </c>
      <c r="C13" s="8" t="n">
        <v>9375</v>
      </c>
      <c r="D13" s="8" t="n">
        <v>255</v>
      </c>
      <c r="E13" s="8">
        <f>TEXT(D13/C13,"0.0%")</f>
        <v/>
      </c>
    </row>
  </sheetData>
  <dataValidations count="1">
    <dataValidation sqref="A2:A500" showDropDown="0" showInputMessage="0" showErrorMessage="0" allowBlank="1" type="list">
      <formula1>"Instagram,YouTube,TikTok,Twitter/X,LinkedIn,Pinterest,Facebook,Threads"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SOCIAL MEDIA ANALYTICS DASHBOARD — DASHBOARD</t>
        </is>
      </c>
    </row>
    <row r="4">
      <c r="B4" s="10" t="inlineStr">
        <is>
          <t>TOTAL FOLLOWERS</t>
        </is>
      </c>
      <c r="D4" s="11" t="inlineStr">
        <is>
          <t>MONTHLY GROWTH</t>
        </is>
      </c>
      <c r="F4" s="12" t="inlineStr">
        <is>
          <t>AVG ENGAGEMENT</t>
        </is>
      </c>
      <c r="H4" s="13" t="inlineStr">
        <is>
          <t>POSTS THIS MONTH</t>
        </is>
      </c>
    </row>
    <row r="5" ht="26" customHeight="1">
      <c r="B5" s="14">
        <f>SUM(Platforms!C:C)</f>
        <v/>
      </c>
      <c r="D5" s="15">
        <f>SUM(Platforms!D:D)</f>
        <v/>
      </c>
      <c r="F5" s="16">
        <f>AVERAGE(Posts!F:F)</f>
        <v/>
      </c>
      <c r="H5" s="17">
        <f>COUNTA(Posts!A:A)-1</f>
        <v/>
      </c>
    </row>
    <row r="8">
      <c r="B8" s="18" t="inlineStr">
        <is>
          <t>WHAT'S INSIDE</t>
        </is>
      </c>
    </row>
    <row r="9">
      <c r="B9" s="19" t="inlineStr">
        <is>
          <t>📱  Platforms — Follower count and growth per platform, updated monthly.</t>
        </is>
      </c>
    </row>
    <row r="10">
      <c r="B10" s="19" t="inlineStr">
        <is>
          <t>📸  Posts — Track performance of every post: reach, likes, comments.</t>
        </is>
      </c>
    </row>
    <row r="11">
      <c r="B11" s="19" t="inlineStr">
        <is>
          <t>📅  Monthly Recap — Month-by-month follower count across all platforms.</t>
        </is>
      </c>
    </row>
    <row r="12">
      <c r="B12" s="19" t="inlineStr">
        <is>
          <t>📊  Reports — Platform performance rankings and top content formats.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32" customWidth="1" min="4" max="4"/>
    <col width="12" customWidth="1" min="5" max="5"/>
    <col width="16" customWidth="1" min="6" max="6"/>
    <col width="10" customWidth="1" min="7" max="7"/>
  </cols>
  <sheetData>
    <row r="1">
      <c r="A1" s="6" t="inlineStr">
        <is>
          <t>Date</t>
        </is>
      </c>
      <c r="B1" s="6" t="inlineStr">
        <is>
          <t>Platform</t>
        </is>
      </c>
      <c r="C1" s="6" t="inlineStr">
        <is>
          <t>Type</t>
        </is>
      </c>
      <c r="D1" s="6" t="inlineStr">
        <is>
          <t>Caption / Title</t>
        </is>
      </c>
      <c r="E1" s="6" t="inlineStr">
        <is>
          <t>Reach</t>
        </is>
      </c>
      <c r="F1" s="6" t="inlineStr">
        <is>
          <t>Engagement %</t>
        </is>
      </c>
      <c r="G1" s="6" t="inlineStr">
        <is>
          <t>Likes</t>
        </is>
      </c>
    </row>
    <row r="2">
      <c r="A2" s="20" t="n">
        <v>46174</v>
      </c>
      <c r="B2" s="7" t="inlineStr">
        <is>
          <t>Instagram</t>
        </is>
      </c>
      <c r="C2" s="7" t="inlineStr">
        <is>
          <t>Reel</t>
        </is>
      </c>
      <c r="D2" s="7" t="inlineStr">
        <is>
          <t>Kickoff meeting</t>
        </is>
      </c>
      <c r="E2" s="7" t="n">
        <v>4500</v>
      </c>
      <c r="F2" s="7" t="n">
        <v>5.2</v>
      </c>
      <c r="G2" s="7" t="n">
        <v>234</v>
      </c>
    </row>
    <row r="3">
      <c r="A3" s="21" t="n">
        <v>46180</v>
      </c>
      <c r="B3" s="8" t="inlineStr">
        <is>
          <t>YouTube</t>
        </is>
      </c>
      <c r="C3" s="8" t="inlineStr">
        <is>
          <t>Post</t>
        </is>
      </c>
      <c r="D3" s="8" t="inlineStr">
        <is>
          <t>Send proposal</t>
        </is>
      </c>
      <c r="E3" s="8" t="n">
        <v>3150</v>
      </c>
      <c r="F3" s="8" t="n">
        <v>3.64</v>
      </c>
      <c r="G3" s="8" t="n">
        <v>164</v>
      </c>
    </row>
    <row r="4">
      <c r="A4" s="20" t="n">
        <v>46186</v>
      </c>
      <c r="B4" s="7" t="inlineStr">
        <is>
          <t>TikTok</t>
        </is>
      </c>
      <c r="C4" s="7" t="inlineStr">
        <is>
          <t>Story</t>
        </is>
      </c>
      <c r="D4" s="7" t="inlineStr">
        <is>
          <t>Review feedback</t>
        </is>
      </c>
      <c r="E4" s="7" t="n">
        <v>5850</v>
      </c>
      <c r="F4" s="7" t="n">
        <v>6.76</v>
      </c>
      <c r="G4" s="7" t="n">
        <v>304</v>
      </c>
    </row>
    <row r="5">
      <c r="A5" s="21" t="n">
        <v>46189</v>
      </c>
      <c r="B5" s="8" t="inlineStr">
        <is>
          <t>Twitter/X</t>
        </is>
      </c>
      <c r="C5" s="8" t="inlineStr">
        <is>
          <t>Video</t>
        </is>
      </c>
      <c r="D5" s="8" t="inlineStr">
        <is>
          <t>Update website copy</t>
        </is>
      </c>
      <c r="E5" s="8" t="n">
        <v>3825</v>
      </c>
      <c r="F5" s="8" t="n">
        <v>4.42</v>
      </c>
      <c r="G5" s="8" t="n">
        <v>199</v>
      </c>
    </row>
    <row r="6">
      <c r="A6" s="20" t="n">
        <v>46195</v>
      </c>
      <c r="B6" s="7" t="inlineStr">
        <is>
          <t>LinkedIn</t>
        </is>
      </c>
      <c r="C6" s="7" t="inlineStr">
        <is>
          <t>Thread</t>
        </is>
      </c>
      <c r="D6" s="7" t="inlineStr">
        <is>
          <t>Prepare invoice</t>
        </is>
      </c>
      <c r="E6" s="7" t="n">
        <v>5175</v>
      </c>
      <c r="F6" s="7" t="n">
        <v>5.98</v>
      </c>
      <c r="G6" s="7" t="n">
        <v>269</v>
      </c>
    </row>
    <row r="7">
      <c r="A7" s="21" t="n">
        <v>46201</v>
      </c>
      <c r="B7" s="8" t="inlineStr">
        <is>
          <t>Instagram</t>
        </is>
      </c>
      <c r="C7" s="8" t="inlineStr">
        <is>
          <t>Short</t>
        </is>
      </c>
      <c r="D7" s="8" t="inlineStr">
        <is>
          <t>Client call</t>
        </is>
      </c>
      <c r="E7" s="8" t="n">
        <v>2700</v>
      </c>
      <c r="F7" s="8" t="n">
        <v>3.12</v>
      </c>
      <c r="G7" s="8" t="n">
        <v>140</v>
      </c>
    </row>
    <row r="8">
      <c r="A8" s="20" t="n">
        <v>46176</v>
      </c>
      <c r="B8" s="7" t="inlineStr">
        <is>
          <t>YouTube</t>
        </is>
      </c>
      <c r="C8" s="7" t="inlineStr">
        <is>
          <t>Carousel</t>
        </is>
      </c>
      <c r="D8" s="7" t="inlineStr">
        <is>
          <t>Design first draft</t>
        </is>
      </c>
      <c r="E8" s="7" t="n">
        <v>6525</v>
      </c>
      <c r="F8" s="7" t="n">
        <v>7.54</v>
      </c>
      <c r="G8" s="7" t="n">
        <v>339</v>
      </c>
    </row>
    <row r="9">
      <c r="A9" s="21" t="n">
        <v>46182</v>
      </c>
      <c r="B9" s="8" t="inlineStr">
        <is>
          <t>TikTok</t>
        </is>
      </c>
      <c r="C9" s="8" t="inlineStr">
        <is>
          <t>Reel</t>
        </is>
      </c>
      <c r="D9" s="8" t="inlineStr">
        <is>
          <t>Fix reported bug</t>
        </is>
      </c>
      <c r="E9" s="8" t="n">
        <v>4275</v>
      </c>
      <c r="F9" s="8" t="n">
        <v>4.94</v>
      </c>
      <c r="G9" s="8" t="n">
        <v>222</v>
      </c>
    </row>
    <row r="10">
      <c r="A10" s="20" t="n">
        <v>46188</v>
      </c>
      <c r="B10" s="7" t="inlineStr">
        <is>
          <t>Twitter/X</t>
        </is>
      </c>
      <c r="C10" s="7" t="inlineStr">
        <is>
          <t>Post</t>
        </is>
      </c>
      <c r="D10" s="7" t="inlineStr">
        <is>
          <t>Weekly report</t>
        </is>
      </c>
      <c r="E10" s="7" t="n">
        <v>5625</v>
      </c>
      <c r="F10" s="7" t="n">
        <v>6.5</v>
      </c>
      <c r="G10" s="7" t="n">
        <v>292</v>
      </c>
    </row>
    <row r="11">
      <c r="A11" s="21" t="n">
        <v>46191</v>
      </c>
      <c r="B11" s="8" t="inlineStr">
        <is>
          <t>LinkedIn</t>
        </is>
      </c>
      <c r="C11" s="8" t="inlineStr">
        <is>
          <t>Story</t>
        </is>
      </c>
      <c r="D11" s="8" t="inlineStr">
        <is>
          <t>Plan next sprint</t>
        </is>
      </c>
      <c r="E11" s="8" t="n">
        <v>3600</v>
      </c>
      <c r="F11" s="8" t="n">
        <v>4.16</v>
      </c>
      <c r="G11" s="8" t="n">
        <v>187</v>
      </c>
    </row>
    <row r="12">
      <c r="A12" s="20" t="n">
        <v>46197</v>
      </c>
      <c r="B12" s="7" t="inlineStr">
        <is>
          <t>Instagram</t>
        </is>
      </c>
      <c r="C12" s="7" t="inlineStr">
        <is>
          <t>Video</t>
        </is>
      </c>
      <c r="D12" s="7" t="inlineStr">
        <is>
          <t>Publish blog post</t>
        </is>
      </c>
      <c r="E12" s="7" t="n">
        <v>4950</v>
      </c>
      <c r="F12" s="7" t="n">
        <v>5.72</v>
      </c>
      <c r="G12" s="7" t="n">
        <v>257</v>
      </c>
    </row>
    <row r="13">
      <c r="A13" s="21" t="n">
        <v>46175</v>
      </c>
      <c r="B13" s="8" t="inlineStr">
        <is>
          <t>YouTube</t>
        </is>
      </c>
      <c r="C13" s="8" t="inlineStr">
        <is>
          <t>Thread</t>
        </is>
      </c>
      <c r="D13" s="8" t="inlineStr">
        <is>
          <t>Team sync</t>
        </is>
      </c>
      <c r="E13" s="8" t="n">
        <v>3375</v>
      </c>
      <c r="F13" s="8" t="n">
        <v>3.9</v>
      </c>
      <c r="G13" s="8" t="n">
        <v>176</v>
      </c>
    </row>
  </sheetData>
  <dataValidations count="2">
    <dataValidation sqref="B2:B500" showDropDown="0" showInputMessage="0" showErrorMessage="0" allowBlank="1" type="list">
      <formula1>"Instagram,YouTube,TikTok,Twitter/X,LinkedIn"</formula1>
    </dataValidation>
    <dataValidation sqref="C2:C500" showDropDown="0" showInputMessage="0" showErrorMessage="0" allowBlank="1" type="list">
      <formula1>"Reel,Post,Story,Video,Thread,Short,Carousel"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Month</t>
        </is>
      </c>
      <c r="B1" s="6" t="inlineStr">
        <is>
          <t>Instagram</t>
        </is>
      </c>
      <c r="C1" s="6" t="inlineStr">
        <is>
          <t>YouTube</t>
        </is>
      </c>
      <c r="D1" s="6" t="inlineStr">
        <is>
          <t>TikTok</t>
        </is>
      </c>
      <c r="E1" s="6" t="inlineStr">
        <is>
          <t>Total</t>
        </is>
      </c>
      <c r="F1" s="6" t="inlineStr">
        <is>
          <t>Growth</t>
        </is>
      </c>
    </row>
    <row r="2">
      <c r="A2" s="7" t="inlineStr">
        <is>
          <t>January 2024</t>
        </is>
      </c>
      <c r="B2" s="7" t="n">
        <v>8500</v>
      </c>
      <c r="C2" s="7" t="n">
        <v>3200</v>
      </c>
      <c r="D2" s="7" t="n">
        <v>15000</v>
      </c>
      <c r="E2" s="7">
        <f>C2+D2+E2</f>
        <v/>
      </c>
      <c r="F2" s="7">
        <f>F2-F{ROW-1}</f>
        <v/>
      </c>
    </row>
    <row r="3">
      <c r="A3" s="8" t="inlineStr">
        <is>
          <t>January 2025</t>
        </is>
      </c>
      <c r="B3" s="8" t="n">
        <v>5950</v>
      </c>
      <c r="C3" s="8" t="n">
        <v>2240</v>
      </c>
      <c r="D3" s="8" t="n">
        <v>10500</v>
      </c>
      <c r="E3" s="8">
        <f>C3+D3+E3</f>
        <v/>
      </c>
      <c r="F3" s="8">
        <f>F3-F{ROW-1}</f>
        <v/>
      </c>
    </row>
    <row r="4">
      <c r="A4" s="7" t="inlineStr">
        <is>
          <t>January 2026</t>
        </is>
      </c>
      <c r="B4" s="7" t="n">
        <v>11050</v>
      </c>
      <c r="C4" s="7" t="n">
        <v>4160</v>
      </c>
      <c r="D4" s="7" t="n">
        <v>19500</v>
      </c>
      <c r="E4" s="7">
        <f>C4+D4+E4</f>
        <v/>
      </c>
      <c r="F4" s="7">
        <f>F4-F{ROW-1}</f>
        <v/>
      </c>
    </row>
    <row r="5">
      <c r="A5" s="8" t="inlineStr">
        <is>
          <t>January 2027</t>
        </is>
      </c>
      <c r="B5" s="8" t="n">
        <v>7225</v>
      </c>
      <c r="C5" s="8" t="n">
        <v>2720</v>
      </c>
      <c r="D5" s="8" t="n">
        <v>12750</v>
      </c>
      <c r="E5" s="8">
        <f>C5+D5+E5</f>
        <v/>
      </c>
      <c r="F5" s="8">
        <f>F5-F{ROW-1}</f>
        <v/>
      </c>
    </row>
    <row r="6">
      <c r="A6" s="7" t="inlineStr">
        <is>
          <t>January 2028</t>
        </is>
      </c>
      <c r="B6" s="7" t="n">
        <v>9775</v>
      </c>
      <c r="C6" s="7" t="n">
        <v>3680</v>
      </c>
      <c r="D6" s="7" t="n">
        <v>17250</v>
      </c>
      <c r="E6" s="7">
        <f>C6+D6+E6</f>
        <v/>
      </c>
      <c r="F6" s="7">
        <f>F6-F{ROW-1}</f>
        <v/>
      </c>
    </row>
    <row r="7">
      <c r="A7" s="8" t="inlineStr">
        <is>
          <t>January 2029</t>
        </is>
      </c>
      <c r="B7" s="8" t="n">
        <v>5100</v>
      </c>
      <c r="C7" s="8" t="n">
        <v>1920</v>
      </c>
      <c r="D7" s="8" t="n">
        <v>9000</v>
      </c>
      <c r="E7" s="8">
        <f>C7+D7+E7</f>
        <v/>
      </c>
      <c r="F7" s="8">
        <f>F7-F{ROW-1}</f>
        <v/>
      </c>
    </row>
    <row r="8">
      <c r="A8" s="7" t="inlineStr">
        <is>
          <t>January 2030</t>
        </is>
      </c>
      <c r="B8" s="7" t="n">
        <v>12325</v>
      </c>
      <c r="C8" s="7" t="n">
        <v>4640</v>
      </c>
      <c r="D8" s="7" t="n">
        <v>21750</v>
      </c>
      <c r="E8" s="7">
        <f>C8+D8+E8</f>
        <v/>
      </c>
      <c r="F8" s="7">
        <f>F8-F{ROW-1}</f>
        <v/>
      </c>
    </row>
    <row r="9">
      <c r="A9" s="8" t="inlineStr">
        <is>
          <t>January 2031</t>
        </is>
      </c>
      <c r="B9" s="8" t="n">
        <v>8075</v>
      </c>
      <c r="C9" s="8" t="n">
        <v>3040</v>
      </c>
      <c r="D9" s="8" t="n">
        <v>14250</v>
      </c>
      <c r="E9" s="8">
        <f>C9+D9+E9</f>
        <v/>
      </c>
      <c r="F9" s="8">
        <f>F9-F{ROW-1}</f>
        <v/>
      </c>
    </row>
    <row r="10">
      <c r="A10" s="7" t="inlineStr">
        <is>
          <t>January 2032</t>
        </is>
      </c>
      <c r="B10" s="7" t="n">
        <v>10625</v>
      </c>
      <c r="C10" s="7" t="n">
        <v>4000</v>
      </c>
      <c r="D10" s="7" t="n">
        <v>18750</v>
      </c>
      <c r="E10" s="7">
        <f>C10+D10+E10</f>
        <v/>
      </c>
      <c r="F10" s="7">
        <f>F10-F{ROW-1}</f>
        <v/>
      </c>
    </row>
    <row r="11">
      <c r="A11" s="8" t="inlineStr">
        <is>
          <t>January 2033</t>
        </is>
      </c>
      <c r="B11" s="8" t="n">
        <v>6800</v>
      </c>
      <c r="C11" s="8" t="n">
        <v>2560</v>
      </c>
      <c r="D11" s="8" t="n">
        <v>12000</v>
      </c>
      <c r="E11" s="8">
        <f>C11+D11+E11</f>
        <v/>
      </c>
      <c r="F11" s="8">
        <f>F11-F{ROW-1}</f>
        <v/>
      </c>
    </row>
    <row r="12">
      <c r="A12" s="7" t="inlineStr">
        <is>
          <t>January 2034</t>
        </is>
      </c>
      <c r="B12" s="7" t="n">
        <v>9350</v>
      </c>
      <c r="C12" s="7" t="n">
        <v>3520</v>
      </c>
      <c r="D12" s="7" t="n">
        <v>16500</v>
      </c>
      <c r="E12" s="7">
        <f>C12+D12+E12</f>
        <v/>
      </c>
      <c r="F12" s="7">
        <f>F12-F{ROW-1}</f>
        <v/>
      </c>
    </row>
    <row r="13">
      <c r="A13" s="8" t="inlineStr">
        <is>
          <t>January 2035</t>
        </is>
      </c>
      <c r="B13" s="8" t="n">
        <v>6375</v>
      </c>
      <c r="C13" s="8" t="n">
        <v>2400</v>
      </c>
      <c r="D13" s="8" t="n">
        <v>11250</v>
      </c>
      <c r="E13" s="8">
        <f>C13+D13+E13</f>
        <v/>
      </c>
      <c r="F13" s="8">
        <f>F13-F{ROW-1}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2" t="inlineStr">
        <is>
          <t>📈  REPORTS</t>
        </is>
      </c>
    </row>
    <row r="4">
      <c r="B4" s="3" t="inlineStr">
        <is>
          <t>Platform Summary</t>
        </is>
      </c>
    </row>
    <row r="5">
      <c r="B5" s="8" t="inlineStr">
        <is>
          <t>Total Followers</t>
        </is>
      </c>
      <c r="C5" s="23">
        <f>SUM(Platforms!C:C)</f>
        <v/>
      </c>
    </row>
    <row r="6">
      <c r="B6" s="7" t="inlineStr">
        <is>
          <t>Total Growth (MoM)</t>
        </is>
      </c>
      <c r="C6" s="24">
        <f>SUM(Platforms!D:D)</f>
        <v/>
      </c>
    </row>
    <row r="7">
      <c r="B7" s="8" t="inlineStr">
        <is>
          <t>Total Posts</t>
        </is>
      </c>
      <c r="C7" s="23">
        <f>COUNTA(Posts!A:A)-1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