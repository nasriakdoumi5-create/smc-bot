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Bookings" sheetId="2" state="visible" r:id="rId2"/>
    <sheet name="Dashboard" sheetId="3" state="visible" r:id="rId3"/>
    <sheet name="Expenses" sheetId="4" state="visible" r:id="rId4"/>
    <sheet name="SetLists" sheetId="5" state="visible" r:id="rId5"/>
    <sheet name="Contact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&quot;€&quot;#,##0.00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222222"/>
      <sz val="10"/>
    </font>
    <font>
      <name val="Arial"/>
      <b val="1"/>
      <color rgb="00FFFFFF"/>
      <sz val="15"/>
    </font>
    <font>
      <name val="Arial"/>
      <b val="1"/>
      <color rgb="00FFFFFF"/>
      <sz val="16"/>
    </font>
    <font>
      <name val="Arial"/>
      <b val="1"/>
      <color rgb="001E0A3C"/>
      <sz val="12"/>
    </font>
    <font>
      <name val="Arial"/>
      <color rgb="00444444"/>
      <sz val="10"/>
    </font>
    <font>
      <name val="Arial"/>
      <i val="1"/>
      <color rgb="00777777"/>
      <sz val="10"/>
    </font>
    <font>
      <name val="Arial"/>
      <b val="1"/>
      <color rgb="00FFFFFF"/>
      <sz val="20"/>
    </font>
    <font>
      <name val="Arial"/>
      <color rgb="00DDDDDD"/>
      <sz val="11"/>
    </font>
    <font>
      <name val="Arial"/>
      <b val="1"/>
      <color rgb="007C3AED"/>
      <sz val="12"/>
    </font>
    <font>
      <name val="Arial"/>
      <color rgb="00333333"/>
      <sz val="11"/>
    </font>
  </fonts>
  <fills count="7">
    <fill>
      <patternFill/>
    </fill>
    <fill>
      <patternFill patternType="gray125"/>
    </fill>
    <fill>
      <patternFill patternType="solid">
        <fgColor rgb="001E0A3C"/>
      </patternFill>
    </fill>
    <fill>
      <patternFill patternType="solid">
        <fgColor rgb="00FFF7F0"/>
      </patternFill>
    </fill>
    <fill>
      <patternFill patternType="solid">
        <fgColor rgb="007C3AED"/>
      </patternFill>
    </fill>
    <fill>
      <patternFill patternType="solid">
        <fgColor rgb="004ADE80"/>
      </patternFill>
    </fill>
    <fill>
      <patternFill patternType="solid">
        <fgColor rgb="006366F1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8" fillId="2" borderId="0" applyAlignment="1" pivotButton="0" quotePrefix="0" xfId="0">
      <alignment horizontal="center" vertical="center"/>
    </xf>
    <xf numFmtId="0" fontId="9" fillId="2" borderId="0" applyAlignment="1" pivotButton="0" quotePrefix="0" xfId="0">
      <alignment horizontal="center" vertical="center"/>
    </xf>
    <xf numFmtId="0" fontId="10" fillId="0" borderId="0" pivotButton="0" quotePrefix="0" xfId="0"/>
    <xf numFmtId="0" fontId="11" fillId="0" borderId="0" applyAlignment="1" pivotButton="0" quotePrefix="0" xfId="0">
      <alignment horizontal="left" vertical="center" wrapText="1"/>
    </xf>
    <xf numFmtId="0" fontId="7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164" fontId="2" fillId="0" borderId="1" pivotButton="0" quotePrefix="0" xfId="0"/>
    <xf numFmtId="0" fontId="3" fillId="2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center" vertical="center"/>
    </xf>
    <xf numFmtId="0" fontId="5" fillId="0" borderId="0" pivotButton="0" quotePrefix="0" xfId="0"/>
    <xf numFmtId="0" fontId="6" fillId="0" borderId="0" applyAlignment="1" pivotButton="0" quotePrefix="0" xfId="0">
      <alignment horizontal="left" vertical="center" wrapText="1"/>
    </xf>
    <xf numFmtId="165" fontId="2" fillId="3" borderId="1" pivotButton="0" quotePrefix="0" xfId="0"/>
    <xf numFmtId="165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6" customWidth="1" min="2" max="2"/>
    <col width="30" customWidth="1" min="3" max="3"/>
    <col width="30" customWidth="1" min="4" max="4"/>
    <col width="30" customWidth="1" min="5" max="5"/>
    <col width="16" customWidth="1" min="6" max="6"/>
  </cols>
  <sheetData>
    <row r="2">
      <c r="B2" s="1" t="inlineStr">
        <is>
          <t>🎵  MUSICIAN BOOKING TRACKER</t>
        </is>
      </c>
    </row>
    <row r="3"/>
    <row r="4">
      <c r="B4" s="2" t="inlineStr">
        <is>
          <t>Gig Schedule &amp; Income Manager Google Sheets</t>
        </is>
      </c>
    </row>
    <row r="6">
      <c r="B6" s="3" t="inlineStr">
        <is>
          <t>STEP 1 — Fill in “Bookings”</t>
        </is>
      </c>
    </row>
    <row r="7" ht="28" customHeight="1">
      <c r="B7" s="4" t="inlineStr">
        <is>
          <t>All gigs with venue, date, pay, and status.</t>
        </is>
      </c>
    </row>
    <row r="9">
      <c r="B9" s="3" t="inlineStr">
        <is>
          <t>STEP 2 — Fill in “Expenses”</t>
        </is>
      </c>
    </row>
    <row r="10" ht="28" customHeight="1">
      <c r="B10" s="4" t="inlineStr">
        <is>
          <t>Music-related expenses for tax deduction.</t>
        </is>
      </c>
    </row>
    <row r="12">
      <c r="B12" s="3" t="inlineStr">
        <is>
          <t>STEP 3 — Fill in “SetLists”</t>
        </is>
      </c>
    </row>
    <row r="13" ht="28" customHeight="1">
      <c r="B13" s="4" t="inlineStr">
        <is>
          <t>Set lists by gig type for quick reference.</t>
        </is>
      </c>
    </row>
    <row r="15">
      <c r="B15" s="3" t="inlineStr">
        <is>
          <t>STEP 4 — Fill in “Contacts”</t>
        </is>
      </c>
    </row>
    <row r="16" ht="28" customHeight="1">
      <c r="B16" s="4" t="inlineStr">
        <is>
          <t>Venue contacts and booking agents directory.</t>
        </is>
      </c>
    </row>
    <row r="18">
      <c r="B18" s="3" t="inlineStr">
        <is>
          <t>Then open the Dashboard — everything calculates automatically.</t>
        </is>
      </c>
    </row>
    <row r="20">
      <c r="B20" s="5" t="inlineStr">
        <is>
          <t>TIP: Delete the sample rows once you've seen how it works.</t>
        </is>
      </c>
    </row>
    <row r="22">
      <c r="B22" s="5" t="inlineStr">
        <is>
          <t>TIP: On Google Sheets? File → Make a copy first, then edit your copy.</t>
        </is>
      </c>
    </row>
    <row r="24">
      <c r="B24" s="5" t="inlineStr">
        <is>
          <t>TIP: Columns with dropdowns keep your data clean — use them.</t>
        </is>
      </c>
    </row>
    <row r="26">
      <c r="B26" s="5" t="inlineStr">
        <is>
          <t>Need help? Message NasriTools on Etsy — I reply fast. 🧡</t>
        </is>
      </c>
    </row>
  </sheetData>
  <mergeCells count="15">
    <mergeCell ref="B4:F4"/>
    <mergeCell ref="B12:F12"/>
    <mergeCell ref="B7:F7"/>
    <mergeCell ref="B6:F6"/>
    <mergeCell ref="B24:F24"/>
    <mergeCell ref="B16:F16"/>
    <mergeCell ref="B20:F20"/>
    <mergeCell ref="B15:F15"/>
    <mergeCell ref="B2:F3"/>
    <mergeCell ref="B10:F10"/>
    <mergeCell ref="B18:F18"/>
    <mergeCell ref="B22:F22"/>
    <mergeCell ref="B26:F26"/>
    <mergeCell ref="B9:F9"/>
    <mergeCell ref="B13:F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8" customWidth="1" min="3" max="3"/>
    <col width="24" customWidth="1" min="4" max="4"/>
    <col width="18" customWidth="1" min="5" max="5"/>
    <col width="18" customWidth="1" min="6" max="6"/>
    <col width="12" customWidth="1" min="7" max="7"/>
    <col width="16" customWidth="1" min="8" max="8"/>
  </cols>
  <sheetData>
    <row r="1">
      <c r="A1" s="6" t="inlineStr">
        <is>
          <t>Gig Name</t>
        </is>
      </c>
      <c r="B1" s="6" t="inlineStr">
        <is>
          <t>Date</t>
        </is>
      </c>
      <c r="C1" s="6" t="inlineStr">
        <is>
          <t>Year</t>
        </is>
      </c>
      <c r="D1" s="6" t="inlineStr">
        <is>
          <t>Venue</t>
        </is>
      </c>
      <c r="E1" s="6" t="inlineStr">
        <is>
          <t>City</t>
        </is>
      </c>
      <c r="F1" s="6" t="inlineStr">
        <is>
          <t>Type</t>
        </is>
      </c>
      <c r="G1" s="6" t="inlineStr">
        <is>
          <t>Pay $</t>
        </is>
      </c>
      <c r="H1" s="6" t="inlineStr">
        <is>
          <t>Status</t>
        </is>
      </c>
    </row>
    <row r="2">
      <c r="A2" s="7" t="inlineStr">
        <is>
          <t>Alex Martin</t>
        </is>
      </c>
      <c r="B2" s="8" t="n">
        <v>46174</v>
      </c>
      <c r="C2" s="7" t="n">
        <v>2024</v>
      </c>
      <c r="D2" s="7" t="inlineStr">
        <is>
          <t>Blue Note Chicago</t>
        </is>
      </c>
      <c r="E2" s="7" t="inlineStr">
        <is>
          <t>Chicago, IL</t>
        </is>
      </c>
      <c r="F2" s="7" t="inlineStr">
        <is>
          <t>Club</t>
        </is>
      </c>
      <c r="G2" s="7" t="n">
        <v>400</v>
      </c>
      <c r="H2" s="7" t="inlineStr">
        <is>
          <t>Confirmed</t>
        </is>
      </c>
    </row>
    <row r="3">
      <c r="A3" s="9" t="inlineStr">
        <is>
          <t>Sara Lopez</t>
        </is>
      </c>
      <c r="B3" s="10" t="n">
        <v>46180</v>
      </c>
      <c r="C3" s="9" t="n">
        <v>1417</v>
      </c>
      <c r="D3" s="9" t="inlineStr">
        <is>
          <t>Blue Note Chicago</t>
        </is>
      </c>
      <c r="E3" s="9" t="inlineStr">
        <is>
          <t>Chicago, IL</t>
        </is>
      </c>
      <c r="F3" s="9" t="inlineStr">
        <is>
          <t>Wedding</t>
        </is>
      </c>
      <c r="G3" s="9" t="n">
        <v>280</v>
      </c>
      <c r="H3" s="9" t="inlineStr">
        <is>
          <t>Pending</t>
        </is>
      </c>
    </row>
    <row r="4">
      <c r="A4" s="7" t="inlineStr">
        <is>
          <t>Omar Haddad</t>
        </is>
      </c>
      <c r="B4" s="8" t="n">
        <v>46186</v>
      </c>
      <c r="C4" s="7" t="n">
        <v>2631</v>
      </c>
      <c r="D4" s="7" t="inlineStr"/>
      <c r="E4" s="7" t="inlineStr"/>
      <c r="F4" s="7" t="inlineStr">
        <is>
          <t>Corporate</t>
        </is>
      </c>
      <c r="G4" s="7" t="n">
        <v>520</v>
      </c>
      <c r="H4" s="7" t="inlineStr">
        <is>
          <t>Completed</t>
        </is>
      </c>
    </row>
    <row r="5">
      <c r="A5" s="9" t="inlineStr">
        <is>
          <t>Emma Fischer</t>
        </is>
      </c>
      <c r="B5" s="10" t="n">
        <v>46189</v>
      </c>
      <c r="C5" s="9" t="n">
        <v>1720</v>
      </c>
      <c r="D5" s="9" t="inlineStr">
        <is>
          <t>Blue Note Chicago</t>
        </is>
      </c>
      <c r="E5" s="9" t="inlineStr">
        <is>
          <t>Chicago, IL</t>
        </is>
      </c>
      <c r="F5" s="9" t="inlineStr">
        <is>
          <t>Festival</t>
        </is>
      </c>
      <c r="G5" s="9" t="n">
        <v>340</v>
      </c>
      <c r="H5" s="9" t="inlineStr">
        <is>
          <t>Cancelled</t>
        </is>
      </c>
    </row>
    <row r="6">
      <c r="A6" s="7" t="inlineStr">
        <is>
          <t>Liam Carter</t>
        </is>
      </c>
      <c r="B6" s="8" t="n">
        <v>46195</v>
      </c>
      <c r="C6" s="7" t="n">
        <v>2328</v>
      </c>
      <c r="D6" s="7" t="inlineStr">
        <is>
          <t>Blue Note Chicago</t>
        </is>
      </c>
      <c r="E6" s="7" t="inlineStr">
        <is>
          <t>Chicago, IL</t>
        </is>
      </c>
      <c r="F6" s="7" t="inlineStr">
        <is>
          <t>Session</t>
        </is>
      </c>
      <c r="G6" s="7" t="n">
        <v>460</v>
      </c>
      <c r="H6" s="7" t="inlineStr">
        <is>
          <t>Confirmed</t>
        </is>
      </c>
    </row>
    <row r="7">
      <c r="A7" s="9" t="inlineStr">
        <is>
          <t>Nadia Rahali</t>
        </is>
      </c>
      <c r="B7" s="10" t="n">
        <v>46201</v>
      </c>
      <c r="C7" s="9" t="n">
        <v>1214</v>
      </c>
      <c r="D7" s="9" t="inlineStr"/>
      <c r="E7" s="9" t="inlineStr"/>
      <c r="F7" s="9" t="inlineStr">
        <is>
          <t>Teaching</t>
        </is>
      </c>
      <c r="G7" s="9" t="n">
        <v>240</v>
      </c>
      <c r="H7" s="9" t="inlineStr">
        <is>
          <t>Pending</t>
        </is>
      </c>
    </row>
    <row r="8">
      <c r="A8" s="7" t="inlineStr">
        <is>
          <t>Tom Becker</t>
        </is>
      </c>
      <c r="B8" s="8" t="n">
        <v>46176</v>
      </c>
      <c r="C8" s="7" t="n">
        <v>2935</v>
      </c>
      <c r="D8" s="7" t="inlineStr">
        <is>
          <t>Blue Note Chicago</t>
        </is>
      </c>
      <c r="E8" s="7" t="inlineStr">
        <is>
          <t>Chicago, IL</t>
        </is>
      </c>
      <c r="F8" s="7" t="inlineStr">
        <is>
          <t>Other</t>
        </is>
      </c>
      <c r="G8" s="7" t="n">
        <v>580</v>
      </c>
      <c r="H8" s="7" t="inlineStr">
        <is>
          <t>Completed</t>
        </is>
      </c>
    </row>
    <row r="9">
      <c r="A9" s="9" t="inlineStr">
        <is>
          <t>Julia Romero</t>
        </is>
      </c>
      <c r="B9" s="10" t="n">
        <v>46182</v>
      </c>
      <c r="C9" s="9" t="n">
        <v>1923</v>
      </c>
      <c r="D9" s="9" t="inlineStr">
        <is>
          <t>Blue Note Chicago</t>
        </is>
      </c>
      <c r="E9" s="9" t="inlineStr">
        <is>
          <t>Chicago, IL</t>
        </is>
      </c>
      <c r="F9" s="9" t="inlineStr">
        <is>
          <t>Club</t>
        </is>
      </c>
      <c r="G9" s="9" t="n">
        <v>380</v>
      </c>
      <c r="H9" s="9" t="inlineStr">
        <is>
          <t>Cancelled</t>
        </is>
      </c>
    </row>
    <row r="10">
      <c r="A10" s="7" t="inlineStr">
        <is>
          <t>Karim Ziani</t>
        </is>
      </c>
      <c r="B10" s="8" t="n">
        <v>46188</v>
      </c>
      <c r="C10" s="7" t="n">
        <v>2530</v>
      </c>
      <c r="D10" s="7" t="inlineStr"/>
      <c r="E10" s="7" t="inlineStr"/>
      <c r="F10" s="7" t="inlineStr">
        <is>
          <t>Wedding</t>
        </is>
      </c>
      <c r="G10" s="7" t="n">
        <v>500</v>
      </c>
      <c r="H10" s="7" t="inlineStr">
        <is>
          <t>Confirmed</t>
        </is>
      </c>
    </row>
    <row r="11">
      <c r="A11" s="9" t="inlineStr">
        <is>
          <t>Anna Kowalska</t>
        </is>
      </c>
      <c r="B11" s="10" t="n">
        <v>46191</v>
      </c>
      <c r="C11" s="9" t="n">
        <v>1619</v>
      </c>
      <c r="D11" s="9" t="inlineStr">
        <is>
          <t>Blue Note Chicago</t>
        </is>
      </c>
      <c r="E11" s="9" t="inlineStr">
        <is>
          <t>Chicago, IL</t>
        </is>
      </c>
      <c r="F11" s="9" t="inlineStr">
        <is>
          <t>Corporate</t>
        </is>
      </c>
      <c r="G11" s="9" t="n">
        <v>320</v>
      </c>
      <c r="H11" s="9" t="inlineStr">
        <is>
          <t>Pending</t>
        </is>
      </c>
    </row>
    <row r="12">
      <c r="A12" s="7" t="inlineStr">
        <is>
          <t>David Chen</t>
        </is>
      </c>
      <c r="B12" s="8" t="n">
        <v>46197</v>
      </c>
      <c r="C12" s="7" t="n">
        <v>2226</v>
      </c>
      <c r="D12" s="7" t="inlineStr">
        <is>
          <t>Blue Note Chicago</t>
        </is>
      </c>
      <c r="E12" s="7" t="inlineStr">
        <is>
          <t>Chicago, IL</t>
        </is>
      </c>
      <c r="F12" s="7" t="inlineStr">
        <is>
          <t>Festival</t>
        </is>
      </c>
      <c r="G12" s="7" t="n">
        <v>440</v>
      </c>
      <c r="H12" s="7" t="inlineStr">
        <is>
          <t>Completed</t>
        </is>
      </c>
    </row>
    <row r="13">
      <c r="A13" s="9" t="inlineStr">
        <is>
          <t>Lea Moreau</t>
        </is>
      </c>
      <c r="B13" s="10" t="n">
        <v>46175</v>
      </c>
      <c r="C13" s="9" t="n">
        <v>1518</v>
      </c>
      <c r="D13" s="9" t="inlineStr"/>
      <c r="E13" s="9" t="inlineStr"/>
      <c r="F13" s="9" t="inlineStr">
        <is>
          <t>Session</t>
        </is>
      </c>
      <c r="G13" s="9" t="n">
        <v>300</v>
      </c>
      <c r="H13" s="9" t="inlineStr">
        <is>
          <t>Cancelled</t>
        </is>
      </c>
    </row>
  </sheetData>
  <dataValidations count="2">
    <dataValidation sqref="F2:F500" showDropDown="0" showInputMessage="0" showErrorMessage="0" allowBlank="1" type="list">
      <formula1>"Club,Wedding,Corporate,Festival,Session,Teaching,Other"</formula1>
    </dataValidation>
    <dataValidation sqref="H2:H500" showDropDown="0" showInputMessage="0" showErrorMessage="0" allowBlank="1" type="list">
      <formula1>"Confirmed,Pending,Completed,Cancelled"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I1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2" ht="28" customHeight="1">
      <c r="B2" s="11" t="inlineStr">
        <is>
          <t>📊  MUSICIAN BOOKING TRACKER — DASHBOARD</t>
        </is>
      </c>
    </row>
    <row r="4">
      <c r="B4" s="12" t="inlineStr">
        <is>
          <t>TOTAL GIGS</t>
        </is>
      </c>
      <c r="D4" s="13" t="inlineStr">
        <is>
          <t>ANNUAL INCOME</t>
        </is>
      </c>
      <c r="F4" s="14" t="inlineStr">
        <is>
          <t>AVG GIG PAY</t>
        </is>
      </c>
      <c r="H4" s="15" t="inlineStr">
        <is>
          <t>UPCOMING GIGS</t>
        </is>
      </c>
    </row>
    <row r="5" ht="26" customHeight="1">
      <c r="B5" s="16">
        <f>COUNTA(Bookings!A:A)-1</f>
        <v/>
      </c>
      <c r="D5" s="17">
        <f>SUMIF(Bookings!C:C,YEAR(TODAY()),Bookings!G:G)</f>
        <v/>
      </c>
      <c r="F5" s="18">
        <f>AVERAGE(Bookings!G:G)</f>
        <v/>
      </c>
      <c r="H5" s="19">
        <f>COUNTIF(Bookings!B:B,"&gt;="&amp;TODAY())</f>
        <v/>
      </c>
    </row>
    <row r="8">
      <c r="B8" s="20" t="inlineStr">
        <is>
          <t>WHAT'S INSIDE</t>
        </is>
      </c>
    </row>
    <row r="9">
      <c r="B9" s="21" t="inlineStr">
        <is>
          <t>📅  Bookings — All gigs with venue, date, pay, and status.</t>
        </is>
      </c>
    </row>
    <row r="10">
      <c r="B10" s="21" t="inlineStr">
        <is>
          <t>📤  Expenses — Music-related expenses for tax deduction.</t>
        </is>
      </c>
    </row>
    <row r="11">
      <c r="B11" s="21" t="inlineStr">
        <is>
          <t>🎶  SetLists — Set lists by gig type for quick reference.</t>
        </is>
      </c>
    </row>
    <row r="12">
      <c r="B12" s="21" t="inlineStr">
        <is>
          <t>📞  Contacts — Venue contacts and booking agents directory.</t>
        </is>
      </c>
    </row>
    <row r="14">
      <c r="B14" s="5" t="inlineStr">
        <is>
          <t>Numbers update automatically as you fill the other tabs. Start with sample data deleted.</t>
        </is>
      </c>
    </row>
  </sheetData>
  <mergeCells count="14">
    <mergeCell ref="B9:I9"/>
    <mergeCell ref="F4:G4"/>
    <mergeCell ref="B12:I12"/>
    <mergeCell ref="B11:I11"/>
    <mergeCell ref="B5:C5"/>
    <mergeCell ref="B2:I2"/>
    <mergeCell ref="F5:G5"/>
    <mergeCell ref="D5:E5"/>
    <mergeCell ref="B10:I10"/>
    <mergeCell ref="H5:I5"/>
    <mergeCell ref="D4:E4"/>
    <mergeCell ref="B14:I14"/>
    <mergeCell ref="H4:I4"/>
    <mergeCell ref="B4:C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28" customWidth="1" min="2" max="2"/>
    <col width="14" customWidth="1" min="3" max="3"/>
    <col width="22" customWidth="1" min="4" max="4"/>
    <col width="14" customWidth="1" min="5" max="5"/>
  </cols>
  <sheetData>
    <row r="1">
      <c r="A1" s="6" t="inlineStr">
        <is>
          <t>Date</t>
        </is>
      </c>
      <c r="B1" s="6" t="inlineStr">
        <is>
          <t>Item</t>
        </is>
      </c>
      <c r="C1" s="6" t="inlineStr">
        <is>
          <t>Amount $</t>
        </is>
      </c>
      <c r="D1" s="6" t="inlineStr">
        <is>
          <t>Category</t>
        </is>
      </c>
      <c r="E1" s="6" t="inlineStr">
        <is>
          <t>Deductible</t>
        </is>
      </c>
    </row>
    <row r="2">
      <c r="A2" s="8" t="n">
        <v>46174</v>
      </c>
      <c r="B2" s="7" t="inlineStr">
        <is>
          <t>Kickoff meeting</t>
        </is>
      </c>
      <c r="C2" s="22" t="n">
        <v>45</v>
      </c>
      <c r="D2" s="7" t="inlineStr">
        <is>
          <t>Gear</t>
        </is>
      </c>
      <c r="E2" s="7" t="inlineStr">
        <is>
          <t>Yes</t>
        </is>
      </c>
    </row>
    <row r="3">
      <c r="A3" s="10" t="n">
        <v>46180</v>
      </c>
      <c r="B3" s="9" t="inlineStr">
        <is>
          <t>Send proposal</t>
        </is>
      </c>
      <c r="C3" s="23" t="n">
        <v>31.5</v>
      </c>
      <c r="D3" s="9" t="inlineStr">
        <is>
          <t>Repairs</t>
        </is>
      </c>
      <c r="E3" s="9" t="inlineStr">
        <is>
          <t>No</t>
        </is>
      </c>
    </row>
    <row r="4">
      <c r="A4" s="8" t="n">
        <v>46186</v>
      </c>
      <c r="B4" s="7" t="inlineStr">
        <is>
          <t>Review feedback</t>
        </is>
      </c>
      <c r="C4" s="22" t="n">
        <v>58.5</v>
      </c>
      <c r="D4" s="7" t="inlineStr">
        <is>
          <t>Travel</t>
        </is>
      </c>
      <c r="E4" s="7" t="inlineStr">
        <is>
          <t>Yes</t>
        </is>
      </c>
    </row>
    <row r="5">
      <c r="A5" s="10" t="n">
        <v>46189</v>
      </c>
      <c r="B5" s="9" t="inlineStr">
        <is>
          <t>Update website copy</t>
        </is>
      </c>
      <c r="C5" s="23" t="n">
        <v>38.25</v>
      </c>
      <c r="D5" s="9" t="inlineStr">
        <is>
          <t>Lessons</t>
        </is>
      </c>
      <c r="E5" s="9" t="inlineStr">
        <is>
          <t>No</t>
        </is>
      </c>
    </row>
    <row r="6">
      <c r="A6" s="8" t="n">
        <v>46195</v>
      </c>
      <c r="B6" s="7" t="inlineStr">
        <is>
          <t>Prepare invoice</t>
        </is>
      </c>
      <c r="C6" s="22" t="n">
        <v>51.75</v>
      </c>
      <c r="D6" s="7" t="inlineStr">
        <is>
          <t>Promo</t>
        </is>
      </c>
      <c r="E6" s="7" t="inlineStr">
        <is>
          <t>Yes</t>
        </is>
      </c>
    </row>
    <row r="7">
      <c r="A7" s="10" t="n">
        <v>46201</v>
      </c>
      <c r="B7" s="9" t="inlineStr">
        <is>
          <t>Client call</t>
        </is>
      </c>
      <c r="C7" s="23" t="n">
        <v>27</v>
      </c>
      <c r="D7" s="9" t="inlineStr">
        <is>
          <t>Studio</t>
        </is>
      </c>
      <c r="E7" s="9" t="inlineStr">
        <is>
          <t>No</t>
        </is>
      </c>
    </row>
    <row r="8">
      <c r="A8" s="8" t="n">
        <v>46176</v>
      </c>
      <c r="B8" s="7" t="inlineStr">
        <is>
          <t>Design first draft</t>
        </is>
      </c>
      <c r="C8" s="22" t="n">
        <v>65.25</v>
      </c>
      <c r="D8" s="7" t="inlineStr">
        <is>
          <t>Other</t>
        </is>
      </c>
      <c r="E8" s="7" t="inlineStr">
        <is>
          <t>Yes</t>
        </is>
      </c>
    </row>
    <row r="9">
      <c r="A9" s="10" t="n">
        <v>46182</v>
      </c>
      <c r="B9" s="9" t="inlineStr">
        <is>
          <t>Fix reported bug</t>
        </is>
      </c>
      <c r="C9" s="23" t="n">
        <v>42.75</v>
      </c>
      <c r="D9" s="9" t="inlineStr">
        <is>
          <t>Gear</t>
        </is>
      </c>
      <c r="E9" s="9" t="inlineStr">
        <is>
          <t>No</t>
        </is>
      </c>
    </row>
    <row r="10">
      <c r="A10" s="8" t="n">
        <v>46188</v>
      </c>
      <c r="B10" s="7" t="inlineStr">
        <is>
          <t>Weekly report</t>
        </is>
      </c>
      <c r="C10" s="22" t="n">
        <v>56.25</v>
      </c>
      <c r="D10" s="7" t="inlineStr">
        <is>
          <t>Repairs</t>
        </is>
      </c>
      <c r="E10" s="7" t="inlineStr">
        <is>
          <t>Yes</t>
        </is>
      </c>
    </row>
    <row r="11">
      <c r="A11" s="10" t="n">
        <v>46191</v>
      </c>
      <c r="B11" s="9" t="inlineStr">
        <is>
          <t>Plan next sprint</t>
        </is>
      </c>
      <c r="C11" s="23" t="n">
        <v>36</v>
      </c>
      <c r="D11" s="9" t="inlineStr">
        <is>
          <t>Travel</t>
        </is>
      </c>
      <c r="E11" s="9" t="inlineStr">
        <is>
          <t>No</t>
        </is>
      </c>
    </row>
    <row r="12">
      <c r="A12" s="8" t="n">
        <v>46197</v>
      </c>
      <c r="B12" s="7" t="inlineStr">
        <is>
          <t>Publish blog post</t>
        </is>
      </c>
      <c r="C12" s="22" t="n">
        <v>49.5</v>
      </c>
      <c r="D12" s="7" t="inlineStr">
        <is>
          <t>Lessons</t>
        </is>
      </c>
      <c r="E12" s="7" t="inlineStr">
        <is>
          <t>Yes</t>
        </is>
      </c>
    </row>
    <row r="13">
      <c r="A13" s="10" t="n">
        <v>46175</v>
      </c>
      <c r="B13" s="9" t="inlineStr">
        <is>
          <t>Team sync</t>
        </is>
      </c>
      <c r="C13" s="23" t="n">
        <v>33.75</v>
      </c>
      <c r="D13" s="9" t="inlineStr">
        <is>
          <t>Promo</t>
        </is>
      </c>
      <c r="E13" s="9" t="inlineStr">
        <is>
          <t>No</t>
        </is>
      </c>
    </row>
  </sheetData>
  <dataValidations count="2">
    <dataValidation sqref="D2:D500" showDropDown="0" showInputMessage="0" showErrorMessage="0" allowBlank="1" type="list">
      <formula1>"Gear,Repairs,Travel,Lessons,Promo,Studio,Other"</formula1>
    </dataValidation>
    <dataValidation sqref="E2:E5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4" customWidth="1" min="2" max="2"/>
    <col width="24" customWidth="1" min="3" max="3"/>
    <col width="24" customWidth="1" min="4" max="4"/>
    <col width="16" customWidth="1" min="5" max="5"/>
    <col width="26" customWidth="1" min="6" max="6"/>
  </cols>
  <sheetData>
    <row r="1">
      <c r="A1" s="6" t="inlineStr">
        <is>
          <t>Set Name</t>
        </is>
      </c>
      <c r="B1" s="6" t="inlineStr">
        <is>
          <t>Song 1</t>
        </is>
      </c>
      <c r="C1" s="6" t="inlineStr">
        <is>
          <t>Song 2</t>
        </is>
      </c>
      <c r="D1" s="6" t="inlineStr">
        <is>
          <t>Song 3</t>
        </is>
      </c>
      <c r="E1" s="6" t="inlineStr">
        <is>
          <t>Duration (min)</t>
        </is>
      </c>
      <c r="F1" s="6" t="inlineStr">
        <is>
          <t>Notes</t>
        </is>
      </c>
    </row>
    <row r="2">
      <c r="A2" s="7" t="inlineStr">
        <is>
          <t>Alex Martin</t>
        </is>
      </c>
      <c r="B2" s="7" t="inlineStr">
        <is>
          <t>Can't Help Falling in Love</t>
        </is>
      </c>
      <c r="C2" s="7" t="inlineStr">
        <is>
          <t>A Thousand Years</t>
        </is>
      </c>
      <c r="D2" s="7" t="inlineStr">
        <is>
          <t>The Way You Look Tonight</t>
        </is>
      </c>
      <c r="E2" s="7" t="n">
        <v>45</v>
      </c>
      <c r="F2" s="7" t="inlineStr"/>
    </row>
    <row r="3">
      <c r="A3" s="9" t="inlineStr">
        <is>
          <t>Sara Lopez</t>
        </is>
      </c>
      <c r="B3" s="9" t="inlineStr">
        <is>
          <t>Can't Help Falling in Love</t>
        </is>
      </c>
      <c r="C3" s="9" t="inlineStr">
        <is>
          <t>A Thousand Years</t>
        </is>
      </c>
      <c r="D3" s="9" t="inlineStr">
        <is>
          <t>The Way You Look Tonight</t>
        </is>
      </c>
      <c r="E3" s="9" t="n">
        <v>31.5</v>
      </c>
      <c r="F3" s="9" t="inlineStr">
        <is>
          <t>Paid</t>
        </is>
      </c>
    </row>
    <row r="4">
      <c r="A4" s="7" t="inlineStr">
        <is>
          <t>Omar Haddad</t>
        </is>
      </c>
      <c r="B4" s="7" t="inlineStr"/>
      <c r="C4" s="7" t="inlineStr"/>
      <c r="D4" s="7" t="inlineStr"/>
      <c r="E4" s="7" t="n">
        <v>58.5</v>
      </c>
      <c r="F4" s="7" t="inlineStr">
        <is>
          <t>Urgent</t>
        </is>
      </c>
    </row>
    <row r="5">
      <c r="A5" s="9" t="inlineStr">
        <is>
          <t>Emma Fischer</t>
        </is>
      </c>
      <c r="B5" s="9" t="inlineStr">
        <is>
          <t>Can't Help Falling in Love</t>
        </is>
      </c>
      <c r="C5" s="9" t="inlineStr">
        <is>
          <t>A Thousand Years</t>
        </is>
      </c>
      <c r="D5" s="9" t="inlineStr">
        <is>
          <t>The Way You Look Tonight</t>
        </is>
      </c>
      <c r="E5" s="9" t="n">
        <v>38.25</v>
      </c>
      <c r="F5" s="9" t="inlineStr">
        <is>
          <t>Follow up Friday</t>
        </is>
      </c>
    </row>
    <row r="6">
      <c r="A6" s="7" t="inlineStr">
        <is>
          <t>Liam Carter</t>
        </is>
      </c>
      <c r="B6" s="7" t="inlineStr">
        <is>
          <t>Can't Help Falling in Love</t>
        </is>
      </c>
      <c r="C6" s="7" t="inlineStr">
        <is>
          <t>A Thousand Years</t>
        </is>
      </c>
      <c r="D6" s="7" t="inlineStr">
        <is>
          <t>The Way You Look Tonight</t>
        </is>
      </c>
      <c r="E6" s="7" t="n">
        <v>51.75</v>
      </c>
      <c r="F6" s="7" t="inlineStr"/>
    </row>
    <row r="7">
      <c r="A7" s="9" t="inlineStr">
        <is>
          <t>Nadia Rahali</t>
        </is>
      </c>
      <c r="B7" s="9" t="inlineStr"/>
      <c r="C7" s="9" t="inlineStr"/>
      <c r="D7" s="9" t="inlineStr"/>
      <c r="E7" s="9" t="n">
        <v>27</v>
      </c>
      <c r="F7" s="9" t="inlineStr">
        <is>
          <t>Monthly</t>
        </is>
      </c>
    </row>
    <row r="8">
      <c r="A8" s="7" t="inlineStr">
        <is>
          <t>Tom Becker</t>
        </is>
      </c>
      <c r="B8" s="7" t="inlineStr">
        <is>
          <t>Can't Help Falling in Love</t>
        </is>
      </c>
      <c r="C8" s="7" t="inlineStr">
        <is>
          <t>A Thousand Years</t>
        </is>
      </c>
      <c r="D8" s="7" t="inlineStr">
        <is>
          <t>The Way You Look Tonight</t>
        </is>
      </c>
      <c r="E8" s="7" t="n">
        <v>65.25</v>
      </c>
      <c r="F8" s="7" t="inlineStr">
        <is>
          <t>Confirmed</t>
        </is>
      </c>
    </row>
    <row r="9">
      <c r="A9" s="9" t="inlineStr">
        <is>
          <t>Julia Romero</t>
        </is>
      </c>
      <c r="B9" s="9" t="inlineStr">
        <is>
          <t>Can't Help Falling in Love</t>
        </is>
      </c>
      <c r="C9" s="9" t="inlineStr">
        <is>
          <t>A Thousand Years</t>
        </is>
      </c>
      <c r="D9" s="9" t="inlineStr">
        <is>
          <t>The Way You Look Tonight</t>
        </is>
      </c>
      <c r="E9" s="9" t="n">
        <v>42.75</v>
      </c>
      <c r="F9" s="9" t="inlineStr"/>
    </row>
    <row r="10">
      <c r="A10" s="7" t="inlineStr">
        <is>
          <t>Karim Ziani</t>
        </is>
      </c>
      <c r="B10" s="7" t="inlineStr"/>
      <c r="C10" s="7" t="inlineStr"/>
      <c r="D10" s="7" t="inlineStr"/>
      <c r="E10" s="7" t="n">
        <v>56.25</v>
      </c>
      <c r="F10" s="7" t="inlineStr">
        <is>
          <t>Waiting reply</t>
        </is>
      </c>
    </row>
    <row r="11">
      <c r="A11" s="9" t="inlineStr">
        <is>
          <t>Anna Kowalska</t>
        </is>
      </c>
      <c r="B11" s="9" t="inlineStr">
        <is>
          <t>Can't Help Falling in Love</t>
        </is>
      </c>
      <c r="C11" s="9" t="inlineStr">
        <is>
          <t>A Thousand Years</t>
        </is>
      </c>
      <c r="D11" s="9" t="inlineStr">
        <is>
          <t>The Way You Look Tonight</t>
        </is>
      </c>
      <c r="E11" s="9" t="n">
        <v>36</v>
      </c>
      <c r="F11" s="9" t="inlineStr">
        <is>
          <t>Done early</t>
        </is>
      </c>
    </row>
    <row r="12">
      <c r="A12" s="7" t="inlineStr">
        <is>
          <t>David Chen</t>
        </is>
      </c>
      <c r="B12" s="7" t="inlineStr">
        <is>
          <t>Can't Help Falling in Love</t>
        </is>
      </c>
      <c r="C12" s="7" t="inlineStr">
        <is>
          <t>A Thousand Years</t>
        </is>
      </c>
      <c r="D12" s="7" t="inlineStr">
        <is>
          <t>The Way You Look Tonight</t>
        </is>
      </c>
      <c r="E12" s="7" t="n">
        <v>49.5</v>
      </c>
      <c r="F12" s="7" t="inlineStr"/>
    </row>
    <row r="13">
      <c r="A13" s="9" t="inlineStr">
        <is>
          <t>Lea Moreau</t>
        </is>
      </c>
      <c r="B13" s="9" t="inlineStr"/>
      <c r="C13" s="9" t="inlineStr"/>
      <c r="D13" s="9" t="inlineStr"/>
      <c r="E13" s="9" t="n">
        <v>33.75</v>
      </c>
      <c r="F13" s="9" t="inlineStr">
        <is>
          <t>Recheck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3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18" customWidth="1" min="3" max="3"/>
    <col width="28" customWidth="1" min="4" max="4"/>
    <col width="18" customWidth="1" min="5" max="5"/>
    <col width="12" customWidth="1" min="6" max="6"/>
    <col width="26" customWidth="1" min="7" max="7"/>
  </cols>
  <sheetData>
    <row r="1">
      <c r="A1" s="6" t="inlineStr">
        <is>
          <t>Venue/Agency</t>
        </is>
      </c>
      <c r="B1" s="6" t="inlineStr">
        <is>
          <t>Contact</t>
        </is>
      </c>
      <c r="C1" s="6" t="inlineStr">
        <is>
          <t>Phone</t>
        </is>
      </c>
      <c r="D1" s="6" t="inlineStr">
        <is>
          <t>Email</t>
        </is>
      </c>
      <c r="E1" s="6" t="inlineStr">
        <is>
          <t>Genre</t>
        </is>
      </c>
      <c r="F1" s="6" t="inlineStr">
        <is>
          <t>Avg Pay $</t>
        </is>
      </c>
      <c r="G1" s="6" t="inlineStr">
        <is>
          <t>Notes</t>
        </is>
      </c>
    </row>
    <row r="2">
      <c r="A2" s="7" t="inlineStr">
        <is>
          <t>Blue Note Chicago</t>
        </is>
      </c>
      <c r="B2" s="7" t="inlineStr">
        <is>
          <t>Alex Martin</t>
        </is>
      </c>
      <c r="C2" s="7" t="inlineStr">
        <is>
          <t>312-555-0190</t>
        </is>
      </c>
      <c r="D2" s="7" t="inlineStr">
        <is>
          <t>alex@mail.com</t>
        </is>
      </c>
      <c r="E2" s="7" t="inlineStr">
        <is>
          <t>Jazz, Blues</t>
        </is>
      </c>
      <c r="F2" s="7" t="n">
        <v>400</v>
      </c>
      <c r="G2" s="7" t="inlineStr"/>
    </row>
    <row r="3">
      <c r="A3" s="9" t="inlineStr">
        <is>
          <t>Blue Note Chicago</t>
        </is>
      </c>
      <c r="B3" s="9" t="inlineStr">
        <is>
          <t>Sara Lopez</t>
        </is>
      </c>
      <c r="C3" s="9" t="inlineStr">
        <is>
          <t>312-555-0191</t>
        </is>
      </c>
      <c r="D3" s="9" t="inlineStr">
        <is>
          <t>sara@mail.com</t>
        </is>
      </c>
      <c r="E3" s="9" t="inlineStr">
        <is>
          <t>Jazz, Blues</t>
        </is>
      </c>
      <c r="F3" s="9" t="n">
        <v>280</v>
      </c>
      <c r="G3" s="9" t="inlineStr">
        <is>
          <t>Paid</t>
        </is>
      </c>
    </row>
    <row r="4">
      <c r="A4" s="7" t="inlineStr"/>
      <c r="B4" s="7" t="inlineStr">
        <is>
          <t>Omar Haddad</t>
        </is>
      </c>
      <c r="C4" s="7" t="inlineStr">
        <is>
          <t>312-555-0192</t>
        </is>
      </c>
      <c r="D4" s="7" t="inlineStr">
        <is>
          <t>omar@mail.com</t>
        </is>
      </c>
      <c r="E4" s="7" t="inlineStr"/>
      <c r="F4" s="7" t="n">
        <v>520</v>
      </c>
      <c r="G4" s="7" t="inlineStr">
        <is>
          <t>Urgent</t>
        </is>
      </c>
    </row>
    <row r="5">
      <c r="A5" s="9" t="inlineStr">
        <is>
          <t>Blue Note Chicago</t>
        </is>
      </c>
      <c r="B5" s="9" t="inlineStr">
        <is>
          <t>Emma Fischer</t>
        </is>
      </c>
      <c r="C5" s="9" t="inlineStr">
        <is>
          <t>312-555-0193</t>
        </is>
      </c>
      <c r="D5" s="9" t="inlineStr">
        <is>
          <t>emma@mail.com</t>
        </is>
      </c>
      <c r="E5" s="9" t="inlineStr">
        <is>
          <t>Jazz, Blues</t>
        </is>
      </c>
      <c r="F5" s="9" t="n">
        <v>340</v>
      </c>
      <c r="G5" s="9" t="inlineStr">
        <is>
          <t>Follow up Friday</t>
        </is>
      </c>
    </row>
    <row r="6">
      <c r="A6" s="7" t="inlineStr">
        <is>
          <t>Blue Note Chicago</t>
        </is>
      </c>
      <c r="B6" s="7" t="inlineStr">
        <is>
          <t>Liam Carter</t>
        </is>
      </c>
      <c r="C6" s="7" t="inlineStr">
        <is>
          <t>312-555-0194</t>
        </is>
      </c>
      <c r="D6" s="7" t="inlineStr">
        <is>
          <t>liam@mail.com</t>
        </is>
      </c>
      <c r="E6" s="7" t="inlineStr">
        <is>
          <t>Jazz, Blues</t>
        </is>
      </c>
      <c r="F6" s="7" t="n">
        <v>460</v>
      </c>
      <c r="G6" s="7" t="inlineStr"/>
    </row>
    <row r="7">
      <c r="A7" s="9" t="inlineStr"/>
      <c r="B7" s="9" t="inlineStr">
        <is>
          <t>Nadia Rahali</t>
        </is>
      </c>
      <c r="C7" s="9" t="inlineStr">
        <is>
          <t>312-555-0195</t>
        </is>
      </c>
      <c r="D7" s="9" t="inlineStr">
        <is>
          <t>nadia@mail.com</t>
        </is>
      </c>
      <c r="E7" s="9" t="inlineStr"/>
      <c r="F7" s="9" t="n">
        <v>240</v>
      </c>
      <c r="G7" s="9" t="inlineStr">
        <is>
          <t>Monthly</t>
        </is>
      </c>
    </row>
    <row r="8">
      <c r="A8" s="7" t="inlineStr">
        <is>
          <t>Blue Note Chicago</t>
        </is>
      </c>
      <c r="B8" s="7" t="inlineStr">
        <is>
          <t>Tom Becker</t>
        </is>
      </c>
      <c r="C8" s="7" t="inlineStr">
        <is>
          <t>312-555-0196</t>
        </is>
      </c>
      <c r="D8" s="7" t="inlineStr">
        <is>
          <t>tom@mail.com</t>
        </is>
      </c>
      <c r="E8" s="7" t="inlineStr">
        <is>
          <t>Jazz, Blues</t>
        </is>
      </c>
      <c r="F8" s="7" t="n">
        <v>580</v>
      </c>
      <c r="G8" s="7" t="inlineStr">
        <is>
          <t>Confirmed</t>
        </is>
      </c>
    </row>
    <row r="9">
      <c r="A9" s="9" t="inlineStr">
        <is>
          <t>Blue Note Chicago</t>
        </is>
      </c>
      <c r="B9" s="9" t="inlineStr">
        <is>
          <t>Julia Romero</t>
        </is>
      </c>
      <c r="C9" s="9" t="inlineStr">
        <is>
          <t>312-555-0197</t>
        </is>
      </c>
      <c r="D9" s="9" t="inlineStr">
        <is>
          <t>julia@mail.com</t>
        </is>
      </c>
      <c r="E9" s="9" t="inlineStr">
        <is>
          <t>Jazz, Blues</t>
        </is>
      </c>
      <c r="F9" s="9" t="n">
        <v>380</v>
      </c>
      <c r="G9" s="9" t="inlineStr"/>
    </row>
    <row r="10">
      <c r="A10" s="7" t="inlineStr"/>
      <c r="B10" s="7" t="inlineStr">
        <is>
          <t>Karim Ziani</t>
        </is>
      </c>
      <c r="C10" s="7" t="inlineStr">
        <is>
          <t>312-555-0198</t>
        </is>
      </c>
      <c r="D10" s="7" t="inlineStr">
        <is>
          <t>karim@mail.com</t>
        </is>
      </c>
      <c r="E10" s="7" t="inlineStr"/>
      <c r="F10" s="7" t="n">
        <v>500</v>
      </c>
      <c r="G10" s="7" t="inlineStr">
        <is>
          <t>Waiting reply</t>
        </is>
      </c>
    </row>
    <row r="11">
      <c r="A11" s="9" t="inlineStr">
        <is>
          <t>Blue Note Chicago</t>
        </is>
      </c>
      <c r="B11" s="9" t="inlineStr">
        <is>
          <t>Anna Kowalska</t>
        </is>
      </c>
      <c r="C11" s="9" t="inlineStr">
        <is>
          <t>312-555-0199</t>
        </is>
      </c>
      <c r="D11" s="9" t="inlineStr">
        <is>
          <t>anna@mail.com</t>
        </is>
      </c>
      <c r="E11" s="9" t="inlineStr">
        <is>
          <t>Jazz, Blues</t>
        </is>
      </c>
      <c r="F11" s="9" t="n">
        <v>320</v>
      </c>
      <c r="G11" s="9" t="inlineStr">
        <is>
          <t>Done early</t>
        </is>
      </c>
    </row>
    <row r="12">
      <c r="A12" s="7" t="inlineStr">
        <is>
          <t>Blue Note Chicago</t>
        </is>
      </c>
      <c r="B12" s="7" t="inlineStr">
        <is>
          <t>David Chen</t>
        </is>
      </c>
      <c r="C12" s="7" t="inlineStr">
        <is>
          <t>312-555-0200</t>
        </is>
      </c>
      <c r="D12" s="7" t="inlineStr">
        <is>
          <t>david@mail.com</t>
        </is>
      </c>
      <c r="E12" s="7" t="inlineStr">
        <is>
          <t>Jazz, Blues</t>
        </is>
      </c>
      <c r="F12" s="7" t="n">
        <v>440</v>
      </c>
      <c r="G12" s="7" t="inlineStr"/>
    </row>
    <row r="13">
      <c r="A13" s="9" t="inlineStr"/>
      <c r="B13" s="9" t="inlineStr">
        <is>
          <t>Lea Moreau</t>
        </is>
      </c>
      <c r="C13" s="9" t="inlineStr">
        <is>
          <t>312-555-0201</t>
        </is>
      </c>
      <c r="D13" s="9" t="inlineStr">
        <is>
          <t>lea@mail.com</t>
        </is>
      </c>
      <c r="E13" s="9" t="inlineStr"/>
      <c r="F13" s="9" t="n">
        <v>300</v>
      </c>
      <c r="G13" s="9" t="inlineStr">
        <is>
          <t>Recheck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2026-07-16T21:44:39Z</dcterms:created>
  <dcterms:modified xsi:type="dcterms:W3CDTF">2026-07-16T21:44:39Z</dcterms:modified>
</cp:coreProperties>
</file>