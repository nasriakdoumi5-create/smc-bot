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Forecast" sheetId="2" state="visible" r:id="rId2"/>
    <sheet name="Dashboard" sheetId="3" state="visible" r:id="rId3"/>
    <sheet name="Inflows" sheetId="4" state="visible" r:id="rId4"/>
    <sheet name="Outflows" sheetId="5" state="visible" r:id="rId5"/>
    <sheet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059669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7F0"/>
      </patternFill>
    </fill>
    <fill>
      <patternFill patternType="solid">
        <fgColor rgb="00059669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💸  CASH FLOW FORECAST</t>
        </is>
      </c>
    </row>
    <row r="3"/>
    <row r="4">
      <c r="B4" s="2" t="inlineStr">
        <is>
          <t>13-Week Rolling Cash Flow Google Sheets</t>
        </is>
      </c>
    </row>
    <row r="6">
      <c r="B6" s="3" t="inlineStr">
        <is>
          <t>STEP 1 — Fill in “Forecast”</t>
        </is>
      </c>
    </row>
    <row r="7" ht="28" customHeight="1">
      <c r="B7" s="4" t="inlineStr">
        <is>
          <t>13-week rolling cash flow with inflows, outflows, and net.</t>
        </is>
      </c>
    </row>
    <row r="9">
      <c r="B9" s="3" t="inlineStr">
        <is>
          <t>STEP 2 — Fill in “Inflows”</t>
        </is>
      </c>
    </row>
    <row r="10" ht="28" customHeight="1">
      <c r="B10" s="4" t="inlineStr">
        <is>
          <t>Cash inflows by category and week.</t>
        </is>
      </c>
    </row>
    <row r="12">
      <c r="B12" s="3" t="inlineStr">
        <is>
          <t>STEP 3 — Fill in “Outflows”</t>
        </is>
      </c>
    </row>
    <row r="13" ht="28" customHeight="1">
      <c r="B13" s="4" t="inlineStr">
        <is>
          <t>Cash outflows by category and week.</t>
        </is>
      </c>
    </row>
    <row r="15">
      <c r="B15" s="3" t="inlineStr">
        <is>
          <t>STEP 4 — Fill in “Scenarios”</t>
        </is>
      </c>
    </row>
    <row r="16" ht="28" customHeight="1">
      <c r="B16" s="4" t="inlineStr">
        <is>
          <t>Best, base, and worst-case cash flow scenarios.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>
      <c r="A1" s="6" t="inlineStr">
        <is>
          <t>Week</t>
        </is>
      </c>
      <c r="B1" s="6" t="inlineStr">
        <is>
          <t>Date</t>
        </is>
      </c>
      <c r="C1" s="6" t="inlineStr">
        <is>
          <t>Opening Cash</t>
        </is>
      </c>
      <c r="D1" s="6" t="inlineStr">
        <is>
          <t>Total Inflows</t>
        </is>
      </c>
      <c r="E1" s="6" t="inlineStr">
        <is>
          <t>Total Outflows</t>
        </is>
      </c>
      <c r="F1" s="6" t="inlineStr">
        <is>
          <t>Net Flow</t>
        </is>
      </c>
      <c r="G1" s="6" t="inlineStr">
        <is>
          <t>Closing Cash</t>
        </is>
      </c>
    </row>
    <row r="2">
      <c r="A2" s="7" t="inlineStr">
        <is>
          <t>Wk 1</t>
        </is>
      </c>
      <c r="B2" s="8" t="n">
        <v>46174</v>
      </c>
      <c r="C2" s="7" t="n">
        <v>50000</v>
      </c>
      <c r="D2" s="9" t="n">
        <v>18000</v>
      </c>
      <c r="E2" s="9" t="n">
        <v>14000</v>
      </c>
      <c r="F2" s="7">
        <f>D2-E2</f>
        <v/>
      </c>
      <c r="G2" s="7">
        <f>C2+F2</f>
        <v/>
      </c>
    </row>
    <row r="3">
      <c r="A3" s="10" t="inlineStr">
        <is>
          <t>Wk 2</t>
        </is>
      </c>
      <c r="B3" s="11" t="n">
        <v>46180</v>
      </c>
      <c r="C3" s="10" t="n">
        <v>35000</v>
      </c>
      <c r="D3" s="12" t="n">
        <v>12600</v>
      </c>
      <c r="E3" s="12" t="n">
        <v>9800</v>
      </c>
      <c r="F3" s="10">
        <f>D3-E3</f>
        <v/>
      </c>
      <c r="G3" s="10">
        <f>C3+F3</f>
        <v/>
      </c>
    </row>
    <row r="4">
      <c r="A4" s="7" t="inlineStr">
        <is>
          <t>Wk 3</t>
        </is>
      </c>
      <c r="B4" s="8" t="n">
        <v>46186</v>
      </c>
      <c r="C4" s="7" t="n">
        <v>65000</v>
      </c>
      <c r="D4" s="9" t="n">
        <v>23400</v>
      </c>
      <c r="E4" s="9" t="n">
        <v>18200</v>
      </c>
      <c r="F4" s="7">
        <f>D4-E4</f>
        <v/>
      </c>
      <c r="G4" s="7">
        <f>C4+F4</f>
        <v/>
      </c>
    </row>
    <row r="5">
      <c r="A5" s="10" t="inlineStr">
        <is>
          <t>Wk 4</t>
        </is>
      </c>
      <c r="B5" s="11" t="n">
        <v>46189</v>
      </c>
      <c r="C5" s="10" t="n">
        <v>42500</v>
      </c>
      <c r="D5" s="12" t="n">
        <v>15300</v>
      </c>
      <c r="E5" s="12" t="n">
        <v>11900</v>
      </c>
      <c r="F5" s="10">
        <f>D5-E5</f>
        <v/>
      </c>
      <c r="G5" s="10">
        <f>C5+F5</f>
        <v/>
      </c>
    </row>
    <row r="6">
      <c r="A6" s="7" t="inlineStr">
        <is>
          <t>Wk 5</t>
        </is>
      </c>
      <c r="B6" s="8" t="n">
        <v>46195</v>
      </c>
      <c r="C6" s="7" t="n">
        <v>57500</v>
      </c>
      <c r="D6" s="9" t="n">
        <v>20700</v>
      </c>
      <c r="E6" s="9" t="n">
        <v>16100</v>
      </c>
      <c r="F6" s="7">
        <f>D6-E6</f>
        <v/>
      </c>
      <c r="G6" s="7">
        <f>C6+F6</f>
        <v/>
      </c>
    </row>
    <row r="7">
      <c r="A7" s="10" t="inlineStr">
        <is>
          <t>Wk 6</t>
        </is>
      </c>
      <c r="B7" s="11" t="n">
        <v>46201</v>
      </c>
      <c r="C7" s="10" t="n">
        <v>30000</v>
      </c>
      <c r="D7" s="12" t="n">
        <v>10800</v>
      </c>
      <c r="E7" s="12" t="n">
        <v>8400</v>
      </c>
      <c r="F7" s="10">
        <f>D7-E7</f>
        <v/>
      </c>
      <c r="G7" s="10">
        <f>C7+F7</f>
        <v/>
      </c>
    </row>
    <row r="8">
      <c r="A8" s="7" t="inlineStr">
        <is>
          <t>Wk 7</t>
        </is>
      </c>
      <c r="B8" s="8" t="n">
        <v>46176</v>
      </c>
      <c r="C8" s="7" t="n">
        <v>72500</v>
      </c>
      <c r="D8" s="9" t="n">
        <v>26100</v>
      </c>
      <c r="E8" s="9" t="n">
        <v>20300</v>
      </c>
      <c r="F8" s="7">
        <f>D8-E8</f>
        <v/>
      </c>
      <c r="G8" s="7">
        <f>C8+F8</f>
        <v/>
      </c>
    </row>
    <row r="9">
      <c r="A9" s="10" t="inlineStr">
        <is>
          <t>Wk 8</t>
        </is>
      </c>
      <c r="B9" s="11" t="n">
        <v>46182</v>
      </c>
      <c r="C9" s="10" t="n">
        <v>47500</v>
      </c>
      <c r="D9" s="12" t="n">
        <v>17100</v>
      </c>
      <c r="E9" s="12" t="n">
        <v>13300</v>
      </c>
      <c r="F9" s="10">
        <f>D9-E9</f>
        <v/>
      </c>
      <c r="G9" s="10">
        <f>C9+F9</f>
        <v/>
      </c>
    </row>
    <row r="10">
      <c r="A10" s="7" t="inlineStr">
        <is>
          <t>Wk 9</t>
        </is>
      </c>
      <c r="B10" s="8" t="n">
        <v>46188</v>
      </c>
      <c r="C10" s="7" t="n">
        <v>62500</v>
      </c>
      <c r="D10" s="9" t="n">
        <v>22500</v>
      </c>
      <c r="E10" s="9" t="n">
        <v>17500</v>
      </c>
      <c r="F10" s="7">
        <f>D10-E10</f>
        <v/>
      </c>
      <c r="G10" s="7">
        <f>C10+F10</f>
        <v/>
      </c>
    </row>
    <row r="11">
      <c r="A11" s="10" t="inlineStr">
        <is>
          <t>Wk 10</t>
        </is>
      </c>
      <c r="B11" s="11" t="n">
        <v>46191</v>
      </c>
      <c r="C11" s="10" t="n">
        <v>40000</v>
      </c>
      <c r="D11" s="12" t="n">
        <v>14400</v>
      </c>
      <c r="E11" s="12" t="n">
        <v>11200</v>
      </c>
      <c r="F11" s="10">
        <f>D11-E11</f>
        <v/>
      </c>
      <c r="G11" s="10">
        <f>C11+F11</f>
        <v/>
      </c>
    </row>
    <row r="12">
      <c r="A12" s="7" t="inlineStr">
        <is>
          <t>Wk 11</t>
        </is>
      </c>
      <c r="B12" s="8" t="n">
        <v>46197</v>
      </c>
      <c r="C12" s="7" t="n">
        <v>55000</v>
      </c>
      <c r="D12" s="9" t="n">
        <v>19800</v>
      </c>
      <c r="E12" s="9" t="n">
        <v>15400</v>
      </c>
      <c r="F12" s="7">
        <f>D12-E12</f>
        <v/>
      </c>
      <c r="G12" s="7">
        <f>C12+F12</f>
        <v/>
      </c>
    </row>
    <row r="13">
      <c r="A13" s="10" t="inlineStr">
        <is>
          <t>Wk 12</t>
        </is>
      </c>
      <c r="B13" s="11" t="n">
        <v>46175</v>
      </c>
      <c r="C13" s="10" t="n">
        <v>37500</v>
      </c>
      <c r="D13" s="12" t="n">
        <v>13500</v>
      </c>
      <c r="E13" s="12" t="n">
        <v>10500</v>
      </c>
      <c r="F13" s="10">
        <f>D13-E13</f>
        <v/>
      </c>
      <c r="G13" s="10">
        <f>C13+F13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CASH FLOW FORECAST — DASHBOARD</t>
        </is>
      </c>
    </row>
    <row r="4">
      <c r="B4" s="14" t="inlineStr">
        <is>
          <t>OPENING CASH</t>
        </is>
      </c>
      <c r="D4" s="15" t="inlineStr">
        <is>
          <t>THIS WEEK INFLOW</t>
        </is>
      </c>
      <c r="F4" s="16" t="inlineStr">
        <is>
          <t>THIS WEEK OUTFLOW</t>
        </is>
      </c>
      <c r="H4" s="17" t="inlineStr">
        <is>
          <t>WEEKS OF RUNWAY</t>
        </is>
      </c>
    </row>
    <row r="5" ht="26" customHeight="1">
      <c r="B5" s="18">
        <f>Forecast!C2</f>
        <v/>
      </c>
      <c r="D5" s="19">
        <f>Forecast!D2</f>
        <v/>
      </c>
      <c r="F5" s="20">
        <f>Forecast!E2</f>
        <v/>
      </c>
      <c r="H5" s="21">
        <f>Forecast!C15/ABS(Forecast!E15)</f>
        <v/>
      </c>
    </row>
    <row r="8">
      <c r="B8" s="22" t="inlineStr">
        <is>
          <t>WHAT'S INSIDE</t>
        </is>
      </c>
    </row>
    <row r="9">
      <c r="B9" s="23" t="inlineStr">
        <is>
          <t>📊  Forecast — 13-week rolling cash flow with inflows, outflows, and net.</t>
        </is>
      </c>
    </row>
    <row r="10">
      <c r="B10" s="23" t="inlineStr">
        <is>
          <t>📥  Inflows — Cash inflows by category and week.</t>
        </is>
      </c>
    </row>
    <row r="11">
      <c r="B11" s="23" t="inlineStr">
        <is>
          <t>📤  Outflows — Cash outflows by category and week.</t>
        </is>
      </c>
    </row>
    <row r="12">
      <c r="B12" s="23" t="inlineStr">
        <is>
          <t>🔮  Scenarios — Best, base, and worst-case cash flow scenarios.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6" t="inlineStr">
        <is>
          <t>Source</t>
        </is>
      </c>
      <c r="B1" s="6" t="inlineStr">
        <is>
          <t>Wk 1</t>
        </is>
      </c>
      <c r="C1" s="6" t="inlineStr">
        <is>
          <t>Wk 2</t>
        </is>
      </c>
      <c r="D1" s="6" t="inlineStr">
        <is>
          <t>Wk 3</t>
        </is>
      </c>
      <c r="E1" s="6" t="inlineStr">
        <is>
          <t>Wk 4</t>
        </is>
      </c>
      <c r="F1" s="6" t="inlineStr">
        <is>
          <t>Category</t>
        </is>
      </c>
    </row>
    <row r="2">
      <c r="A2" s="7" t="inlineStr">
        <is>
          <t>Customer Payments</t>
        </is>
      </c>
      <c r="B2" s="7" t="n">
        <v>10000</v>
      </c>
      <c r="C2" s="7" t="n">
        <v>9500</v>
      </c>
      <c r="D2" s="7" t="n">
        <v>11000</v>
      </c>
      <c r="E2" s="7" t="n">
        <v>10200</v>
      </c>
      <c r="F2" s="7" t="inlineStr">
        <is>
          <t>Sales</t>
        </is>
      </c>
    </row>
    <row r="3">
      <c r="A3" s="10" t="inlineStr">
        <is>
          <t>Customer Payments</t>
        </is>
      </c>
      <c r="B3" s="10" t="n">
        <v>7000</v>
      </c>
      <c r="C3" s="10" t="n">
        <v>6650</v>
      </c>
      <c r="D3" s="10" t="n">
        <v>7700</v>
      </c>
      <c r="E3" s="10" t="n">
        <v>7140</v>
      </c>
      <c r="F3" s="10" t="inlineStr">
        <is>
          <t>Collections</t>
        </is>
      </c>
    </row>
    <row r="4">
      <c r="A4" s="7" t="inlineStr"/>
      <c r="B4" s="7" t="n">
        <v>13000</v>
      </c>
      <c r="C4" s="7" t="n">
        <v>12350</v>
      </c>
      <c r="D4" s="7" t="n">
        <v>14300</v>
      </c>
      <c r="E4" s="7" t="n">
        <v>13260</v>
      </c>
      <c r="F4" s="7" t="inlineStr">
        <is>
          <t>Loans</t>
        </is>
      </c>
    </row>
    <row r="5">
      <c r="A5" s="10" t="inlineStr">
        <is>
          <t>Customer Payments</t>
        </is>
      </c>
      <c r="B5" s="10" t="n">
        <v>8500</v>
      </c>
      <c r="C5" s="10" t="n">
        <v>8075</v>
      </c>
      <c r="D5" s="10" t="n">
        <v>9350</v>
      </c>
      <c r="E5" s="10" t="n">
        <v>8670</v>
      </c>
      <c r="F5" s="10" t="inlineStr">
        <is>
          <t>Grants</t>
        </is>
      </c>
    </row>
    <row r="6">
      <c r="A6" s="7" t="inlineStr">
        <is>
          <t>Customer Payments</t>
        </is>
      </c>
      <c r="B6" s="7" t="n">
        <v>11500</v>
      </c>
      <c r="C6" s="7" t="n">
        <v>10925</v>
      </c>
      <c r="D6" s="7" t="n">
        <v>12650</v>
      </c>
      <c r="E6" s="7" t="n">
        <v>11730</v>
      </c>
      <c r="F6" s="7" t="inlineStr">
        <is>
          <t>Other</t>
        </is>
      </c>
    </row>
    <row r="7">
      <c r="A7" s="10" t="inlineStr"/>
      <c r="B7" s="10" t="n">
        <v>6000</v>
      </c>
      <c r="C7" s="10" t="n">
        <v>5700</v>
      </c>
      <c r="D7" s="10" t="n">
        <v>6600</v>
      </c>
      <c r="E7" s="10" t="n">
        <v>6120</v>
      </c>
      <c r="F7" s="10" t="inlineStr">
        <is>
          <t>Sales</t>
        </is>
      </c>
    </row>
    <row r="8">
      <c r="A8" s="7" t="inlineStr">
        <is>
          <t>Customer Payments</t>
        </is>
      </c>
      <c r="B8" s="7" t="n">
        <v>14500</v>
      </c>
      <c r="C8" s="7" t="n">
        <v>13775</v>
      </c>
      <c r="D8" s="7" t="n">
        <v>15950</v>
      </c>
      <c r="E8" s="7" t="n">
        <v>14790</v>
      </c>
      <c r="F8" s="7" t="inlineStr">
        <is>
          <t>Collections</t>
        </is>
      </c>
    </row>
    <row r="9">
      <c r="A9" s="10" t="inlineStr">
        <is>
          <t>Customer Payments</t>
        </is>
      </c>
      <c r="B9" s="10" t="n">
        <v>9500</v>
      </c>
      <c r="C9" s="10" t="n">
        <v>9025</v>
      </c>
      <c r="D9" s="10" t="n">
        <v>10450</v>
      </c>
      <c r="E9" s="10" t="n">
        <v>9690</v>
      </c>
      <c r="F9" s="10" t="inlineStr">
        <is>
          <t>Loans</t>
        </is>
      </c>
    </row>
    <row r="10">
      <c r="A10" s="7" t="inlineStr"/>
      <c r="B10" s="7" t="n">
        <v>12500</v>
      </c>
      <c r="C10" s="7" t="n">
        <v>11875</v>
      </c>
      <c r="D10" s="7" t="n">
        <v>13750</v>
      </c>
      <c r="E10" s="7" t="n">
        <v>12750</v>
      </c>
      <c r="F10" s="7" t="inlineStr">
        <is>
          <t>Grants</t>
        </is>
      </c>
    </row>
    <row r="11">
      <c r="A11" s="10" t="inlineStr">
        <is>
          <t>Customer Payments</t>
        </is>
      </c>
      <c r="B11" s="10" t="n">
        <v>8000</v>
      </c>
      <c r="C11" s="10" t="n">
        <v>7600</v>
      </c>
      <c r="D11" s="10" t="n">
        <v>8800</v>
      </c>
      <c r="E11" s="10" t="n">
        <v>8160</v>
      </c>
      <c r="F11" s="10" t="inlineStr">
        <is>
          <t>Other</t>
        </is>
      </c>
    </row>
    <row r="12">
      <c r="A12" s="7" t="inlineStr">
        <is>
          <t>Customer Payments</t>
        </is>
      </c>
      <c r="B12" s="7" t="n">
        <v>11000</v>
      </c>
      <c r="C12" s="7" t="n">
        <v>10450</v>
      </c>
      <c r="D12" s="7" t="n">
        <v>12100</v>
      </c>
      <c r="E12" s="7" t="n">
        <v>11220</v>
      </c>
      <c r="F12" s="7" t="inlineStr">
        <is>
          <t>Sales</t>
        </is>
      </c>
    </row>
    <row r="13">
      <c r="A13" s="10" t="inlineStr"/>
      <c r="B13" s="10" t="n">
        <v>7500</v>
      </c>
      <c r="C13" s="10" t="n">
        <v>7125</v>
      </c>
      <c r="D13" s="10" t="n">
        <v>8250</v>
      </c>
      <c r="E13" s="10" t="n">
        <v>7650</v>
      </c>
      <c r="F13" s="10" t="inlineStr">
        <is>
          <t>Collections</t>
        </is>
      </c>
    </row>
  </sheetData>
  <dataValidations count="1">
    <dataValidation sqref="F2:F500" showDropDown="0" showInputMessage="0" showErrorMessage="0" allowBlank="1" type="list">
      <formula1>"Sales,Collections,Loans,Grants,Other"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6" t="inlineStr">
        <is>
          <t>Expense</t>
        </is>
      </c>
      <c r="B1" s="6" t="inlineStr">
        <is>
          <t>Wk 1</t>
        </is>
      </c>
      <c r="C1" s="6" t="inlineStr">
        <is>
          <t>Wk 2</t>
        </is>
      </c>
      <c r="D1" s="6" t="inlineStr">
        <is>
          <t>Wk 3</t>
        </is>
      </c>
      <c r="E1" s="6" t="inlineStr">
        <is>
          <t>Wk 4</t>
        </is>
      </c>
      <c r="F1" s="6" t="inlineStr">
        <is>
          <t>Category</t>
        </is>
      </c>
    </row>
    <row r="2">
      <c r="A2" s="7" t="inlineStr">
        <is>
          <t>Payroll</t>
        </is>
      </c>
      <c r="B2" s="7" t="n">
        <v>8000</v>
      </c>
      <c r="C2" s="7" t="n">
        <v>2000</v>
      </c>
      <c r="D2" s="7" t="n">
        <v>8000</v>
      </c>
      <c r="E2" s="7" t="n">
        <v>3000</v>
      </c>
      <c r="F2" s="7" t="inlineStr">
        <is>
          <t>Payroll</t>
        </is>
      </c>
    </row>
    <row r="3">
      <c r="A3" s="10" t="inlineStr">
        <is>
          <t>Payroll</t>
        </is>
      </c>
      <c r="B3" s="10" t="n">
        <v>5600</v>
      </c>
      <c r="C3" s="10" t="n">
        <v>1400</v>
      </c>
      <c r="D3" s="10" t="n">
        <v>5600</v>
      </c>
      <c r="E3" s="10" t="n">
        <v>2100</v>
      </c>
      <c r="F3" s="10" t="inlineStr">
        <is>
          <t>Rent</t>
        </is>
      </c>
    </row>
    <row r="4">
      <c r="A4" s="7" t="inlineStr"/>
      <c r="B4" s="7" t="n">
        <v>10400</v>
      </c>
      <c r="C4" s="7" t="n">
        <v>2600</v>
      </c>
      <c r="D4" s="7" t="n">
        <v>10400</v>
      </c>
      <c r="E4" s="7" t="n">
        <v>3900</v>
      </c>
      <c r="F4" s="7" t="inlineStr">
        <is>
          <t>Supplies</t>
        </is>
      </c>
    </row>
    <row r="5">
      <c r="A5" s="10" t="inlineStr">
        <is>
          <t>Payroll</t>
        </is>
      </c>
      <c r="B5" s="10" t="n">
        <v>6800</v>
      </c>
      <c r="C5" s="10" t="n">
        <v>1700</v>
      </c>
      <c r="D5" s="10" t="n">
        <v>6800</v>
      </c>
      <c r="E5" s="10" t="n">
        <v>2550</v>
      </c>
      <c r="F5" s="10" t="inlineStr">
        <is>
          <t>Tax</t>
        </is>
      </c>
    </row>
    <row r="6">
      <c r="A6" s="7" t="inlineStr">
        <is>
          <t>Payroll</t>
        </is>
      </c>
      <c r="B6" s="7" t="n">
        <v>9200</v>
      </c>
      <c r="C6" s="7" t="n">
        <v>2300</v>
      </c>
      <c r="D6" s="7" t="n">
        <v>9200</v>
      </c>
      <c r="E6" s="7" t="n">
        <v>3450</v>
      </c>
      <c r="F6" s="7" t="inlineStr">
        <is>
          <t>Marketing</t>
        </is>
      </c>
    </row>
    <row r="7">
      <c r="A7" s="10" t="inlineStr"/>
      <c r="B7" s="10" t="n">
        <v>4800</v>
      </c>
      <c r="C7" s="10" t="n">
        <v>1200</v>
      </c>
      <c r="D7" s="10" t="n">
        <v>4800</v>
      </c>
      <c r="E7" s="10" t="n">
        <v>1800</v>
      </c>
      <c r="F7" s="10" t="inlineStr">
        <is>
          <t>Other</t>
        </is>
      </c>
    </row>
    <row r="8">
      <c r="A8" s="7" t="inlineStr">
        <is>
          <t>Payroll</t>
        </is>
      </c>
      <c r="B8" s="7" t="n">
        <v>11600</v>
      </c>
      <c r="C8" s="7" t="n">
        <v>2900</v>
      </c>
      <c r="D8" s="7" t="n">
        <v>11600</v>
      </c>
      <c r="E8" s="7" t="n">
        <v>4350</v>
      </c>
      <c r="F8" s="7" t="inlineStr">
        <is>
          <t>Payroll</t>
        </is>
      </c>
    </row>
    <row r="9">
      <c r="A9" s="10" t="inlineStr">
        <is>
          <t>Payroll</t>
        </is>
      </c>
      <c r="B9" s="10" t="n">
        <v>7600</v>
      </c>
      <c r="C9" s="10" t="n">
        <v>1900</v>
      </c>
      <c r="D9" s="10" t="n">
        <v>7600</v>
      </c>
      <c r="E9" s="10" t="n">
        <v>2850</v>
      </c>
      <c r="F9" s="10" t="inlineStr">
        <is>
          <t>Rent</t>
        </is>
      </c>
    </row>
    <row r="10">
      <c r="A10" s="7" t="inlineStr"/>
      <c r="B10" s="7" t="n">
        <v>10000</v>
      </c>
      <c r="C10" s="7" t="n">
        <v>2500</v>
      </c>
      <c r="D10" s="7" t="n">
        <v>10000</v>
      </c>
      <c r="E10" s="7" t="n">
        <v>3750</v>
      </c>
      <c r="F10" s="7" t="inlineStr">
        <is>
          <t>Supplies</t>
        </is>
      </c>
    </row>
    <row r="11">
      <c r="A11" s="10" t="inlineStr">
        <is>
          <t>Payroll</t>
        </is>
      </c>
      <c r="B11" s="10" t="n">
        <v>6400</v>
      </c>
      <c r="C11" s="10" t="n">
        <v>1600</v>
      </c>
      <c r="D11" s="10" t="n">
        <v>6400</v>
      </c>
      <c r="E11" s="10" t="n">
        <v>2400</v>
      </c>
      <c r="F11" s="10" t="inlineStr">
        <is>
          <t>Tax</t>
        </is>
      </c>
    </row>
    <row r="12">
      <c r="A12" s="7" t="inlineStr">
        <is>
          <t>Payroll</t>
        </is>
      </c>
      <c r="B12" s="7" t="n">
        <v>8800</v>
      </c>
      <c r="C12" s="7" t="n">
        <v>2200</v>
      </c>
      <c r="D12" s="7" t="n">
        <v>8800</v>
      </c>
      <c r="E12" s="7" t="n">
        <v>3300</v>
      </c>
      <c r="F12" s="7" t="inlineStr">
        <is>
          <t>Marketing</t>
        </is>
      </c>
    </row>
    <row r="13">
      <c r="A13" s="10" t="inlineStr"/>
      <c r="B13" s="10" t="n">
        <v>6000</v>
      </c>
      <c r="C13" s="10" t="n">
        <v>1500</v>
      </c>
      <c r="D13" s="10" t="n">
        <v>6000</v>
      </c>
      <c r="E13" s="10" t="n">
        <v>2250</v>
      </c>
      <c r="F13" s="10" t="inlineStr">
        <is>
          <t>Other</t>
        </is>
      </c>
    </row>
  </sheetData>
  <dataValidations count="1">
    <dataValidation sqref="F2:F500" showDropDown="0" showInputMessage="0" showErrorMessage="0" allowBlank="1" type="list">
      <formula1>"Payroll,Rent,Supplies,Tax,Marketing,Other"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>
      <c r="A1" s="6" t="inlineStr">
        <is>
          <t>Week</t>
        </is>
      </c>
      <c r="B1" s="6" t="inlineStr">
        <is>
          <t>Base Closing $</t>
        </is>
      </c>
      <c r="C1" s="6" t="inlineStr">
        <is>
          <t>Best Case $</t>
        </is>
      </c>
      <c r="D1" s="6" t="inlineStr">
        <is>
          <t>Worst Case $</t>
        </is>
      </c>
      <c r="E1" s="6" t="inlineStr">
        <is>
          <t>Variance $</t>
        </is>
      </c>
      <c r="F1" s="6" t="inlineStr">
        <is>
          <t>Notes</t>
        </is>
      </c>
    </row>
    <row r="2">
      <c r="A2" s="7" t="inlineStr">
        <is>
          <t>Wk 1</t>
        </is>
      </c>
      <c r="B2" s="7" t="n">
        <v>50000</v>
      </c>
      <c r="C2" s="7" t="n">
        <v>62000</v>
      </c>
      <c r="D2" s="7" t="n">
        <v>38000</v>
      </c>
      <c r="E2" s="7">
        <f>C2-D2</f>
        <v/>
      </c>
      <c r="F2" s="7" t="inlineStr"/>
    </row>
    <row r="3">
      <c r="A3" s="10" t="inlineStr">
        <is>
          <t>Wk 2</t>
        </is>
      </c>
      <c r="B3" s="10" t="n">
        <v>35000</v>
      </c>
      <c r="C3" s="10" t="n">
        <v>43400</v>
      </c>
      <c r="D3" s="10" t="n">
        <v>26600</v>
      </c>
      <c r="E3" s="10">
        <f>C3-D3</f>
        <v/>
      </c>
      <c r="F3" s="10" t="inlineStr">
        <is>
          <t>Paid</t>
        </is>
      </c>
    </row>
    <row r="4">
      <c r="A4" s="7" t="inlineStr">
        <is>
          <t>Wk 3</t>
        </is>
      </c>
      <c r="B4" s="7" t="n">
        <v>65000</v>
      </c>
      <c r="C4" s="7" t="n">
        <v>80600</v>
      </c>
      <c r="D4" s="7" t="n">
        <v>49400</v>
      </c>
      <c r="E4" s="7">
        <f>C4-D4</f>
        <v/>
      </c>
      <c r="F4" s="7" t="inlineStr">
        <is>
          <t>Urgent</t>
        </is>
      </c>
    </row>
    <row r="5">
      <c r="A5" s="10" t="inlineStr">
        <is>
          <t>Wk 4</t>
        </is>
      </c>
      <c r="B5" s="10" t="n">
        <v>42500</v>
      </c>
      <c r="C5" s="10" t="n">
        <v>52700</v>
      </c>
      <c r="D5" s="10" t="n">
        <v>32300</v>
      </c>
      <c r="E5" s="10">
        <f>C5-D5</f>
        <v/>
      </c>
      <c r="F5" s="10" t="inlineStr">
        <is>
          <t>Follow up Friday</t>
        </is>
      </c>
    </row>
    <row r="6">
      <c r="A6" s="7" t="inlineStr">
        <is>
          <t>Wk 5</t>
        </is>
      </c>
      <c r="B6" s="7" t="n">
        <v>57500</v>
      </c>
      <c r="C6" s="7" t="n">
        <v>71300</v>
      </c>
      <c r="D6" s="7" t="n">
        <v>43700</v>
      </c>
      <c r="E6" s="7">
        <f>C6-D6</f>
        <v/>
      </c>
      <c r="F6" s="7" t="inlineStr"/>
    </row>
    <row r="7">
      <c r="A7" s="10" t="inlineStr">
        <is>
          <t>Wk 6</t>
        </is>
      </c>
      <c r="B7" s="10" t="n">
        <v>30000</v>
      </c>
      <c r="C7" s="10" t="n">
        <v>37200</v>
      </c>
      <c r="D7" s="10" t="n">
        <v>22800</v>
      </c>
      <c r="E7" s="10">
        <f>C7-D7</f>
        <v/>
      </c>
      <c r="F7" s="10" t="inlineStr">
        <is>
          <t>Monthly</t>
        </is>
      </c>
    </row>
    <row r="8">
      <c r="A8" s="7" t="inlineStr">
        <is>
          <t>Wk 7</t>
        </is>
      </c>
      <c r="B8" s="7" t="n">
        <v>72500</v>
      </c>
      <c r="C8" s="7" t="n">
        <v>89900</v>
      </c>
      <c r="D8" s="7" t="n">
        <v>55100</v>
      </c>
      <c r="E8" s="7">
        <f>C8-D8</f>
        <v/>
      </c>
      <c r="F8" s="7" t="inlineStr">
        <is>
          <t>Confirmed</t>
        </is>
      </c>
    </row>
    <row r="9">
      <c r="A9" s="10" t="inlineStr">
        <is>
          <t>Wk 8</t>
        </is>
      </c>
      <c r="B9" s="10" t="n">
        <v>47500</v>
      </c>
      <c r="C9" s="10" t="n">
        <v>58900</v>
      </c>
      <c r="D9" s="10" t="n">
        <v>36100</v>
      </c>
      <c r="E9" s="10">
        <f>C9-D9</f>
        <v/>
      </c>
      <c r="F9" s="10" t="inlineStr"/>
    </row>
    <row r="10">
      <c r="A10" s="7" t="inlineStr">
        <is>
          <t>Wk 9</t>
        </is>
      </c>
      <c r="B10" s="7" t="n">
        <v>62500</v>
      </c>
      <c r="C10" s="7" t="n">
        <v>77500</v>
      </c>
      <c r="D10" s="7" t="n">
        <v>47500</v>
      </c>
      <c r="E10" s="7">
        <f>C10-D10</f>
        <v/>
      </c>
      <c r="F10" s="7" t="inlineStr">
        <is>
          <t>Waiting reply</t>
        </is>
      </c>
    </row>
    <row r="11">
      <c r="A11" s="10" t="inlineStr">
        <is>
          <t>Wk 10</t>
        </is>
      </c>
      <c r="B11" s="10" t="n">
        <v>40000</v>
      </c>
      <c r="C11" s="10" t="n">
        <v>49600</v>
      </c>
      <c r="D11" s="10" t="n">
        <v>30400</v>
      </c>
      <c r="E11" s="10">
        <f>C11-D11</f>
        <v/>
      </c>
      <c r="F11" s="10" t="inlineStr">
        <is>
          <t>Done early</t>
        </is>
      </c>
    </row>
    <row r="12">
      <c r="A12" s="7" t="inlineStr">
        <is>
          <t>Wk 11</t>
        </is>
      </c>
      <c r="B12" s="7" t="n">
        <v>55000</v>
      </c>
      <c r="C12" s="7" t="n">
        <v>68200</v>
      </c>
      <c r="D12" s="7" t="n">
        <v>41800</v>
      </c>
      <c r="E12" s="7">
        <f>C12-D12</f>
        <v/>
      </c>
      <c r="F12" s="7" t="inlineStr"/>
    </row>
    <row r="13">
      <c r="A13" s="10" t="inlineStr">
        <is>
          <t>Wk 12</t>
        </is>
      </c>
      <c r="B13" s="10" t="n">
        <v>37500</v>
      </c>
      <c r="C13" s="10" t="n">
        <v>46500</v>
      </c>
      <c r="D13" s="10" t="n">
        <v>28500</v>
      </c>
      <c r="E13" s="10">
        <f>C13-D13</f>
        <v/>
      </c>
      <c r="F13" s="10" t="inlineStr">
        <is>
          <t>Recheck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