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Holdings" sheetId="2" state="visible" r:id="rId2"/>
    <sheet name="Dashboard" sheetId="3" state="visible" r:id="rId3"/>
    <sheet name="Transactions" sheetId="4" state="visible" r:id="rId4"/>
    <sheet name="Dividends" sheetId="5" state="visible" r:id="rId5"/>
    <sheet name="Performanc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€&quot;#,##0.00"/>
    <numFmt numFmtId="165" formatCode="yyyy-mm-dd"/>
  </numFmts>
  <fonts count="1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222222"/>
      <sz val="10"/>
    </font>
    <font>
      <name val="Arial"/>
      <b val="1"/>
      <color rgb="00FFFFFF"/>
      <sz val="14"/>
    </font>
    <font>
      <name val="Arial"/>
      <b val="1"/>
      <color rgb="0015803D"/>
      <sz val="12"/>
    </font>
    <font>
      <name val="Arial"/>
      <b val="1"/>
      <color rgb="00222222"/>
      <sz val="11"/>
    </font>
    <font>
      <name val="Arial"/>
      <b val="1"/>
      <color rgb="00FFFFFF"/>
      <sz val="15"/>
    </font>
    <font>
      <name val="Arial"/>
      <b val="1"/>
      <color rgb="00FFFFFF"/>
      <sz val="16"/>
    </font>
    <font>
      <name val="Arial"/>
      <b val="1"/>
      <color rgb="00052E16"/>
      <sz val="12"/>
    </font>
    <font>
      <name val="Arial"/>
      <color rgb="00444444"/>
      <sz val="10"/>
    </font>
    <font>
      <name val="Arial"/>
      <i val="1"/>
      <color rgb="00777777"/>
      <sz val="10"/>
    </font>
    <font>
      <name val="Arial"/>
      <b val="1"/>
      <color rgb="00FFFFFF"/>
      <sz val="20"/>
    </font>
    <font>
      <name val="Arial"/>
      <color rgb="00DDDDDD"/>
      <sz val="11"/>
    </font>
    <font>
      <name val="Arial"/>
      <color rgb="00333333"/>
      <sz val="11"/>
    </font>
  </fonts>
  <fills count="7">
    <fill>
      <patternFill/>
    </fill>
    <fill>
      <patternFill patternType="gray125"/>
    </fill>
    <fill>
      <patternFill patternType="solid">
        <fgColor rgb="00052E16"/>
      </patternFill>
    </fill>
    <fill>
      <patternFill patternType="solid">
        <fgColor rgb="00FFF7F0"/>
      </patternFill>
    </fill>
    <fill>
      <patternFill patternType="solid">
        <fgColor rgb="0015803D"/>
      </patternFill>
    </fill>
    <fill>
      <patternFill patternType="solid">
        <fgColor rgb="0022C55E"/>
      </patternFill>
    </fill>
    <fill>
      <patternFill patternType="solid">
        <fgColor rgb="006366F1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13" fillId="0" borderId="0" applyAlignment="1" pivotButton="0" quotePrefix="0" xfId="0">
      <alignment horizontal="left" vertical="center" wrapText="1"/>
    </xf>
    <xf numFmtId="0" fontId="1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164" fontId="2" fillId="0" borderId="1" pivotButton="0" quotePrefix="0" xfId="0"/>
    <xf numFmtId="0" fontId="6" fillId="2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7" fillId="6" borderId="0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applyAlignment="1" pivotButton="0" quotePrefix="0" xfId="0">
      <alignment horizontal="left" vertical="center" wrapText="1"/>
    </xf>
    <xf numFmtId="165" fontId="2" fillId="3" borderId="1" pivotButton="0" quotePrefix="0" xfId="0"/>
    <xf numFmtId="165" fontId="2" fillId="0" borderId="1" pivotButton="0" quotePrefix="0" xfId="0"/>
    <xf numFmtId="0" fontId="3" fillId="2" borderId="0" applyAlignment="1" pivotButton="0" quotePrefix="0" xfId="0">
      <alignment horizontal="center" vertical="center"/>
    </xf>
    <xf numFmtId="164" fontId="5" fillId="0" borderId="1" pivotButton="0" quotePrefix="0" xfId="0"/>
    <xf numFmtId="164" fontId="5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30" customWidth="1" min="3" max="3"/>
    <col width="30" customWidth="1" min="4" max="4"/>
    <col width="30" customWidth="1" min="5" max="5"/>
    <col width="16" customWidth="1" min="6" max="6"/>
  </cols>
  <sheetData>
    <row r="2">
      <c r="B2" s="1" t="inlineStr">
        <is>
          <t>📈  STOCK INVESTMENT PORTFOLIO TRACKER</t>
        </is>
      </c>
    </row>
    <row r="3"/>
    <row r="4">
      <c r="B4" s="2" t="inlineStr">
        <is>
          <t>Stocks, ETFs &amp; Dividend Tracker Google Sheets</t>
        </is>
      </c>
    </row>
    <row r="6">
      <c r="B6" s="3" t="inlineStr">
        <is>
          <t>STEP 1 — Fill in “Holdings”</t>
        </is>
      </c>
    </row>
    <row r="7" ht="28" customHeight="1">
      <c r="B7" s="4" t="inlineStr">
        <is>
          <t>All stock and ETF positions with cost basis and current value.</t>
        </is>
      </c>
    </row>
    <row r="9">
      <c r="B9" s="3" t="inlineStr">
        <is>
          <t>STEP 2 — Fill in “Transactions”</t>
        </is>
      </c>
    </row>
    <row r="10" ht="28" customHeight="1">
      <c r="B10" s="4" t="inlineStr">
        <is>
          <t>All buy and sell transactions with dates and fees.</t>
        </is>
      </c>
    </row>
    <row r="12">
      <c r="B12" s="3" t="inlineStr">
        <is>
          <t>STEP 3 — Fill in “Dividends”</t>
        </is>
      </c>
    </row>
    <row r="13" ht="28" customHeight="1">
      <c r="B13" s="4" t="inlineStr">
        <is>
          <t>Dividend income tracker: all payments by stock and date.</t>
        </is>
      </c>
    </row>
    <row r="15">
      <c r="B15" s="3" t="inlineStr">
        <is>
          <t>Then open the Dashboard — everything calculates automatically.</t>
        </is>
      </c>
    </row>
    <row r="17">
      <c r="B17" s="5" t="inlineStr">
        <is>
          <t>TIP: Delete the sample rows once you've seen how it works.</t>
        </is>
      </c>
    </row>
    <row r="19">
      <c r="B19" s="5" t="inlineStr">
        <is>
          <t>TIP: On Google Sheets? File → Make a copy first, then edit your copy.</t>
        </is>
      </c>
    </row>
    <row r="21">
      <c r="B21" s="5" t="inlineStr">
        <is>
          <t>TIP: Columns with dropdowns keep your data clean — use them.</t>
        </is>
      </c>
    </row>
    <row r="23">
      <c r="B23" s="5" t="inlineStr">
        <is>
          <t>Need help? Message NasriTools on Etsy — I reply fast. 🧡</t>
        </is>
      </c>
    </row>
  </sheetData>
  <mergeCells count="13">
    <mergeCell ref="B4:F4"/>
    <mergeCell ref="B21:F21"/>
    <mergeCell ref="B12:F12"/>
    <mergeCell ref="B7:F7"/>
    <mergeCell ref="B6:F6"/>
    <mergeCell ref="B15:F15"/>
    <mergeCell ref="B2:F3"/>
    <mergeCell ref="B10:F10"/>
    <mergeCell ref="B19:F19"/>
    <mergeCell ref="B23:F23"/>
    <mergeCell ref="B17:F17"/>
    <mergeCell ref="B9:F9"/>
    <mergeCell ref="B13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6" t="inlineStr">
        <is>
          <t>Ticker</t>
        </is>
      </c>
      <c r="B1" s="6" t="inlineStr">
        <is>
          <t>Company</t>
        </is>
      </c>
      <c r="C1" s="6" t="inlineStr">
        <is>
          <t>Shares</t>
        </is>
      </c>
      <c r="D1" s="6" t="inlineStr">
        <is>
          <t>Avg Cost $</t>
        </is>
      </c>
      <c r="E1" s="6" t="inlineStr">
        <is>
          <t>Current $</t>
        </is>
      </c>
      <c r="F1" s="6" t="inlineStr">
        <is>
          <t>Value $</t>
        </is>
      </c>
      <c r="G1" s="6" t="inlineStr">
        <is>
          <t>Return $</t>
        </is>
      </c>
      <c r="H1" s="6" t="inlineStr">
        <is>
          <t>Type</t>
        </is>
      </c>
    </row>
    <row r="2">
      <c r="A2" s="7" t="inlineStr">
        <is>
          <t>AAPL</t>
        </is>
      </c>
      <c r="B2" s="7" t="inlineStr">
        <is>
          <t>BrightWave Studio</t>
        </is>
      </c>
      <c r="C2" s="7" t="n">
        <v>10</v>
      </c>
      <c r="D2" s="8" t="n">
        <v>145</v>
      </c>
      <c r="E2" s="7" t="n">
        <v>175</v>
      </c>
      <c r="F2" s="7">
        <f>C2*E2</f>
        <v/>
      </c>
      <c r="G2" s="7">
        <f>(E2-D2)*C2</f>
        <v/>
      </c>
      <c r="H2" s="7" t="inlineStr">
        <is>
          <t>Stock</t>
        </is>
      </c>
    </row>
    <row r="3">
      <c r="A3" s="9" t="inlineStr">
        <is>
          <t>AAPL</t>
        </is>
      </c>
      <c r="B3" s="9" t="inlineStr">
        <is>
          <t>GreenLeaf Co.</t>
        </is>
      </c>
      <c r="C3" s="9" t="n">
        <v>7</v>
      </c>
      <c r="D3" s="10" t="n">
        <v>102</v>
      </c>
      <c r="E3" s="9" t="n">
        <v>122</v>
      </c>
      <c r="F3" s="9">
        <f>C3*E3</f>
        <v/>
      </c>
      <c r="G3" s="9">
        <f>(E3-D3)*C3</f>
        <v/>
      </c>
      <c r="H3" s="9" t="inlineStr">
        <is>
          <t>ETF</t>
        </is>
      </c>
    </row>
    <row r="4">
      <c r="A4" s="7" t="inlineStr"/>
      <c r="B4" s="7" t="inlineStr">
        <is>
          <t>Nova Digital</t>
        </is>
      </c>
      <c r="C4" s="7" t="n">
        <v>13</v>
      </c>
      <c r="D4" s="8" t="n">
        <v>188</v>
      </c>
      <c r="E4" s="7" t="n">
        <v>228</v>
      </c>
      <c r="F4" s="7">
        <f>C4*E4</f>
        <v/>
      </c>
      <c r="G4" s="7">
        <f>(E4-D4)*C4</f>
        <v/>
      </c>
      <c r="H4" s="7" t="inlineStr">
        <is>
          <t>REIT</t>
        </is>
      </c>
    </row>
    <row r="5">
      <c r="A5" s="9" t="inlineStr">
        <is>
          <t>AAPL</t>
        </is>
      </c>
      <c r="B5" s="9" t="inlineStr">
        <is>
          <t>Atlas Consulting</t>
        </is>
      </c>
      <c r="C5" s="9" t="n">
        <v>8.5</v>
      </c>
      <c r="D5" s="10" t="n">
        <v>123</v>
      </c>
      <c r="E5" s="9" t="n">
        <v>149</v>
      </c>
      <c r="F5" s="9">
        <f>C5*E5</f>
        <v/>
      </c>
      <c r="G5" s="9">
        <f>(E5-D5)*C5</f>
        <v/>
      </c>
      <c r="H5" s="9" t="inlineStr">
        <is>
          <t>Bond</t>
        </is>
      </c>
    </row>
    <row r="6">
      <c r="A6" s="7" t="inlineStr">
        <is>
          <t>AAPL</t>
        </is>
      </c>
      <c r="B6" s="7" t="inlineStr">
        <is>
          <t>Pixel &amp; Co</t>
        </is>
      </c>
      <c r="C6" s="7" t="n">
        <v>11.5</v>
      </c>
      <c r="D6" s="8" t="n">
        <v>167</v>
      </c>
      <c r="E6" s="7" t="n">
        <v>201</v>
      </c>
      <c r="F6" s="7">
        <f>C6*E6</f>
        <v/>
      </c>
      <c r="G6" s="7">
        <f>(E6-D6)*C6</f>
        <v/>
      </c>
      <c r="H6" s="7" t="inlineStr">
        <is>
          <t>Mutual Fund</t>
        </is>
      </c>
    </row>
    <row r="7">
      <c r="A7" s="9" t="inlineStr"/>
      <c r="B7" s="9" t="inlineStr">
        <is>
          <t>Blue Harbor Ltd</t>
        </is>
      </c>
      <c r="C7" s="9" t="n">
        <v>6</v>
      </c>
      <c r="D7" s="10" t="n">
        <v>87</v>
      </c>
      <c r="E7" s="9" t="n">
        <v>105</v>
      </c>
      <c r="F7" s="9">
        <f>C7*E7</f>
        <v/>
      </c>
      <c r="G7" s="9">
        <f>(E7-D7)*C7</f>
        <v/>
      </c>
      <c r="H7" s="9" t="inlineStr">
        <is>
          <t>Stock</t>
        </is>
      </c>
    </row>
    <row r="8">
      <c r="A8" s="7" t="inlineStr">
        <is>
          <t>AAPL</t>
        </is>
      </c>
      <c r="B8" s="7" t="inlineStr">
        <is>
          <t>Sunrise Media</t>
        </is>
      </c>
      <c r="C8" s="7" t="n">
        <v>14.5</v>
      </c>
      <c r="D8" s="8" t="n">
        <v>210</v>
      </c>
      <c r="E8" s="7" t="n">
        <v>254</v>
      </c>
      <c r="F8" s="7">
        <f>C8*E8</f>
        <v/>
      </c>
      <c r="G8" s="7">
        <f>(E8-D8)*C8</f>
        <v/>
      </c>
      <c r="H8" s="7" t="inlineStr">
        <is>
          <t>ETF</t>
        </is>
      </c>
    </row>
    <row r="9">
      <c r="A9" s="9" t="inlineStr">
        <is>
          <t>AAPL</t>
        </is>
      </c>
      <c r="B9" s="9" t="inlineStr">
        <is>
          <t>UrbanCraft</t>
        </is>
      </c>
      <c r="C9" s="9" t="n">
        <v>9.5</v>
      </c>
      <c r="D9" s="10" t="n">
        <v>138</v>
      </c>
      <c r="E9" s="9" t="n">
        <v>166</v>
      </c>
      <c r="F9" s="9">
        <f>C9*E9</f>
        <v/>
      </c>
      <c r="G9" s="9">
        <f>(E9-D9)*C9</f>
        <v/>
      </c>
      <c r="H9" s="9" t="inlineStr">
        <is>
          <t>REIT</t>
        </is>
      </c>
    </row>
    <row r="10">
      <c r="A10" s="7" t="inlineStr"/>
      <c r="B10" s="7" t="inlineStr">
        <is>
          <t>PrimeWorks</t>
        </is>
      </c>
      <c r="C10" s="7" t="n">
        <v>12.5</v>
      </c>
      <c r="D10" s="8" t="n">
        <v>181</v>
      </c>
      <c r="E10" s="7" t="n">
        <v>219</v>
      </c>
      <c r="F10" s="7">
        <f>C10*E10</f>
        <v/>
      </c>
      <c r="G10" s="7">
        <f>(E10-D10)*C10</f>
        <v/>
      </c>
      <c r="H10" s="7" t="inlineStr">
        <is>
          <t>Bond</t>
        </is>
      </c>
    </row>
    <row r="11">
      <c r="A11" s="9" t="inlineStr">
        <is>
          <t>AAPL</t>
        </is>
      </c>
      <c r="B11" s="9" t="inlineStr">
        <is>
          <t>EchoLab</t>
        </is>
      </c>
      <c r="C11" s="9" t="n">
        <v>8</v>
      </c>
      <c r="D11" s="10" t="n">
        <v>116</v>
      </c>
      <c r="E11" s="9" t="n">
        <v>140</v>
      </c>
      <c r="F11" s="9">
        <f>C11*E11</f>
        <v/>
      </c>
      <c r="G11" s="9">
        <f>(E11-D11)*C11</f>
        <v/>
      </c>
      <c r="H11" s="9" t="inlineStr">
        <is>
          <t>Mutual Fund</t>
        </is>
      </c>
    </row>
    <row r="12">
      <c r="A12" s="7" t="inlineStr">
        <is>
          <t>AAPL</t>
        </is>
      </c>
      <c r="B12" s="7" t="inlineStr">
        <is>
          <t>Vertex Group</t>
        </is>
      </c>
      <c r="C12" s="7" t="n">
        <v>11</v>
      </c>
      <c r="D12" s="8" t="n">
        <v>160</v>
      </c>
      <c r="E12" s="7" t="n">
        <v>193</v>
      </c>
      <c r="F12" s="7">
        <f>C12*E12</f>
        <v/>
      </c>
      <c r="G12" s="7">
        <f>(E12-D12)*C12</f>
        <v/>
      </c>
      <c r="H12" s="7" t="inlineStr">
        <is>
          <t>Stock</t>
        </is>
      </c>
    </row>
    <row r="13">
      <c r="A13" s="9" t="inlineStr"/>
      <c r="B13" s="9" t="inlineStr">
        <is>
          <t>ClearPath Inc</t>
        </is>
      </c>
      <c r="C13" s="9" t="n">
        <v>7.5</v>
      </c>
      <c r="D13" s="10" t="n">
        <v>109</v>
      </c>
      <c r="E13" s="9" t="n">
        <v>131</v>
      </c>
      <c r="F13" s="9">
        <f>C13*E13</f>
        <v/>
      </c>
      <c r="G13" s="9">
        <f>(E13-D13)*C13</f>
        <v/>
      </c>
      <c r="H13" s="9" t="inlineStr">
        <is>
          <t>ETF</t>
        </is>
      </c>
    </row>
  </sheetData>
  <dataValidations count="1">
    <dataValidation sqref="H2:H500" showDropDown="0" showInputMessage="0" showErrorMessage="0" allowBlank="1" type="list">
      <formula1>"Stock,ETF,REIT,Bond,Mutual Fund"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I1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2" ht="28" customHeight="1">
      <c r="B2" s="11" t="inlineStr">
        <is>
          <t>📊  STOCK INVESTMENT PORTFOLIO TRACKER — DASHBOARD</t>
        </is>
      </c>
    </row>
    <row r="4">
      <c r="B4" s="12" t="inlineStr">
        <is>
          <t>PORTFOLIO VALUE</t>
        </is>
      </c>
      <c r="D4" s="13" t="inlineStr">
        <is>
          <t>TOTAL INVESTED</t>
        </is>
      </c>
      <c r="F4" s="14" t="inlineStr">
        <is>
          <t>TOTAL RETURN $</t>
        </is>
      </c>
      <c r="H4" s="15" t="inlineStr">
        <is>
          <t>RETURN %</t>
        </is>
      </c>
    </row>
    <row r="5" ht="26" customHeight="1">
      <c r="B5" s="16">
        <f>SUMPRODUCT(Holdings!C:C,Holdings!F:F)</f>
        <v/>
      </c>
      <c r="D5" s="17">
        <f>SUMPRODUCT(Holdings!C:C,Holdings!D:D)</f>
        <v/>
      </c>
      <c r="F5" s="18">
        <f>B4-C4</f>
        <v/>
      </c>
      <c r="H5" s="19">
        <f>TEXT((B4-C4)/C4,"0.0%")</f>
        <v/>
      </c>
    </row>
    <row r="8">
      <c r="B8" s="20" t="inlineStr">
        <is>
          <t>WHAT'S INSIDE</t>
        </is>
      </c>
    </row>
    <row r="9">
      <c r="B9" s="21" t="inlineStr">
        <is>
          <t>💹  Holdings — All stock and ETF positions with cost basis and current value.</t>
        </is>
      </c>
    </row>
    <row r="10">
      <c r="B10" s="21" t="inlineStr">
        <is>
          <t>📋  Transactions — All buy and sell transactions with dates and fees.</t>
        </is>
      </c>
    </row>
    <row r="11">
      <c r="B11" s="21" t="inlineStr">
        <is>
          <t>💵  Dividends — Dividend income tracker: all payments by stock and date.</t>
        </is>
      </c>
    </row>
    <row r="12">
      <c r="B12" s="21" t="inlineStr">
        <is>
          <t>📊  Performance — Annual returns, dividend income, and sector allocation.</t>
        </is>
      </c>
    </row>
    <row r="14">
      <c r="B14" s="5" t="inlineStr">
        <is>
          <t>Numbers update automatically as you fill the other tabs. Start with sample data deleted.</t>
        </is>
      </c>
    </row>
  </sheetData>
  <mergeCells count="14">
    <mergeCell ref="B9:I9"/>
    <mergeCell ref="F4:G4"/>
    <mergeCell ref="B12:I12"/>
    <mergeCell ref="B11:I11"/>
    <mergeCell ref="B5:C5"/>
    <mergeCell ref="B2:I2"/>
    <mergeCell ref="F5:G5"/>
    <mergeCell ref="D5:E5"/>
    <mergeCell ref="B10:I10"/>
    <mergeCell ref="H5:I5"/>
    <mergeCell ref="D4:E4"/>
    <mergeCell ref="B14:I14"/>
    <mergeCell ref="H4:I4"/>
    <mergeCell ref="B4:C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4" customWidth="1" min="5" max="5"/>
    <col width="14" customWidth="1" min="6" max="6"/>
    <col width="18" customWidth="1" min="7" max="7"/>
  </cols>
  <sheetData>
    <row r="1">
      <c r="A1" s="6" t="inlineStr">
        <is>
          <t>Date</t>
        </is>
      </c>
      <c r="B1" s="6" t="inlineStr">
        <is>
          <t>Ticker</t>
        </is>
      </c>
      <c r="C1" s="6" t="inlineStr">
        <is>
          <t>Action</t>
        </is>
      </c>
      <c r="D1" s="6" t="inlineStr">
        <is>
          <t>Shares</t>
        </is>
      </c>
      <c r="E1" s="6" t="inlineStr">
        <is>
          <t>Price $</t>
        </is>
      </c>
      <c r="F1" s="6" t="inlineStr">
        <is>
          <t>Total $</t>
        </is>
      </c>
      <c r="G1" s="6" t="inlineStr">
        <is>
          <t>Broker</t>
        </is>
      </c>
    </row>
    <row r="2">
      <c r="A2" s="22" t="n">
        <v>46174</v>
      </c>
      <c r="B2" s="7" t="inlineStr">
        <is>
          <t>MSFT</t>
        </is>
      </c>
      <c r="C2" s="7" t="inlineStr">
        <is>
          <t>Buy</t>
        </is>
      </c>
      <c r="D2" s="7" t="n">
        <v>5</v>
      </c>
      <c r="E2" s="8" t="n">
        <v>380</v>
      </c>
      <c r="F2" s="7">
        <f>D2*E2</f>
        <v/>
      </c>
      <c r="G2" s="7" t="inlineStr">
        <is>
          <t>Fidelity</t>
        </is>
      </c>
    </row>
    <row r="3">
      <c r="A3" s="23" t="n">
        <v>46180</v>
      </c>
      <c r="B3" s="9" t="inlineStr">
        <is>
          <t>MSFT</t>
        </is>
      </c>
      <c r="C3" s="9" t="inlineStr">
        <is>
          <t>Sell</t>
        </is>
      </c>
      <c r="D3" s="9" t="n">
        <v>3.5</v>
      </c>
      <c r="E3" s="10" t="n">
        <v>266</v>
      </c>
      <c r="F3" s="9">
        <f>D3*E3</f>
        <v/>
      </c>
      <c r="G3" s="9" t="inlineStr">
        <is>
          <t>Schwab</t>
        </is>
      </c>
    </row>
    <row r="4">
      <c r="A4" s="22" t="n">
        <v>46186</v>
      </c>
      <c r="B4" s="7" t="inlineStr"/>
      <c r="C4" s="7" t="inlineStr">
        <is>
          <t>Dividend</t>
        </is>
      </c>
      <c r="D4" s="7" t="n">
        <v>6.5</v>
      </c>
      <c r="E4" s="8" t="n">
        <v>494</v>
      </c>
      <c r="F4" s="7">
        <f>D4*E4</f>
        <v/>
      </c>
      <c r="G4" s="7" t="inlineStr">
        <is>
          <t>Vanguard</t>
        </is>
      </c>
    </row>
    <row r="5">
      <c r="A5" s="23" t="n">
        <v>46189</v>
      </c>
      <c r="B5" s="9" t="inlineStr">
        <is>
          <t>MSFT</t>
        </is>
      </c>
      <c r="C5" s="9" t="inlineStr">
        <is>
          <t>Split</t>
        </is>
      </c>
      <c r="D5" s="9" t="n">
        <v>4.25</v>
      </c>
      <c r="E5" s="10" t="n">
        <v>323</v>
      </c>
      <c r="F5" s="9">
        <f>D5*E5</f>
        <v/>
      </c>
      <c r="G5" s="9" t="inlineStr">
        <is>
          <t>Robinhood</t>
        </is>
      </c>
    </row>
    <row r="6">
      <c r="A6" s="22" t="n">
        <v>46195</v>
      </c>
      <c r="B6" s="7" t="inlineStr">
        <is>
          <t>MSFT</t>
        </is>
      </c>
      <c r="C6" s="7" t="inlineStr">
        <is>
          <t>DRIP</t>
        </is>
      </c>
      <c r="D6" s="7" t="n">
        <v>5.75</v>
      </c>
      <c r="E6" s="8" t="n">
        <v>437</v>
      </c>
      <c r="F6" s="7">
        <f>D6*E6</f>
        <v/>
      </c>
      <c r="G6" s="7" t="inlineStr">
        <is>
          <t>TD Ameritrade</t>
        </is>
      </c>
    </row>
    <row r="7">
      <c r="A7" s="23" t="n">
        <v>46201</v>
      </c>
      <c r="B7" s="9" t="inlineStr"/>
      <c r="C7" s="9" t="inlineStr">
        <is>
          <t>Buy</t>
        </is>
      </c>
      <c r="D7" s="9" t="n">
        <v>3</v>
      </c>
      <c r="E7" s="10" t="n">
        <v>228</v>
      </c>
      <c r="F7" s="9">
        <f>D7*E7</f>
        <v/>
      </c>
      <c r="G7" s="9" t="inlineStr">
        <is>
          <t>Other</t>
        </is>
      </c>
    </row>
    <row r="8">
      <c r="A8" s="22" t="n">
        <v>46176</v>
      </c>
      <c r="B8" s="7" t="inlineStr">
        <is>
          <t>MSFT</t>
        </is>
      </c>
      <c r="C8" s="7" t="inlineStr">
        <is>
          <t>Sell</t>
        </is>
      </c>
      <c r="D8" s="7" t="n">
        <v>7.25</v>
      </c>
      <c r="E8" s="8" t="n">
        <v>551</v>
      </c>
      <c r="F8" s="7">
        <f>D8*E8</f>
        <v/>
      </c>
      <c r="G8" s="7" t="inlineStr">
        <is>
          <t>Fidelity</t>
        </is>
      </c>
    </row>
    <row r="9">
      <c r="A9" s="23" t="n">
        <v>46182</v>
      </c>
      <c r="B9" s="9" t="inlineStr">
        <is>
          <t>MSFT</t>
        </is>
      </c>
      <c r="C9" s="9" t="inlineStr">
        <is>
          <t>Dividend</t>
        </is>
      </c>
      <c r="D9" s="9" t="n">
        <v>4.75</v>
      </c>
      <c r="E9" s="10" t="n">
        <v>361</v>
      </c>
      <c r="F9" s="9">
        <f>D9*E9</f>
        <v/>
      </c>
      <c r="G9" s="9" t="inlineStr">
        <is>
          <t>Schwab</t>
        </is>
      </c>
    </row>
    <row r="10">
      <c r="A10" s="22" t="n">
        <v>46188</v>
      </c>
      <c r="B10" s="7" t="inlineStr"/>
      <c r="C10" s="7" t="inlineStr">
        <is>
          <t>Split</t>
        </is>
      </c>
      <c r="D10" s="7" t="n">
        <v>6.25</v>
      </c>
      <c r="E10" s="8" t="n">
        <v>475</v>
      </c>
      <c r="F10" s="7">
        <f>D10*E10</f>
        <v/>
      </c>
      <c r="G10" s="7" t="inlineStr">
        <is>
          <t>Vanguard</t>
        </is>
      </c>
    </row>
    <row r="11">
      <c r="A11" s="23" t="n">
        <v>46191</v>
      </c>
      <c r="B11" s="9" t="inlineStr">
        <is>
          <t>MSFT</t>
        </is>
      </c>
      <c r="C11" s="9" t="inlineStr">
        <is>
          <t>DRIP</t>
        </is>
      </c>
      <c r="D11" s="9" t="n">
        <v>4</v>
      </c>
      <c r="E11" s="10" t="n">
        <v>304</v>
      </c>
      <c r="F11" s="9">
        <f>D11*E11</f>
        <v/>
      </c>
      <c r="G11" s="9" t="inlineStr">
        <is>
          <t>Robinhood</t>
        </is>
      </c>
    </row>
    <row r="12">
      <c r="A12" s="22" t="n">
        <v>46197</v>
      </c>
      <c r="B12" s="7" t="inlineStr">
        <is>
          <t>MSFT</t>
        </is>
      </c>
      <c r="C12" s="7" t="inlineStr">
        <is>
          <t>Buy</t>
        </is>
      </c>
      <c r="D12" s="7" t="n">
        <v>5.5</v>
      </c>
      <c r="E12" s="8" t="n">
        <v>418</v>
      </c>
      <c r="F12" s="7">
        <f>D12*E12</f>
        <v/>
      </c>
      <c r="G12" s="7" t="inlineStr">
        <is>
          <t>TD Ameritrade</t>
        </is>
      </c>
    </row>
    <row r="13">
      <c r="A13" s="23" t="n">
        <v>46175</v>
      </c>
      <c r="B13" s="9" t="inlineStr"/>
      <c r="C13" s="9" t="inlineStr">
        <is>
          <t>Sell</t>
        </is>
      </c>
      <c r="D13" s="9" t="n">
        <v>3.75</v>
      </c>
      <c r="E13" s="10" t="n">
        <v>285</v>
      </c>
      <c r="F13" s="9">
        <f>D13*E13</f>
        <v/>
      </c>
      <c r="G13" s="9" t="inlineStr">
        <is>
          <t>Other</t>
        </is>
      </c>
    </row>
  </sheetData>
  <dataValidations count="2">
    <dataValidation sqref="C2:C500" showDropDown="0" showInputMessage="0" showErrorMessage="0" allowBlank="1" type="list">
      <formula1>"Buy,Sell,Dividend,Split,DRIP"</formula1>
    </dataValidation>
    <dataValidation sqref="G2:G500" showDropDown="0" showInputMessage="0" showErrorMessage="0" allowBlank="1" type="list">
      <formula1>"Fidelity,Schwab,Vanguard,Robinhood,TD Ameritrade,Other"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2" customWidth="1" min="4" max="4"/>
    <col width="14" customWidth="1" min="5" max="5"/>
    <col width="16" customWidth="1" min="6" max="6"/>
  </cols>
  <sheetData>
    <row r="1">
      <c r="A1" s="6" t="inlineStr">
        <is>
          <t>Date</t>
        </is>
      </c>
      <c r="B1" s="6" t="inlineStr">
        <is>
          <t>Ticker</t>
        </is>
      </c>
      <c r="C1" s="6" t="inlineStr">
        <is>
          <t>Per Share $</t>
        </is>
      </c>
      <c r="D1" s="6" t="inlineStr">
        <is>
          <t>Shares</t>
        </is>
      </c>
      <c r="E1" s="6" t="inlineStr">
        <is>
          <t>Total $</t>
        </is>
      </c>
      <c r="F1" s="6" t="inlineStr">
        <is>
          <t>Reinvested</t>
        </is>
      </c>
    </row>
    <row r="2">
      <c r="A2" s="22" t="n">
        <v>46174</v>
      </c>
      <c r="B2" s="7" t="inlineStr">
        <is>
          <t>VTI</t>
        </is>
      </c>
      <c r="C2" s="7" t="n">
        <v>0.85</v>
      </c>
      <c r="D2" s="7" t="n">
        <v>50</v>
      </c>
      <c r="E2" s="7">
        <f>C2*D2</f>
        <v/>
      </c>
      <c r="F2" s="7" t="inlineStr">
        <is>
          <t>Yes</t>
        </is>
      </c>
    </row>
    <row r="3">
      <c r="A3" s="23" t="n">
        <v>46180</v>
      </c>
      <c r="B3" s="9" t="inlineStr">
        <is>
          <t>VTI</t>
        </is>
      </c>
      <c r="C3" s="9" t="n">
        <v>0.59</v>
      </c>
      <c r="D3" s="9" t="n">
        <v>35</v>
      </c>
      <c r="E3" s="9">
        <f>C3*D3</f>
        <v/>
      </c>
      <c r="F3" s="9" t="inlineStr">
        <is>
          <t>No</t>
        </is>
      </c>
    </row>
    <row r="4">
      <c r="A4" s="22" t="n">
        <v>46186</v>
      </c>
      <c r="B4" s="7" t="inlineStr"/>
      <c r="C4" s="7" t="n">
        <v>1.1</v>
      </c>
      <c r="D4" s="7" t="n">
        <v>65</v>
      </c>
      <c r="E4" s="7">
        <f>C4*D4</f>
        <v/>
      </c>
      <c r="F4" s="7" t="inlineStr">
        <is>
          <t>Yes</t>
        </is>
      </c>
    </row>
    <row r="5">
      <c r="A5" s="23" t="n">
        <v>46189</v>
      </c>
      <c r="B5" s="9" t="inlineStr">
        <is>
          <t>VTI</t>
        </is>
      </c>
      <c r="C5" s="9" t="n">
        <v>0.72</v>
      </c>
      <c r="D5" s="9" t="n">
        <v>42.5</v>
      </c>
      <c r="E5" s="9">
        <f>C5*D5</f>
        <v/>
      </c>
      <c r="F5" s="9" t="inlineStr">
        <is>
          <t>No</t>
        </is>
      </c>
    </row>
    <row r="6">
      <c r="A6" s="22" t="n">
        <v>46195</v>
      </c>
      <c r="B6" s="7" t="inlineStr">
        <is>
          <t>VTI</t>
        </is>
      </c>
      <c r="C6" s="7" t="n">
        <v>0.98</v>
      </c>
      <c r="D6" s="7" t="n">
        <v>57.5</v>
      </c>
      <c r="E6" s="7">
        <f>C6*D6</f>
        <v/>
      </c>
      <c r="F6" s="7" t="inlineStr">
        <is>
          <t>Yes</t>
        </is>
      </c>
    </row>
    <row r="7">
      <c r="A7" s="23" t="n">
        <v>46201</v>
      </c>
      <c r="B7" s="9" t="inlineStr"/>
      <c r="C7" s="9" t="n">
        <v>0.51</v>
      </c>
      <c r="D7" s="9" t="n">
        <v>30</v>
      </c>
      <c r="E7" s="9">
        <f>C7*D7</f>
        <v/>
      </c>
      <c r="F7" s="9" t="inlineStr">
        <is>
          <t>No</t>
        </is>
      </c>
    </row>
    <row r="8">
      <c r="A8" s="22" t="n">
        <v>46176</v>
      </c>
      <c r="B8" s="7" t="inlineStr">
        <is>
          <t>VTI</t>
        </is>
      </c>
      <c r="C8" s="7" t="n">
        <v>1.23</v>
      </c>
      <c r="D8" s="7" t="n">
        <v>72.5</v>
      </c>
      <c r="E8" s="7">
        <f>C8*D8</f>
        <v/>
      </c>
      <c r="F8" s="7" t="inlineStr">
        <is>
          <t>Yes</t>
        </is>
      </c>
    </row>
    <row r="9">
      <c r="A9" s="23" t="n">
        <v>46182</v>
      </c>
      <c r="B9" s="9" t="inlineStr">
        <is>
          <t>VTI</t>
        </is>
      </c>
      <c r="C9" s="9" t="n">
        <v>0.8100000000000001</v>
      </c>
      <c r="D9" s="9" t="n">
        <v>47.5</v>
      </c>
      <c r="E9" s="9">
        <f>C9*D9</f>
        <v/>
      </c>
      <c r="F9" s="9" t="inlineStr">
        <is>
          <t>No</t>
        </is>
      </c>
    </row>
    <row r="10">
      <c r="A10" s="22" t="n">
        <v>46188</v>
      </c>
      <c r="B10" s="7" t="inlineStr"/>
      <c r="C10" s="7" t="n">
        <v>1.06</v>
      </c>
      <c r="D10" s="7" t="n">
        <v>62.5</v>
      </c>
      <c r="E10" s="7">
        <f>C10*D10</f>
        <v/>
      </c>
      <c r="F10" s="7" t="inlineStr">
        <is>
          <t>Yes</t>
        </is>
      </c>
    </row>
    <row r="11">
      <c r="A11" s="23" t="n">
        <v>46191</v>
      </c>
      <c r="B11" s="9" t="inlineStr">
        <is>
          <t>VTI</t>
        </is>
      </c>
      <c r="C11" s="9" t="n">
        <v>0.68</v>
      </c>
      <c r="D11" s="9" t="n">
        <v>40</v>
      </c>
      <c r="E11" s="9">
        <f>C11*D11</f>
        <v/>
      </c>
      <c r="F11" s="9" t="inlineStr">
        <is>
          <t>No</t>
        </is>
      </c>
    </row>
    <row r="12">
      <c r="A12" s="22" t="n">
        <v>46197</v>
      </c>
      <c r="B12" s="7" t="inlineStr">
        <is>
          <t>VTI</t>
        </is>
      </c>
      <c r="C12" s="7" t="n">
        <v>0.9399999999999999</v>
      </c>
      <c r="D12" s="7" t="n">
        <v>55</v>
      </c>
      <c r="E12" s="7">
        <f>C12*D12</f>
        <v/>
      </c>
      <c r="F12" s="7" t="inlineStr">
        <is>
          <t>Yes</t>
        </is>
      </c>
    </row>
    <row r="13">
      <c r="A13" s="23" t="n">
        <v>46175</v>
      </c>
      <c r="B13" s="9" t="inlineStr"/>
      <c r="C13" s="9" t="n">
        <v>0.64</v>
      </c>
      <c r="D13" s="9" t="n">
        <v>37.5</v>
      </c>
      <c r="E13" s="9">
        <f>C13*D13</f>
        <v/>
      </c>
      <c r="F13" s="9" t="inlineStr">
        <is>
          <t>No</t>
        </is>
      </c>
    </row>
  </sheetData>
  <dataValidations count="1">
    <dataValidation sqref="F2:F5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C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20" customWidth="1" min="3" max="3"/>
  </cols>
  <sheetData>
    <row r="2">
      <c r="B2" s="24" t="inlineStr">
        <is>
          <t>📈  PERFORMANCE</t>
        </is>
      </c>
    </row>
    <row r="4">
      <c r="B4" s="3" t="inlineStr">
        <is>
          <t>Portfolio Summary</t>
        </is>
      </c>
    </row>
    <row r="5">
      <c r="B5" s="9" t="inlineStr">
        <is>
          <t>Total Invested</t>
        </is>
      </c>
      <c r="C5" s="25">
        <f>SUMPRODUCT(Holdings!C:C,Holdings!D:D)</f>
        <v/>
      </c>
    </row>
    <row r="6">
      <c r="B6" s="7" t="inlineStr">
        <is>
          <t>Current Value</t>
        </is>
      </c>
      <c r="C6" s="26">
        <f>SUMPRODUCT(Holdings!C:C,Holdings!F:F)</f>
        <v/>
      </c>
    </row>
    <row r="7">
      <c r="B7" s="9" t="inlineStr">
        <is>
          <t>Total Dividends</t>
        </is>
      </c>
      <c r="C7" s="25">
        <f>SUM(Dividends!E:E)</f>
        <v/>
      </c>
    </row>
  </sheetData>
  <mergeCells count="2">
    <mergeCell ref="B4:C4"/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2026-07-16T21:44:37Z</dcterms:created>
  <dcterms:modified xsi:type="dcterms:W3CDTF">2026-07-16T21:44:37Z</dcterms:modified>
</cp:coreProperties>
</file>