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Applications" sheetId="2" state="visible" r:id="rId2"/>
    <sheet name="Dashboard" sheetId="3" state="visible" r:id="rId3"/>
    <sheet name="Interviews" sheetId="4" state="visible" r:id="rId4"/>
    <sheet name="Contacts" sheetId="5" state="visible" r:id="rId5"/>
    <sheet name="Offers" sheetId="6" state="visible" r:id="rId6"/>
    <sheet name="Follow-u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F17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0EA5E9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7F0"/>
      </patternFill>
    </fill>
    <fill>
      <patternFill patternType="solid">
        <fgColor rgb="000EA5E9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💼  JOB APPLICATION TRACKER</t>
        </is>
      </c>
    </row>
    <row r="3"/>
    <row r="4">
      <c r="B4" s="2" t="inlineStr">
        <is>
          <t>Job Hunt Organizer &amp; Interview Planner Google Sheets</t>
        </is>
      </c>
    </row>
    <row r="6">
      <c r="B6" s="3" t="inlineStr">
        <is>
          <t>STEP 1 — Fill in “Applications”</t>
        </is>
      </c>
    </row>
    <row r="7" ht="28" customHeight="1">
      <c r="B7" s="4" t="inlineStr">
        <is>
          <t>All job applications with company, role, date, status, and notes.</t>
        </is>
      </c>
    </row>
    <row r="9">
      <c r="B9" s="3" t="inlineStr">
        <is>
          <t>STEP 2 — Fill in “Interviews”</t>
        </is>
      </c>
    </row>
    <row r="10" ht="28" customHeight="1">
      <c r="B10" s="4" t="inlineStr">
        <is>
          <t>Interview tracker: date, type, interviewer, questions, outcome.</t>
        </is>
      </c>
    </row>
    <row r="12">
      <c r="B12" s="3" t="inlineStr">
        <is>
          <t>STEP 3 — Fill in “Contacts”</t>
        </is>
      </c>
    </row>
    <row r="13" ht="28" customHeight="1">
      <c r="B13" s="4" t="inlineStr">
        <is>
          <t>Networking contacts, recruiters, and referrals.</t>
        </is>
      </c>
    </row>
    <row r="15">
      <c r="B15" s="3" t="inlineStr">
        <is>
          <t>STEP 4 — Fill in “Offers”</t>
        </is>
      </c>
    </row>
    <row r="16" ht="28" customHeight="1">
      <c r="B16" s="4" t="inlineStr">
        <is>
          <t>Offer comparison: salary, benefits, equity, deadline.</t>
        </is>
      </c>
    </row>
    <row r="18">
      <c r="B18" s="3" t="inlineStr">
        <is>
          <t>STEP 5 — Fill in “Follow-ups”</t>
        </is>
      </c>
    </row>
    <row r="19" ht="28" customHeight="1">
      <c r="B19" s="4" t="inlineStr">
        <is>
          <t>Schedule and track all follow-up emails and actions.</t>
        </is>
      </c>
    </row>
    <row r="21">
      <c r="B21" s="3" t="inlineStr">
        <is>
          <t>Then open the Dashboard — everything calculates automatically.</t>
        </is>
      </c>
    </row>
    <row r="23">
      <c r="B23" s="5" t="inlineStr">
        <is>
          <t>TIP: Delete the sample rows once you've seen how it works.</t>
        </is>
      </c>
    </row>
    <row r="25">
      <c r="B25" s="5" t="inlineStr">
        <is>
          <t>TIP: On Google Sheets? File → Make a copy first, then edit your copy.</t>
        </is>
      </c>
    </row>
    <row r="27">
      <c r="B27" s="5" t="inlineStr">
        <is>
          <t>TIP: Columns with dropdowns keep your data clean — use them.</t>
        </is>
      </c>
    </row>
    <row r="29">
      <c r="B29" s="5" t="inlineStr">
        <is>
          <t>Need help? Message NasriTools on Etsy — I reply fast. 🧡</t>
        </is>
      </c>
    </row>
  </sheetData>
  <mergeCells count="17">
    <mergeCell ref="B4:F4"/>
    <mergeCell ref="B21:F21"/>
    <mergeCell ref="B12:F12"/>
    <mergeCell ref="B7:F7"/>
    <mergeCell ref="B27:F27"/>
    <mergeCell ref="B6:F6"/>
    <mergeCell ref="B29:F29"/>
    <mergeCell ref="B16:F16"/>
    <mergeCell ref="B15:F15"/>
    <mergeCell ref="B2:F3"/>
    <mergeCell ref="B10:F10"/>
    <mergeCell ref="B18:F18"/>
    <mergeCell ref="B25:F25"/>
    <mergeCell ref="B19:F19"/>
    <mergeCell ref="B23:F23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6" customWidth="1" min="3" max="3"/>
    <col width="18" customWidth="1" min="4" max="4"/>
    <col width="18" customWidth="1" min="5" max="5"/>
    <col width="16" customWidth="1" min="6" max="6"/>
    <col width="16" customWidth="1" min="7" max="7"/>
    <col width="30" customWidth="1" min="8" max="8"/>
  </cols>
  <sheetData>
    <row r="1">
      <c r="A1" s="6" t="inlineStr">
        <is>
          <t>Date Applied</t>
        </is>
      </c>
      <c r="B1" s="6" t="inlineStr">
        <is>
          <t>Company</t>
        </is>
      </c>
      <c r="C1" s="6" t="inlineStr">
        <is>
          <t>Role</t>
        </is>
      </c>
      <c r="D1" s="6" t="inlineStr">
        <is>
          <t>Location</t>
        </is>
      </c>
      <c r="E1" s="6" t="inlineStr">
        <is>
          <t>Status</t>
        </is>
      </c>
      <c r="F1" s="6" t="inlineStr">
        <is>
          <t>Salary Range</t>
        </is>
      </c>
      <c r="G1" s="6" t="inlineStr">
        <is>
          <t>Source</t>
        </is>
      </c>
      <c r="H1" s="6" t="inlineStr">
        <is>
          <t>Notes</t>
        </is>
      </c>
    </row>
    <row r="2">
      <c r="A2" s="7" t="n">
        <v>46174</v>
      </c>
      <c r="B2" s="8" t="inlineStr">
        <is>
          <t>BrightWave Studio</t>
        </is>
      </c>
      <c r="C2" s="8" t="inlineStr">
        <is>
          <t>Product Manager</t>
        </is>
      </c>
      <c r="D2" s="8" t="inlineStr">
        <is>
          <t>Remote</t>
        </is>
      </c>
      <c r="E2" s="8" t="inlineStr">
        <is>
          <t>Applied</t>
        </is>
      </c>
      <c r="F2" s="8" t="inlineStr">
        <is>
          <t>$80k-$100k</t>
        </is>
      </c>
      <c r="G2" s="8" t="inlineStr">
        <is>
          <t>LinkedIn</t>
        </is>
      </c>
      <c r="H2" s="8" t="inlineStr"/>
    </row>
    <row r="3">
      <c r="A3" s="9" t="n">
        <v>46180</v>
      </c>
      <c r="B3" s="10" t="inlineStr">
        <is>
          <t>GreenLeaf Co.</t>
        </is>
      </c>
      <c r="C3" s="10" t="inlineStr">
        <is>
          <t>Product Manager</t>
        </is>
      </c>
      <c r="D3" s="10" t="inlineStr">
        <is>
          <t>Remote</t>
        </is>
      </c>
      <c r="E3" s="10" t="inlineStr">
        <is>
          <t>Viewed</t>
        </is>
      </c>
      <c r="F3" s="10" t="inlineStr">
        <is>
          <t>$80k-$100k</t>
        </is>
      </c>
      <c r="G3" s="10" t="inlineStr">
        <is>
          <t>Indeed</t>
        </is>
      </c>
      <c r="H3" s="10" t="inlineStr">
        <is>
          <t>Paid</t>
        </is>
      </c>
    </row>
    <row r="4">
      <c r="A4" s="7" t="n">
        <v>46186</v>
      </c>
      <c r="B4" s="8" t="inlineStr">
        <is>
          <t>Nova Digital</t>
        </is>
      </c>
      <c r="C4" s="8" t="inlineStr"/>
      <c r="D4" s="8" t="inlineStr"/>
      <c r="E4" s="8" t="inlineStr">
        <is>
          <t>Phone Screen</t>
        </is>
      </c>
      <c r="F4" s="8" t="inlineStr"/>
      <c r="G4" s="8" t="inlineStr">
        <is>
          <t>Company Site</t>
        </is>
      </c>
      <c r="H4" s="8" t="inlineStr">
        <is>
          <t>Urgent</t>
        </is>
      </c>
    </row>
    <row r="5">
      <c r="A5" s="9" t="n">
        <v>46189</v>
      </c>
      <c r="B5" s="10" t="inlineStr">
        <is>
          <t>Atlas Consulting</t>
        </is>
      </c>
      <c r="C5" s="10" t="inlineStr">
        <is>
          <t>Product Manager</t>
        </is>
      </c>
      <c r="D5" s="10" t="inlineStr">
        <is>
          <t>Remote</t>
        </is>
      </c>
      <c r="E5" s="10" t="inlineStr">
        <is>
          <t>Interview</t>
        </is>
      </c>
      <c r="F5" s="10" t="inlineStr">
        <is>
          <t>$80k-$100k</t>
        </is>
      </c>
      <c r="G5" s="10" t="inlineStr">
        <is>
          <t>Referral</t>
        </is>
      </c>
      <c r="H5" s="10" t="inlineStr">
        <is>
          <t>Follow up Friday</t>
        </is>
      </c>
    </row>
    <row r="6">
      <c r="A6" s="7" t="n">
        <v>46195</v>
      </c>
      <c r="B6" s="8" t="inlineStr">
        <is>
          <t>Pixel &amp; Co</t>
        </is>
      </c>
      <c r="C6" s="8" t="inlineStr">
        <is>
          <t>Product Manager</t>
        </is>
      </c>
      <c r="D6" s="8" t="inlineStr">
        <is>
          <t>Remote</t>
        </is>
      </c>
      <c r="E6" s="8" t="inlineStr">
        <is>
          <t>Final Round</t>
        </is>
      </c>
      <c r="F6" s="8" t="inlineStr">
        <is>
          <t>$80k-$100k</t>
        </is>
      </c>
      <c r="G6" s="8" t="inlineStr">
        <is>
          <t>Recruiter</t>
        </is>
      </c>
      <c r="H6" s="8" t="inlineStr"/>
    </row>
    <row r="7">
      <c r="A7" s="9" t="n">
        <v>46201</v>
      </c>
      <c r="B7" s="10" t="inlineStr">
        <is>
          <t>Blue Harbor Ltd</t>
        </is>
      </c>
      <c r="C7" s="10" t="inlineStr"/>
      <c r="D7" s="10" t="inlineStr"/>
      <c r="E7" s="10" t="inlineStr">
        <is>
          <t>Offer</t>
        </is>
      </c>
      <c r="F7" s="10" t="inlineStr"/>
      <c r="G7" s="10" t="inlineStr">
        <is>
          <t>Other</t>
        </is>
      </c>
      <c r="H7" s="10" t="inlineStr">
        <is>
          <t>Monthly</t>
        </is>
      </c>
    </row>
    <row r="8">
      <c r="A8" s="7" t="n">
        <v>46176</v>
      </c>
      <c r="B8" s="8" t="inlineStr">
        <is>
          <t>Sunrise Media</t>
        </is>
      </c>
      <c r="C8" s="8" t="inlineStr">
        <is>
          <t>Product Manager</t>
        </is>
      </c>
      <c r="D8" s="8" t="inlineStr">
        <is>
          <t>Remote</t>
        </is>
      </c>
      <c r="E8" s="8" t="inlineStr">
        <is>
          <t>Rejected</t>
        </is>
      </c>
      <c r="F8" s="8" t="inlineStr">
        <is>
          <t>$80k-$100k</t>
        </is>
      </c>
      <c r="G8" s="8" t="inlineStr">
        <is>
          <t>LinkedIn</t>
        </is>
      </c>
      <c r="H8" s="8" t="inlineStr">
        <is>
          <t>Confirmed</t>
        </is>
      </c>
    </row>
    <row r="9">
      <c r="A9" s="9" t="n">
        <v>46182</v>
      </c>
      <c r="B9" s="10" t="inlineStr">
        <is>
          <t>UrbanCraft</t>
        </is>
      </c>
      <c r="C9" s="10" t="inlineStr">
        <is>
          <t>Product Manager</t>
        </is>
      </c>
      <c r="D9" s="10" t="inlineStr">
        <is>
          <t>Remote</t>
        </is>
      </c>
      <c r="E9" s="10" t="inlineStr">
        <is>
          <t>Withdrawn</t>
        </is>
      </c>
      <c r="F9" s="10" t="inlineStr">
        <is>
          <t>$80k-$100k</t>
        </is>
      </c>
      <c r="G9" s="10" t="inlineStr">
        <is>
          <t>Indeed</t>
        </is>
      </c>
      <c r="H9" s="10" t="inlineStr"/>
    </row>
    <row r="10">
      <c r="A10" s="7" t="n">
        <v>46188</v>
      </c>
      <c r="B10" s="8" t="inlineStr">
        <is>
          <t>PrimeWorks</t>
        </is>
      </c>
      <c r="C10" s="8" t="inlineStr"/>
      <c r="D10" s="8" t="inlineStr"/>
      <c r="E10" s="8" t="inlineStr">
        <is>
          <t>Ghosted</t>
        </is>
      </c>
      <c r="F10" s="8" t="inlineStr"/>
      <c r="G10" s="8" t="inlineStr">
        <is>
          <t>Company Site</t>
        </is>
      </c>
      <c r="H10" s="8" t="inlineStr">
        <is>
          <t>Waiting reply</t>
        </is>
      </c>
    </row>
    <row r="11">
      <c r="A11" s="9" t="n">
        <v>46191</v>
      </c>
      <c r="B11" s="10" t="inlineStr">
        <is>
          <t>EchoLab</t>
        </is>
      </c>
      <c r="C11" s="10" t="inlineStr">
        <is>
          <t>Product Manager</t>
        </is>
      </c>
      <c r="D11" s="10" t="inlineStr">
        <is>
          <t>Remote</t>
        </is>
      </c>
      <c r="E11" s="10" t="inlineStr">
        <is>
          <t>Applied</t>
        </is>
      </c>
      <c r="F11" s="10" t="inlineStr">
        <is>
          <t>$80k-$100k</t>
        </is>
      </c>
      <c r="G11" s="10" t="inlineStr">
        <is>
          <t>Referral</t>
        </is>
      </c>
      <c r="H11" s="10" t="inlineStr">
        <is>
          <t>Done early</t>
        </is>
      </c>
    </row>
    <row r="12">
      <c r="A12" s="7" t="n">
        <v>46197</v>
      </c>
      <c r="B12" s="8" t="inlineStr">
        <is>
          <t>Vertex Group</t>
        </is>
      </c>
      <c r="C12" s="8" t="inlineStr">
        <is>
          <t>Product Manager</t>
        </is>
      </c>
      <c r="D12" s="8" t="inlineStr">
        <is>
          <t>Remote</t>
        </is>
      </c>
      <c r="E12" s="8" t="inlineStr">
        <is>
          <t>Viewed</t>
        </is>
      </c>
      <c r="F12" s="8" t="inlineStr">
        <is>
          <t>$80k-$100k</t>
        </is>
      </c>
      <c r="G12" s="8" t="inlineStr">
        <is>
          <t>Recruiter</t>
        </is>
      </c>
      <c r="H12" s="8" t="inlineStr"/>
    </row>
    <row r="13">
      <c r="A13" s="9" t="n">
        <v>46175</v>
      </c>
      <c r="B13" s="10" t="inlineStr">
        <is>
          <t>ClearPath Inc</t>
        </is>
      </c>
      <c r="C13" s="10" t="inlineStr"/>
      <c r="D13" s="10" t="inlineStr"/>
      <c r="E13" s="10" t="inlineStr">
        <is>
          <t>Phone Screen</t>
        </is>
      </c>
      <c r="F13" s="10" t="inlineStr"/>
      <c r="G13" s="10" t="inlineStr">
        <is>
          <t>Other</t>
        </is>
      </c>
      <c r="H13" s="10" t="inlineStr">
        <is>
          <t>Recheck</t>
        </is>
      </c>
    </row>
  </sheetData>
  <dataValidations count="2">
    <dataValidation sqref="E2:E500" showDropDown="0" showInputMessage="0" showErrorMessage="0" allowBlank="1" type="list">
      <formula1>"Applied,Viewed,Phone Screen,Interview,Final Round,Offer,Rejected,Withdrawn,Ghosted"</formula1>
    </dataValidation>
    <dataValidation sqref="G2:G500" showDropDown="0" showInputMessage="0" showErrorMessage="0" allowBlank="1" type="list">
      <formula1>"LinkedIn,Indeed,Company Site,Referral,Recruiter,Other"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JOB APPLICATION TRACKER — DASHBOARD</t>
        </is>
      </c>
    </row>
    <row r="4">
      <c r="B4" s="12" t="inlineStr">
        <is>
          <t>APPLIED</t>
        </is>
      </c>
      <c r="D4" s="13" t="inlineStr">
        <is>
          <t>INTERVIEWS</t>
        </is>
      </c>
      <c r="F4" s="14" t="inlineStr">
        <is>
          <t>OFFERS</t>
        </is>
      </c>
      <c r="H4" s="15" t="inlineStr">
        <is>
          <t>RESPONSE RATE</t>
        </is>
      </c>
    </row>
    <row r="5" ht="26" customHeight="1">
      <c r="B5" s="16">
        <f>COUNTA(Applications!A:A)-1</f>
        <v/>
      </c>
      <c r="D5" s="17">
        <f>COUNTIF(Applications!E:E,"Interview")</f>
        <v/>
      </c>
      <c r="F5" s="18">
        <f>COUNTIF(Applications!E:E,"Offer")</f>
        <v/>
      </c>
      <c r="H5" s="19">
        <f>TEXT(B4/A4,"0%")</f>
        <v/>
      </c>
    </row>
    <row r="8">
      <c r="B8" s="20" t="inlineStr">
        <is>
          <t>WHAT'S INSIDE</t>
        </is>
      </c>
    </row>
    <row r="9">
      <c r="B9" s="21" t="inlineStr">
        <is>
          <t>📋  Applications — All job applications with company, role, date, status, and notes.</t>
        </is>
      </c>
    </row>
    <row r="10">
      <c r="B10" s="21" t="inlineStr">
        <is>
          <t>🎤  Interviews — Interview tracker: date, type, interviewer, questions, outcome.</t>
        </is>
      </c>
    </row>
    <row r="11">
      <c r="B11" s="21" t="inlineStr">
        <is>
          <t>👥  Contacts — Networking contacts, recruiters, and referrals.</t>
        </is>
      </c>
    </row>
    <row r="12">
      <c r="B12" s="21" t="inlineStr">
        <is>
          <t>🎉  Offers — Offer comparison: salary, benefits, equity, deadline.</t>
        </is>
      </c>
    </row>
    <row r="13">
      <c r="B13" s="21" t="inlineStr">
        <is>
          <t>📧  Follow-ups — Schedule and track all follow-up emails and actions.</t>
        </is>
      </c>
    </row>
    <row r="15">
      <c r="B15" s="5" t="inlineStr">
        <is>
          <t>Numbers update automatically as you fill the other tabs. Start with sample data deleted.</t>
        </is>
      </c>
    </row>
  </sheetData>
  <mergeCells count="15">
    <mergeCell ref="B9:I9"/>
    <mergeCell ref="F4:G4"/>
    <mergeCell ref="B12:I12"/>
    <mergeCell ref="B13:I13"/>
    <mergeCell ref="B15:I15"/>
    <mergeCell ref="B11:I11"/>
    <mergeCell ref="B5:C5"/>
    <mergeCell ref="B2:I2"/>
    <mergeCell ref="F5:G5"/>
    <mergeCell ref="D5:E5"/>
    <mergeCell ref="B10:I10"/>
    <mergeCell ref="H5:I5"/>
    <mergeCell ref="D4:E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6" customWidth="1" min="4" max="4"/>
    <col width="40" customWidth="1" min="5" max="5"/>
    <col width="24" customWidth="1" min="6" max="6"/>
  </cols>
  <sheetData>
    <row r="1">
      <c r="A1" s="6" t="inlineStr">
        <is>
          <t>Company</t>
        </is>
      </c>
      <c r="B1" s="6" t="inlineStr">
        <is>
          <t>Date</t>
        </is>
      </c>
      <c r="C1" s="6" t="inlineStr">
        <is>
          <t>Type</t>
        </is>
      </c>
      <c r="D1" s="6" t="inlineStr">
        <is>
          <t>Outcome</t>
        </is>
      </c>
      <c r="E1" s="6" t="inlineStr">
        <is>
          <t>Questions</t>
        </is>
      </c>
      <c r="F1" s="6" t="inlineStr">
        <is>
          <t>Next Step</t>
        </is>
      </c>
    </row>
    <row r="2">
      <c r="A2" s="8" t="inlineStr">
        <is>
          <t>BrightWave Studio</t>
        </is>
      </c>
      <c r="B2" s="7" t="n">
        <v>46174</v>
      </c>
      <c r="C2" s="8" t="inlineStr">
        <is>
          <t>Phone Screen</t>
        </is>
      </c>
      <c r="D2" s="8" t="inlineStr">
        <is>
          <t>Passed</t>
        </is>
      </c>
      <c r="E2" s="8" t="inlineStr">
        <is>
          <t>Tell me about yourself...</t>
        </is>
      </c>
      <c r="F2" s="8" t="inlineStr">
        <is>
          <t>Kickoff meeting</t>
        </is>
      </c>
    </row>
    <row r="3">
      <c r="A3" s="10" t="inlineStr">
        <is>
          <t>GreenLeaf Co.</t>
        </is>
      </c>
      <c r="B3" s="9" t="n">
        <v>46180</v>
      </c>
      <c r="C3" s="10" t="inlineStr">
        <is>
          <t>Video Call</t>
        </is>
      </c>
      <c r="D3" s="10" t="inlineStr">
        <is>
          <t>Rejected</t>
        </is>
      </c>
      <c r="E3" s="10" t="inlineStr">
        <is>
          <t>Tell me about yourself...</t>
        </is>
      </c>
      <c r="F3" s="10" t="inlineStr">
        <is>
          <t>Send proposal</t>
        </is>
      </c>
    </row>
    <row r="4">
      <c r="A4" s="8" t="inlineStr">
        <is>
          <t>Nova Digital</t>
        </is>
      </c>
      <c r="B4" s="7" t="n">
        <v>46186</v>
      </c>
      <c r="C4" s="8" t="inlineStr">
        <is>
          <t>Technical</t>
        </is>
      </c>
      <c r="D4" s="8" t="inlineStr">
        <is>
          <t>Pending</t>
        </is>
      </c>
      <c r="E4" s="8" t="inlineStr"/>
      <c r="F4" s="8" t="inlineStr">
        <is>
          <t>Review feedback</t>
        </is>
      </c>
    </row>
    <row r="5">
      <c r="A5" s="10" t="inlineStr">
        <is>
          <t>Atlas Consulting</t>
        </is>
      </c>
      <c r="B5" s="9" t="n">
        <v>46189</v>
      </c>
      <c r="C5" s="10" t="inlineStr">
        <is>
          <t>On-Site</t>
        </is>
      </c>
      <c r="D5" s="10" t="inlineStr">
        <is>
          <t>Rescheduled</t>
        </is>
      </c>
      <c r="E5" s="10" t="inlineStr">
        <is>
          <t>Tell me about yourself...</t>
        </is>
      </c>
      <c r="F5" s="10" t="inlineStr">
        <is>
          <t>Update website copy</t>
        </is>
      </c>
    </row>
    <row r="6">
      <c r="A6" s="8" t="inlineStr">
        <is>
          <t>Pixel &amp; Co</t>
        </is>
      </c>
      <c r="B6" s="7" t="n">
        <v>46195</v>
      </c>
      <c r="C6" s="8" t="inlineStr">
        <is>
          <t>Panel</t>
        </is>
      </c>
      <c r="D6" s="8" t="inlineStr">
        <is>
          <t>Passed</t>
        </is>
      </c>
      <c r="E6" s="8" t="inlineStr">
        <is>
          <t>Tell me about yourself...</t>
        </is>
      </c>
      <c r="F6" s="8" t="inlineStr">
        <is>
          <t>Prepare invoice</t>
        </is>
      </c>
    </row>
    <row r="7">
      <c r="A7" s="10" t="inlineStr">
        <is>
          <t>Blue Harbor Ltd</t>
        </is>
      </c>
      <c r="B7" s="9" t="n">
        <v>46201</v>
      </c>
      <c r="C7" s="10" t="inlineStr">
        <is>
          <t>Case Study</t>
        </is>
      </c>
      <c r="D7" s="10" t="inlineStr">
        <is>
          <t>Rejected</t>
        </is>
      </c>
      <c r="E7" s="10" t="inlineStr"/>
      <c r="F7" s="10" t="inlineStr">
        <is>
          <t>Client call</t>
        </is>
      </c>
    </row>
    <row r="8">
      <c r="A8" s="8" t="inlineStr">
        <is>
          <t>Sunrise Media</t>
        </is>
      </c>
      <c r="B8" s="7" t="n">
        <v>46176</v>
      </c>
      <c r="C8" s="8" t="inlineStr">
        <is>
          <t>Final</t>
        </is>
      </c>
      <c r="D8" s="8" t="inlineStr">
        <is>
          <t>Pending</t>
        </is>
      </c>
      <c r="E8" s="8" t="inlineStr">
        <is>
          <t>Tell me about yourself...</t>
        </is>
      </c>
      <c r="F8" s="8" t="inlineStr">
        <is>
          <t>Design first draft</t>
        </is>
      </c>
    </row>
    <row r="9">
      <c r="A9" s="10" t="inlineStr">
        <is>
          <t>UrbanCraft</t>
        </is>
      </c>
      <c r="B9" s="9" t="n">
        <v>46182</v>
      </c>
      <c r="C9" s="10" t="inlineStr">
        <is>
          <t>Phone Screen</t>
        </is>
      </c>
      <c r="D9" s="10" t="inlineStr">
        <is>
          <t>Rescheduled</t>
        </is>
      </c>
      <c r="E9" s="10" t="inlineStr">
        <is>
          <t>Tell me about yourself...</t>
        </is>
      </c>
      <c r="F9" s="10" t="inlineStr">
        <is>
          <t>Fix reported bug</t>
        </is>
      </c>
    </row>
    <row r="10">
      <c r="A10" s="8" t="inlineStr">
        <is>
          <t>PrimeWorks</t>
        </is>
      </c>
      <c r="B10" s="7" t="n">
        <v>46188</v>
      </c>
      <c r="C10" s="8" t="inlineStr">
        <is>
          <t>Video Call</t>
        </is>
      </c>
      <c r="D10" s="8" t="inlineStr">
        <is>
          <t>Passed</t>
        </is>
      </c>
      <c r="E10" s="8" t="inlineStr"/>
      <c r="F10" s="8" t="inlineStr">
        <is>
          <t>Weekly report</t>
        </is>
      </c>
    </row>
    <row r="11">
      <c r="A11" s="10" t="inlineStr">
        <is>
          <t>EchoLab</t>
        </is>
      </c>
      <c r="B11" s="9" t="n">
        <v>46191</v>
      </c>
      <c r="C11" s="10" t="inlineStr">
        <is>
          <t>Technical</t>
        </is>
      </c>
      <c r="D11" s="10" t="inlineStr">
        <is>
          <t>Rejected</t>
        </is>
      </c>
      <c r="E11" s="10" t="inlineStr">
        <is>
          <t>Tell me about yourself...</t>
        </is>
      </c>
      <c r="F11" s="10" t="inlineStr">
        <is>
          <t>Plan next sprint</t>
        </is>
      </c>
    </row>
    <row r="12">
      <c r="A12" s="8" t="inlineStr">
        <is>
          <t>Vertex Group</t>
        </is>
      </c>
      <c r="B12" s="7" t="n">
        <v>46197</v>
      </c>
      <c r="C12" s="8" t="inlineStr">
        <is>
          <t>On-Site</t>
        </is>
      </c>
      <c r="D12" s="8" t="inlineStr">
        <is>
          <t>Pending</t>
        </is>
      </c>
      <c r="E12" s="8" t="inlineStr">
        <is>
          <t>Tell me about yourself...</t>
        </is>
      </c>
      <c r="F12" s="8" t="inlineStr">
        <is>
          <t>Publish blog post</t>
        </is>
      </c>
    </row>
    <row r="13">
      <c r="A13" s="10" t="inlineStr">
        <is>
          <t>ClearPath Inc</t>
        </is>
      </c>
      <c r="B13" s="9" t="n">
        <v>46175</v>
      </c>
      <c r="C13" s="10" t="inlineStr">
        <is>
          <t>Panel</t>
        </is>
      </c>
      <c r="D13" s="10" t="inlineStr">
        <is>
          <t>Rescheduled</t>
        </is>
      </c>
      <c r="E13" s="10" t="inlineStr"/>
      <c r="F13" s="10" t="inlineStr">
        <is>
          <t>Team sync</t>
        </is>
      </c>
    </row>
  </sheetData>
  <dataValidations count="2">
    <dataValidation sqref="C2:C500" showDropDown="0" showInputMessage="0" showErrorMessage="0" allowBlank="1" type="list">
      <formula1>"Phone Screen,Video Call,Technical,On-Site,Panel,Case Study,Final"</formula1>
    </dataValidation>
    <dataValidation sqref="D2:D500" showDropDown="0" showInputMessage="0" showErrorMessage="0" allowBlank="1" type="list">
      <formula1>"Passed,Rejected,Pending,Rescheduled"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8" customWidth="1" min="4" max="4"/>
    <col width="14" customWidth="1" min="5" max="5"/>
    <col width="30" customWidth="1" min="6" max="6"/>
  </cols>
  <sheetData>
    <row r="1">
      <c r="A1" s="6" t="inlineStr">
        <is>
          <t>Name</t>
        </is>
      </c>
      <c r="B1" s="6" t="inlineStr">
        <is>
          <t>Company</t>
        </is>
      </c>
      <c r="C1" s="6" t="inlineStr">
        <is>
          <t>Role</t>
        </is>
      </c>
      <c r="D1" s="6" t="inlineStr">
        <is>
          <t>Connection</t>
        </is>
      </c>
      <c r="E1" s="6" t="inlineStr">
        <is>
          <t>Last Touch</t>
        </is>
      </c>
      <c r="F1" s="6" t="inlineStr">
        <is>
          <t>Notes</t>
        </is>
      </c>
    </row>
    <row r="2">
      <c r="A2" s="8" t="inlineStr">
        <is>
          <t>Alex Martin</t>
        </is>
      </c>
      <c r="B2" s="8" t="inlineStr">
        <is>
          <t>BrightWave Studio</t>
        </is>
      </c>
      <c r="C2" s="8" t="inlineStr">
        <is>
          <t>Engineering Manager</t>
        </is>
      </c>
      <c r="D2" s="8" t="inlineStr">
        <is>
          <t>Recruiter</t>
        </is>
      </c>
      <c r="E2" s="7" t="n">
        <v>46174</v>
      </c>
      <c r="F2" s="8" t="inlineStr"/>
    </row>
    <row r="3">
      <c r="A3" s="10" t="inlineStr">
        <is>
          <t>Sara Lopez</t>
        </is>
      </c>
      <c r="B3" s="10" t="inlineStr">
        <is>
          <t>GreenLeaf Co.</t>
        </is>
      </c>
      <c r="C3" s="10" t="inlineStr">
        <is>
          <t>Engineering Manager</t>
        </is>
      </c>
      <c r="D3" s="10" t="inlineStr">
        <is>
          <t>Referral</t>
        </is>
      </c>
      <c r="E3" s="9" t="n">
        <v>46180</v>
      </c>
      <c r="F3" s="10" t="inlineStr">
        <is>
          <t>Paid</t>
        </is>
      </c>
    </row>
    <row r="4">
      <c r="A4" s="8" t="inlineStr">
        <is>
          <t>Omar Haddad</t>
        </is>
      </c>
      <c r="B4" s="8" t="inlineStr">
        <is>
          <t>Nova Digital</t>
        </is>
      </c>
      <c r="C4" s="8" t="inlineStr"/>
      <c r="D4" s="8" t="inlineStr">
        <is>
          <t>Network</t>
        </is>
      </c>
      <c r="E4" s="7" t="n">
        <v>46186</v>
      </c>
      <c r="F4" s="8" t="inlineStr">
        <is>
          <t>Urgent</t>
        </is>
      </c>
    </row>
    <row r="5">
      <c r="A5" s="10" t="inlineStr">
        <is>
          <t>Emma Fischer</t>
        </is>
      </c>
      <c r="B5" s="10" t="inlineStr">
        <is>
          <t>Atlas Consulting</t>
        </is>
      </c>
      <c r="C5" s="10" t="inlineStr">
        <is>
          <t>Engineering Manager</t>
        </is>
      </c>
      <c r="D5" s="10" t="inlineStr">
        <is>
          <t>Alumni</t>
        </is>
      </c>
      <c r="E5" s="9" t="n">
        <v>46189</v>
      </c>
      <c r="F5" s="10" t="inlineStr">
        <is>
          <t>Follow up Friday</t>
        </is>
      </c>
    </row>
    <row r="6">
      <c r="A6" s="8" t="inlineStr">
        <is>
          <t>Liam Carter</t>
        </is>
      </c>
      <c r="B6" s="8" t="inlineStr">
        <is>
          <t>Pixel &amp; Co</t>
        </is>
      </c>
      <c r="C6" s="8" t="inlineStr">
        <is>
          <t>Engineering Manager</t>
        </is>
      </c>
      <c r="D6" s="8" t="inlineStr">
        <is>
          <t>LinkedIn</t>
        </is>
      </c>
      <c r="E6" s="7" t="n">
        <v>46195</v>
      </c>
      <c r="F6" s="8" t="inlineStr"/>
    </row>
    <row r="7">
      <c r="A7" s="10" t="inlineStr">
        <is>
          <t>Nadia Rahali</t>
        </is>
      </c>
      <c r="B7" s="10" t="inlineStr">
        <is>
          <t>Blue Harbor Ltd</t>
        </is>
      </c>
      <c r="C7" s="10" t="inlineStr"/>
      <c r="D7" s="10" t="inlineStr">
        <is>
          <t>Recruiter</t>
        </is>
      </c>
      <c r="E7" s="9" t="n">
        <v>46201</v>
      </c>
      <c r="F7" s="10" t="inlineStr">
        <is>
          <t>Monthly</t>
        </is>
      </c>
    </row>
    <row r="8">
      <c r="A8" s="8" t="inlineStr">
        <is>
          <t>Tom Becker</t>
        </is>
      </c>
      <c r="B8" s="8" t="inlineStr">
        <is>
          <t>Sunrise Media</t>
        </is>
      </c>
      <c r="C8" s="8" t="inlineStr">
        <is>
          <t>Engineering Manager</t>
        </is>
      </c>
      <c r="D8" s="8" t="inlineStr">
        <is>
          <t>Referral</t>
        </is>
      </c>
      <c r="E8" s="7" t="n">
        <v>46176</v>
      </c>
      <c r="F8" s="8" t="inlineStr">
        <is>
          <t>Confirmed</t>
        </is>
      </c>
    </row>
    <row r="9">
      <c r="A9" s="10" t="inlineStr">
        <is>
          <t>Julia Romero</t>
        </is>
      </c>
      <c r="B9" s="10" t="inlineStr">
        <is>
          <t>UrbanCraft</t>
        </is>
      </c>
      <c r="C9" s="10" t="inlineStr">
        <is>
          <t>Engineering Manager</t>
        </is>
      </c>
      <c r="D9" s="10" t="inlineStr">
        <is>
          <t>Network</t>
        </is>
      </c>
      <c r="E9" s="9" t="n">
        <v>46182</v>
      </c>
      <c r="F9" s="10" t="inlineStr"/>
    </row>
    <row r="10">
      <c r="A10" s="8" t="inlineStr">
        <is>
          <t>Karim Ziani</t>
        </is>
      </c>
      <c r="B10" s="8" t="inlineStr">
        <is>
          <t>PrimeWorks</t>
        </is>
      </c>
      <c r="C10" s="8" t="inlineStr"/>
      <c r="D10" s="8" t="inlineStr">
        <is>
          <t>Alumni</t>
        </is>
      </c>
      <c r="E10" s="7" t="n">
        <v>46188</v>
      </c>
      <c r="F10" s="8" t="inlineStr">
        <is>
          <t>Waiting reply</t>
        </is>
      </c>
    </row>
    <row r="11">
      <c r="A11" s="10" t="inlineStr">
        <is>
          <t>Anna Kowalska</t>
        </is>
      </c>
      <c r="B11" s="10" t="inlineStr">
        <is>
          <t>EchoLab</t>
        </is>
      </c>
      <c r="C11" s="10" t="inlineStr">
        <is>
          <t>Engineering Manager</t>
        </is>
      </c>
      <c r="D11" s="10" t="inlineStr">
        <is>
          <t>LinkedIn</t>
        </is>
      </c>
      <c r="E11" s="9" t="n">
        <v>46191</v>
      </c>
      <c r="F11" s="10" t="inlineStr">
        <is>
          <t>Done early</t>
        </is>
      </c>
    </row>
    <row r="12">
      <c r="A12" s="8" t="inlineStr">
        <is>
          <t>David Chen</t>
        </is>
      </c>
      <c r="B12" s="8" t="inlineStr">
        <is>
          <t>Vertex Group</t>
        </is>
      </c>
      <c r="C12" s="8" t="inlineStr">
        <is>
          <t>Engineering Manager</t>
        </is>
      </c>
      <c r="D12" s="8" t="inlineStr">
        <is>
          <t>Recruiter</t>
        </is>
      </c>
      <c r="E12" s="7" t="n">
        <v>46197</v>
      </c>
      <c r="F12" s="8" t="inlineStr"/>
    </row>
    <row r="13">
      <c r="A13" s="10" t="inlineStr">
        <is>
          <t>Lea Moreau</t>
        </is>
      </c>
      <c r="B13" s="10" t="inlineStr">
        <is>
          <t>ClearPath Inc</t>
        </is>
      </c>
      <c r="C13" s="10" t="inlineStr"/>
      <c r="D13" s="10" t="inlineStr">
        <is>
          <t>Referral</t>
        </is>
      </c>
      <c r="E13" s="9" t="n">
        <v>46175</v>
      </c>
      <c r="F13" s="10" t="inlineStr">
        <is>
          <t>Recheck</t>
        </is>
      </c>
    </row>
  </sheetData>
  <dataValidations count="1">
    <dataValidation sqref="D2:D500" showDropDown="0" showInputMessage="0" showErrorMessage="0" allowBlank="1" type="list">
      <formula1>"Recruiter,Referral,Network,Alumni,LinkedIn"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4" customWidth="1" min="8" max="8"/>
  </cols>
  <sheetData>
    <row r="1">
      <c r="A1" s="6" t="inlineStr">
        <is>
          <t>Company</t>
        </is>
      </c>
      <c r="B1" s="6" t="inlineStr">
        <is>
          <t>Role</t>
        </is>
      </c>
      <c r="C1" s="6" t="inlineStr">
        <is>
          <t>Base $</t>
        </is>
      </c>
      <c r="D1" s="6" t="inlineStr">
        <is>
          <t>Bonus $</t>
        </is>
      </c>
      <c r="E1" s="6" t="inlineStr">
        <is>
          <t>Equity $</t>
        </is>
      </c>
      <c r="F1" s="6" t="inlineStr">
        <is>
          <t>Total $</t>
        </is>
      </c>
      <c r="G1" s="6" t="inlineStr">
        <is>
          <t>Decision</t>
        </is>
      </c>
      <c r="H1" s="6" t="inlineStr">
        <is>
          <t>Deadline</t>
        </is>
      </c>
    </row>
    <row r="2">
      <c r="A2" s="8" t="inlineStr">
        <is>
          <t>BrightWave Studio</t>
        </is>
      </c>
      <c r="B2" s="8" t="inlineStr">
        <is>
          <t>Product Manager</t>
        </is>
      </c>
      <c r="C2" s="8" t="n">
        <v>90000</v>
      </c>
      <c r="D2" s="8" t="n">
        <v>10000</v>
      </c>
      <c r="E2" s="8" t="n">
        <v>20000</v>
      </c>
      <c r="F2" s="8">
        <f>D2+E2+F2</f>
        <v/>
      </c>
      <c r="G2" s="8" t="inlineStr">
        <is>
          <t>Pending</t>
        </is>
      </c>
      <c r="H2" s="7" t="n">
        <v>46174</v>
      </c>
    </row>
    <row r="3">
      <c r="A3" s="10" t="inlineStr">
        <is>
          <t>GreenLeaf Co.</t>
        </is>
      </c>
      <c r="B3" s="10" t="inlineStr">
        <is>
          <t>Product Manager</t>
        </is>
      </c>
      <c r="C3" s="10" t="n">
        <v>63000</v>
      </c>
      <c r="D3" s="10" t="n">
        <v>7000</v>
      </c>
      <c r="E3" s="10" t="n">
        <v>14000</v>
      </c>
      <c r="F3" s="10">
        <f>D3+E3+F3</f>
        <v/>
      </c>
      <c r="G3" s="10" t="inlineStr">
        <is>
          <t>Accepted</t>
        </is>
      </c>
      <c r="H3" s="9" t="n">
        <v>46180</v>
      </c>
    </row>
    <row r="4">
      <c r="A4" s="8" t="inlineStr">
        <is>
          <t>Nova Digital</t>
        </is>
      </c>
      <c r="B4" s="8" t="inlineStr"/>
      <c r="C4" s="8" t="n">
        <v>117000</v>
      </c>
      <c r="D4" s="8" t="n">
        <v>13000</v>
      </c>
      <c r="E4" s="8" t="n">
        <v>26000</v>
      </c>
      <c r="F4" s="8">
        <f>D4+E4+F4</f>
        <v/>
      </c>
      <c r="G4" s="8" t="inlineStr">
        <is>
          <t>Declined</t>
        </is>
      </c>
      <c r="H4" s="7" t="n">
        <v>46186</v>
      </c>
    </row>
    <row r="5">
      <c r="A5" s="10" t="inlineStr">
        <is>
          <t>Atlas Consulting</t>
        </is>
      </c>
      <c r="B5" s="10" t="inlineStr">
        <is>
          <t>Product Manager</t>
        </is>
      </c>
      <c r="C5" s="10" t="n">
        <v>76500</v>
      </c>
      <c r="D5" s="10" t="n">
        <v>8500</v>
      </c>
      <c r="E5" s="10" t="n">
        <v>17000</v>
      </c>
      <c r="F5" s="10">
        <f>D5+E5+F5</f>
        <v/>
      </c>
      <c r="G5" s="10" t="inlineStr">
        <is>
          <t>Negotiating</t>
        </is>
      </c>
      <c r="H5" s="9" t="n">
        <v>46189</v>
      </c>
    </row>
    <row r="6">
      <c r="A6" s="8" t="inlineStr">
        <is>
          <t>Pixel &amp; Co</t>
        </is>
      </c>
      <c r="B6" s="8" t="inlineStr">
        <is>
          <t>Product Manager</t>
        </is>
      </c>
      <c r="C6" s="8" t="n">
        <v>103500</v>
      </c>
      <c r="D6" s="8" t="n">
        <v>11500</v>
      </c>
      <c r="E6" s="8" t="n">
        <v>23000</v>
      </c>
      <c r="F6" s="8">
        <f>D6+E6+F6</f>
        <v/>
      </c>
      <c r="G6" s="8" t="inlineStr">
        <is>
          <t>Pending</t>
        </is>
      </c>
      <c r="H6" s="7" t="n">
        <v>46195</v>
      </c>
    </row>
    <row r="7">
      <c r="A7" s="10" t="inlineStr">
        <is>
          <t>Blue Harbor Ltd</t>
        </is>
      </c>
      <c r="B7" s="10" t="inlineStr"/>
      <c r="C7" s="10" t="n">
        <v>54000</v>
      </c>
      <c r="D7" s="10" t="n">
        <v>6000</v>
      </c>
      <c r="E7" s="10" t="n">
        <v>12000</v>
      </c>
      <c r="F7" s="10">
        <f>D7+E7+F7</f>
        <v/>
      </c>
      <c r="G7" s="10" t="inlineStr">
        <is>
          <t>Accepted</t>
        </is>
      </c>
      <c r="H7" s="9" t="n">
        <v>46201</v>
      </c>
    </row>
    <row r="8">
      <c r="A8" s="8" t="inlineStr">
        <is>
          <t>Sunrise Media</t>
        </is>
      </c>
      <c r="B8" s="8" t="inlineStr">
        <is>
          <t>Product Manager</t>
        </is>
      </c>
      <c r="C8" s="8" t="n">
        <v>130500</v>
      </c>
      <c r="D8" s="8" t="n">
        <v>14500</v>
      </c>
      <c r="E8" s="8" t="n">
        <v>29000</v>
      </c>
      <c r="F8" s="8">
        <f>D8+E8+F8</f>
        <v/>
      </c>
      <c r="G8" s="8" t="inlineStr">
        <is>
          <t>Declined</t>
        </is>
      </c>
      <c r="H8" s="7" t="n">
        <v>46176</v>
      </c>
    </row>
    <row r="9">
      <c r="A9" s="10" t="inlineStr">
        <is>
          <t>UrbanCraft</t>
        </is>
      </c>
      <c r="B9" s="10" t="inlineStr">
        <is>
          <t>Product Manager</t>
        </is>
      </c>
      <c r="C9" s="10" t="n">
        <v>85500</v>
      </c>
      <c r="D9" s="10" t="n">
        <v>9500</v>
      </c>
      <c r="E9" s="10" t="n">
        <v>19000</v>
      </c>
      <c r="F9" s="10">
        <f>D9+E9+F9</f>
        <v/>
      </c>
      <c r="G9" s="10" t="inlineStr">
        <is>
          <t>Negotiating</t>
        </is>
      </c>
      <c r="H9" s="9" t="n">
        <v>46182</v>
      </c>
    </row>
    <row r="10">
      <c r="A10" s="8" t="inlineStr">
        <is>
          <t>PrimeWorks</t>
        </is>
      </c>
      <c r="B10" s="8" t="inlineStr"/>
      <c r="C10" s="8" t="n">
        <v>112500</v>
      </c>
      <c r="D10" s="8" t="n">
        <v>12500</v>
      </c>
      <c r="E10" s="8" t="n">
        <v>25000</v>
      </c>
      <c r="F10" s="8">
        <f>D10+E10+F10</f>
        <v/>
      </c>
      <c r="G10" s="8" t="inlineStr">
        <is>
          <t>Pending</t>
        </is>
      </c>
      <c r="H10" s="7" t="n">
        <v>46188</v>
      </c>
    </row>
    <row r="11">
      <c r="A11" s="10" t="inlineStr">
        <is>
          <t>EchoLab</t>
        </is>
      </c>
      <c r="B11" s="10" t="inlineStr">
        <is>
          <t>Product Manager</t>
        </is>
      </c>
      <c r="C11" s="10" t="n">
        <v>72000</v>
      </c>
      <c r="D11" s="10" t="n">
        <v>8000</v>
      </c>
      <c r="E11" s="10" t="n">
        <v>16000</v>
      </c>
      <c r="F11" s="10">
        <f>D11+E11+F11</f>
        <v/>
      </c>
      <c r="G11" s="10" t="inlineStr">
        <is>
          <t>Accepted</t>
        </is>
      </c>
      <c r="H11" s="9" t="n">
        <v>46191</v>
      </c>
    </row>
    <row r="12">
      <c r="A12" s="8" t="inlineStr">
        <is>
          <t>Vertex Group</t>
        </is>
      </c>
      <c r="B12" s="8" t="inlineStr">
        <is>
          <t>Product Manager</t>
        </is>
      </c>
      <c r="C12" s="8" t="n">
        <v>99000</v>
      </c>
      <c r="D12" s="8" t="n">
        <v>11000</v>
      </c>
      <c r="E12" s="8" t="n">
        <v>22000</v>
      </c>
      <c r="F12" s="8">
        <f>D12+E12+F12</f>
        <v/>
      </c>
      <c r="G12" s="8" t="inlineStr">
        <is>
          <t>Declined</t>
        </is>
      </c>
      <c r="H12" s="7" t="n">
        <v>46197</v>
      </c>
    </row>
    <row r="13">
      <c r="A13" s="10" t="inlineStr">
        <is>
          <t>ClearPath Inc</t>
        </is>
      </c>
      <c r="B13" s="10" t="inlineStr"/>
      <c r="C13" s="10" t="n">
        <v>67500</v>
      </c>
      <c r="D13" s="10" t="n">
        <v>7500</v>
      </c>
      <c r="E13" s="10" t="n">
        <v>15000</v>
      </c>
      <c r="F13" s="10">
        <f>D13+E13+F13</f>
        <v/>
      </c>
      <c r="G13" s="10" t="inlineStr">
        <is>
          <t>Negotiating</t>
        </is>
      </c>
      <c r="H13" s="9" t="n">
        <v>46175</v>
      </c>
    </row>
  </sheetData>
  <dataValidations count="1">
    <dataValidation sqref="G2:G500" showDropDown="0" showInputMessage="0" showErrorMessage="0" allowBlank="1" type="list">
      <formula1>"Pending,Accepted,Declined,Negotiating"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0" customWidth="1" min="4" max="4"/>
    <col width="28" customWidth="1" min="5" max="5"/>
  </cols>
  <sheetData>
    <row r="1">
      <c r="A1" s="6" t="inlineStr">
        <is>
          <t>Company</t>
        </is>
      </c>
      <c r="B1" s="6" t="inlineStr">
        <is>
          <t>Action</t>
        </is>
      </c>
      <c r="C1" s="6" t="inlineStr">
        <is>
          <t>Due Date</t>
        </is>
      </c>
      <c r="D1" s="6" t="inlineStr">
        <is>
          <t>Done</t>
        </is>
      </c>
      <c r="E1" s="6" t="inlineStr">
        <is>
          <t>Notes</t>
        </is>
      </c>
    </row>
    <row r="2">
      <c r="A2" s="8" t="inlineStr">
        <is>
          <t>BrightWave Studio</t>
        </is>
      </c>
      <c r="B2" s="8" t="inlineStr">
        <is>
          <t>Kickoff meeting</t>
        </is>
      </c>
      <c r="C2" s="7" t="n">
        <v>46174</v>
      </c>
      <c r="D2" s="8" t="inlineStr">
        <is>
          <t>Yes</t>
        </is>
      </c>
      <c r="E2" s="8" t="inlineStr"/>
    </row>
    <row r="3">
      <c r="A3" s="10" t="inlineStr">
        <is>
          <t>GreenLeaf Co.</t>
        </is>
      </c>
      <c r="B3" s="10" t="inlineStr">
        <is>
          <t>Send proposal</t>
        </is>
      </c>
      <c r="C3" s="9" t="n">
        <v>46180</v>
      </c>
      <c r="D3" s="10" t="inlineStr">
        <is>
          <t>No</t>
        </is>
      </c>
      <c r="E3" s="10" t="inlineStr">
        <is>
          <t>Paid</t>
        </is>
      </c>
    </row>
    <row r="4">
      <c r="A4" s="8" t="inlineStr">
        <is>
          <t>Nova Digital</t>
        </is>
      </c>
      <c r="B4" s="8" t="inlineStr">
        <is>
          <t>Review feedback</t>
        </is>
      </c>
      <c r="C4" s="7" t="n">
        <v>46186</v>
      </c>
      <c r="D4" s="8" t="inlineStr">
        <is>
          <t>Yes</t>
        </is>
      </c>
      <c r="E4" s="8" t="inlineStr">
        <is>
          <t>Urgent</t>
        </is>
      </c>
    </row>
    <row r="5">
      <c r="A5" s="10" t="inlineStr">
        <is>
          <t>Atlas Consulting</t>
        </is>
      </c>
      <c r="B5" s="10" t="inlineStr">
        <is>
          <t>Update website copy</t>
        </is>
      </c>
      <c r="C5" s="9" t="n">
        <v>46189</v>
      </c>
      <c r="D5" s="10" t="inlineStr">
        <is>
          <t>No</t>
        </is>
      </c>
      <c r="E5" s="10" t="inlineStr">
        <is>
          <t>Follow up Friday</t>
        </is>
      </c>
    </row>
    <row r="6">
      <c r="A6" s="8" t="inlineStr">
        <is>
          <t>Pixel &amp; Co</t>
        </is>
      </c>
      <c r="B6" s="8" t="inlineStr">
        <is>
          <t>Prepare invoice</t>
        </is>
      </c>
      <c r="C6" s="7" t="n">
        <v>46195</v>
      </c>
      <c r="D6" s="8" t="inlineStr">
        <is>
          <t>Yes</t>
        </is>
      </c>
      <c r="E6" s="8" t="inlineStr"/>
    </row>
    <row r="7">
      <c r="A7" s="10" t="inlineStr">
        <is>
          <t>Blue Harbor Ltd</t>
        </is>
      </c>
      <c r="B7" s="10" t="inlineStr">
        <is>
          <t>Client call</t>
        </is>
      </c>
      <c r="C7" s="9" t="n">
        <v>46201</v>
      </c>
      <c r="D7" s="10" t="inlineStr">
        <is>
          <t>No</t>
        </is>
      </c>
      <c r="E7" s="10" t="inlineStr">
        <is>
          <t>Monthly</t>
        </is>
      </c>
    </row>
    <row r="8">
      <c r="A8" s="8" t="inlineStr">
        <is>
          <t>Sunrise Media</t>
        </is>
      </c>
      <c r="B8" s="8" t="inlineStr">
        <is>
          <t>Design first draft</t>
        </is>
      </c>
      <c r="C8" s="7" t="n">
        <v>46176</v>
      </c>
      <c r="D8" s="8" t="inlineStr">
        <is>
          <t>Yes</t>
        </is>
      </c>
      <c r="E8" s="8" t="inlineStr">
        <is>
          <t>Confirmed</t>
        </is>
      </c>
    </row>
    <row r="9">
      <c r="A9" s="10" t="inlineStr">
        <is>
          <t>UrbanCraft</t>
        </is>
      </c>
      <c r="B9" s="10" t="inlineStr">
        <is>
          <t>Fix reported bug</t>
        </is>
      </c>
      <c r="C9" s="9" t="n">
        <v>46182</v>
      </c>
      <c r="D9" s="10" t="inlineStr">
        <is>
          <t>No</t>
        </is>
      </c>
      <c r="E9" s="10" t="inlineStr"/>
    </row>
    <row r="10">
      <c r="A10" s="8" t="inlineStr">
        <is>
          <t>PrimeWorks</t>
        </is>
      </c>
      <c r="B10" s="8" t="inlineStr">
        <is>
          <t>Weekly report</t>
        </is>
      </c>
      <c r="C10" s="7" t="n">
        <v>46188</v>
      </c>
      <c r="D10" s="8" t="inlineStr">
        <is>
          <t>Yes</t>
        </is>
      </c>
      <c r="E10" s="8" t="inlineStr">
        <is>
          <t>Waiting reply</t>
        </is>
      </c>
    </row>
    <row r="11">
      <c r="A11" s="10" t="inlineStr">
        <is>
          <t>EchoLab</t>
        </is>
      </c>
      <c r="B11" s="10" t="inlineStr">
        <is>
          <t>Plan next sprint</t>
        </is>
      </c>
      <c r="C11" s="9" t="n">
        <v>46191</v>
      </c>
      <c r="D11" s="10" t="inlineStr">
        <is>
          <t>No</t>
        </is>
      </c>
      <c r="E11" s="10" t="inlineStr">
        <is>
          <t>Done early</t>
        </is>
      </c>
    </row>
    <row r="12">
      <c r="A12" s="8" t="inlineStr">
        <is>
          <t>Vertex Group</t>
        </is>
      </c>
      <c r="B12" s="8" t="inlineStr">
        <is>
          <t>Publish blog post</t>
        </is>
      </c>
      <c r="C12" s="7" t="n">
        <v>46197</v>
      </c>
      <c r="D12" s="8" t="inlineStr">
        <is>
          <t>Yes</t>
        </is>
      </c>
      <c r="E12" s="8" t="inlineStr"/>
    </row>
    <row r="13">
      <c r="A13" s="10" t="inlineStr">
        <is>
          <t>ClearPath Inc</t>
        </is>
      </c>
      <c r="B13" s="10" t="inlineStr">
        <is>
          <t>Team sync</t>
        </is>
      </c>
      <c r="C13" s="9" t="n">
        <v>46175</v>
      </c>
      <c r="D13" s="10" t="inlineStr">
        <is>
          <t>No</t>
        </is>
      </c>
      <c r="E13" s="10" t="inlineStr">
        <is>
          <t>Recheck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