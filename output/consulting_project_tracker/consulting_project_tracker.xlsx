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TART HERE" sheetId="1" state="visible" r:id="rId1"/>
    <sheet name="Projects" sheetId="2" state="visible" r:id="rId2"/>
    <sheet name="Dashboard" sheetId="3" state="visible" r:id="rId3"/>
    <sheet name="Deliverables" sheetId="4" state="visible" r:id="rId4"/>
    <sheet name="Time" sheetId="5" state="visible" r:id="rId5"/>
    <sheet name="Invoice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&quot;€&quot;#,##0.00"/>
  </numFmts>
  <fonts count="12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color rgb="00222222"/>
      <sz val="10"/>
    </font>
    <font>
      <name val="Arial"/>
      <b val="1"/>
      <color rgb="00FFFFFF"/>
      <sz val="15"/>
    </font>
    <font>
      <name val="Arial"/>
      <b val="1"/>
      <color rgb="00FFFFFF"/>
      <sz val="16"/>
    </font>
    <font>
      <name val="Arial"/>
      <b val="1"/>
      <color rgb="001E3A5F"/>
      <sz val="12"/>
    </font>
    <font>
      <name val="Arial"/>
      <color rgb="00444444"/>
      <sz val="10"/>
    </font>
    <font>
      <name val="Arial"/>
      <i val="1"/>
      <color rgb="00777777"/>
      <sz val="10"/>
    </font>
    <font>
      <name val="Arial"/>
      <b val="1"/>
      <color rgb="00FFFFFF"/>
      <sz val="20"/>
    </font>
    <font>
      <name val="Arial"/>
      <color rgb="00DDDDDD"/>
      <sz val="11"/>
    </font>
    <font>
      <name val="Arial"/>
      <b val="1"/>
      <color rgb="001D4ED8"/>
      <sz val="12"/>
    </font>
    <font>
      <name val="Arial"/>
      <color rgb="00333333"/>
      <sz val="11"/>
    </font>
  </fonts>
  <fills count="7">
    <fill>
      <patternFill/>
    </fill>
    <fill>
      <patternFill patternType="gray125"/>
    </fill>
    <fill>
      <patternFill patternType="solid">
        <fgColor rgb="001E3A5F"/>
      </patternFill>
    </fill>
    <fill>
      <patternFill patternType="solid">
        <fgColor rgb="00FFF7F0"/>
      </patternFill>
    </fill>
    <fill>
      <patternFill patternType="solid">
        <fgColor rgb="001D4ED8"/>
      </patternFill>
    </fill>
    <fill>
      <patternFill patternType="solid">
        <fgColor rgb="00059669"/>
      </patternFill>
    </fill>
    <fill>
      <patternFill patternType="solid">
        <fgColor rgb="006366F1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8" fillId="2" borderId="0" applyAlignment="1" pivotButton="0" quotePrefix="0" xfId="0">
      <alignment horizontal="center" vertical="center"/>
    </xf>
    <xf numFmtId="0" fontId="9" fillId="2" borderId="0" applyAlignment="1" pivotButton="0" quotePrefix="0" xfId="0">
      <alignment horizontal="center" vertical="center"/>
    </xf>
    <xf numFmtId="0" fontId="10" fillId="0" borderId="0" pivotButton="0" quotePrefix="0" xfId="0"/>
    <xf numFmtId="0" fontId="11" fillId="0" borderId="0" applyAlignment="1" pivotButton="0" quotePrefix="0" xfId="0">
      <alignment horizontal="left" vertical="center" wrapText="1"/>
    </xf>
    <xf numFmtId="0" fontId="7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pivotButton="0" quotePrefix="0" xfId="0"/>
    <xf numFmtId="164" fontId="2" fillId="3" borderId="1" pivotButton="0" quotePrefix="0" xfId="0"/>
    <xf numFmtId="165" fontId="2" fillId="3" borderId="1" pivotButton="0" quotePrefix="0" xfId="0"/>
    <xf numFmtId="0" fontId="2" fillId="0" borderId="1" pivotButton="0" quotePrefix="0" xfId="0"/>
    <xf numFmtId="164" fontId="2" fillId="0" borderId="1" pivotButton="0" quotePrefix="0" xfId="0"/>
    <xf numFmtId="165" fontId="2" fillId="0" borderId="1" pivotButton="0" quotePrefix="0" xfId="0"/>
    <xf numFmtId="0" fontId="3" fillId="2" borderId="0" applyAlignment="1" pivotButton="0" quotePrefix="0" xfId="0">
      <alignment horizontal="center" vertical="center"/>
    </xf>
    <xf numFmtId="0" fontId="1" fillId="4" borderId="0" applyAlignment="1" pivotButton="0" quotePrefix="0" xfId="0">
      <alignment horizontal="center" vertical="center"/>
    </xf>
    <xf numFmtId="0" fontId="1" fillId="5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/>
    </xf>
    <xf numFmtId="0" fontId="1" fillId="6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4" fillId="6" borderId="0" applyAlignment="1" pivotButton="0" quotePrefix="0" xfId="0">
      <alignment horizontal="center" vertical="center"/>
    </xf>
    <xf numFmtId="0" fontId="5" fillId="0" borderId="0" pivotButton="0" quotePrefix="0" xfId="0"/>
    <xf numFmtId="0" fontId="6" fillId="0" borderId="0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F26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16" customWidth="1" min="2" max="2"/>
    <col width="30" customWidth="1" min="3" max="3"/>
    <col width="30" customWidth="1" min="4" max="4"/>
    <col width="30" customWidth="1" min="5" max="5"/>
    <col width="16" customWidth="1" min="6" max="6"/>
  </cols>
  <sheetData>
    <row r="2">
      <c r="B2" s="1" t="inlineStr">
        <is>
          <t>🧠  CONSULTING PROJECT TRACKER</t>
        </is>
      </c>
    </row>
    <row r="3"/>
    <row r="4">
      <c r="B4" s="2" t="inlineStr">
        <is>
          <t>Client Projects, Deliverables &amp; Billing Google Sheets</t>
        </is>
      </c>
    </row>
    <row r="6">
      <c r="B6" s="3" t="inlineStr">
        <is>
          <t>STEP 1 — Fill in “Projects”</t>
        </is>
      </c>
    </row>
    <row r="7" ht="28" customHeight="1">
      <c r="B7" s="4" t="inlineStr">
        <is>
          <t>All consulting projects with scope, timeline, and status.</t>
        </is>
      </c>
    </row>
    <row r="9">
      <c r="B9" s="3" t="inlineStr">
        <is>
          <t>STEP 2 — Fill in “Deliverables”</t>
        </is>
      </c>
    </row>
    <row r="10" ht="28" customHeight="1">
      <c r="B10" s="4" t="inlineStr">
        <is>
          <t>All project deliverables with due dates and approval status.</t>
        </is>
      </c>
    </row>
    <row r="12">
      <c r="B12" s="3" t="inlineStr">
        <is>
          <t>STEP 3 — Fill in “Time”</t>
        </is>
      </c>
    </row>
    <row r="13" ht="28" customHeight="1">
      <c r="B13" s="4" t="inlineStr">
        <is>
          <t>Billable time log per project and activity.</t>
        </is>
      </c>
    </row>
    <row r="15">
      <c r="B15" s="3" t="inlineStr">
        <is>
          <t>STEP 4 — Fill in “Invoices”</t>
        </is>
      </c>
    </row>
    <row r="16" ht="28" customHeight="1">
      <c r="B16" s="4" t="inlineStr">
        <is>
          <t>Project invoices with payment milestones and status.</t>
        </is>
      </c>
    </row>
    <row r="18">
      <c r="B18" s="3" t="inlineStr">
        <is>
          <t>Then open the Dashboard — everything calculates automatically.</t>
        </is>
      </c>
    </row>
    <row r="20">
      <c r="B20" s="5" t="inlineStr">
        <is>
          <t>TIP: Delete the sample rows once you've seen how it works.</t>
        </is>
      </c>
    </row>
    <row r="22">
      <c r="B22" s="5" t="inlineStr">
        <is>
          <t>TIP: On Google Sheets? File → Make a copy first, then edit your copy.</t>
        </is>
      </c>
    </row>
    <row r="24">
      <c r="B24" s="5" t="inlineStr">
        <is>
          <t>TIP: Columns with dropdowns keep your data clean — use them.</t>
        </is>
      </c>
    </row>
    <row r="26">
      <c r="B26" s="5" t="inlineStr">
        <is>
          <t>Need help? Message NasriTools on Etsy — I reply fast. 🧡</t>
        </is>
      </c>
    </row>
  </sheetData>
  <mergeCells count="15">
    <mergeCell ref="B4:F4"/>
    <mergeCell ref="B12:F12"/>
    <mergeCell ref="B7:F7"/>
    <mergeCell ref="B6:F6"/>
    <mergeCell ref="B24:F24"/>
    <mergeCell ref="B16:F16"/>
    <mergeCell ref="B20:F20"/>
    <mergeCell ref="B15:F15"/>
    <mergeCell ref="B2:F3"/>
    <mergeCell ref="B10:F10"/>
    <mergeCell ref="B18:F18"/>
    <mergeCell ref="B22:F22"/>
    <mergeCell ref="B26:F26"/>
    <mergeCell ref="B9:F9"/>
    <mergeCell ref="B13:F1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3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4" customWidth="1" min="2" max="2"/>
    <col width="14" customWidth="1" min="3" max="3"/>
    <col width="14" customWidth="1" min="4" max="4"/>
    <col width="18" customWidth="1" min="5" max="5"/>
    <col width="18" customWidth="1" min="6" max="6"/>
    <col width="18" customWidth="1" min="7" max="7"/>
  </cols>
  <sheetData>
    <row r="1">
      <c r="A1" s="6" t="inlineStr">
        <is>
          <t>Project Name</t>
        </is>
      </c>
      <c r="B1" s="6" t="inlineStr">
        <is>
          <t>Client</t>
        </is>
      </c>
      <c r="C1" s="6" t="inlineStr">
        <is>
          <t>Start Date</t>
        </is>
      </c>
      <c r="D1" s="6" t="inlineStr">
        <is>
          <t>End Date</t>
        </is>
      </c>
      <c r="E1" s="6" t="inlineStr">
        <is>
          <t>Contract Value $</t>
        </is>
      </c>
      <c r="F1" s="6" t="inlineStr">
        <is>
          <t>Status</t>
        </is>
      </c>
      <c r="G1" s="6" t="inlineStr">
        <is>
          <t>Type</t>
        </is>
      </c>
    </row>
    <row r="2">
      <c r="A2" s="7" t="inlineStr">
        <is>
          <t>Alex Martin</t>
        </is>
      </c>
      <c r="B2" s="7" t="inlineStr">
        <is>
          <t>Alex Martin</t>
        </is>
      </c>
      <c r="C2" s="8" t="n">
        <v>46174</v>
      </c>
      <c r="D2" s="8" t="n">
        <v>46174</v>
      </c>
      <c r="E2" s="9" t="n">
        <v>45000</v>
      </c>
      <c r="F2" s="7" t="inlineStr">
        <is>
          <t>Proposal</t>
        </is>
      </c>
      <c r="G2" s="7" t="inlineStr">
        <is>
          <t>Fixed Fee</t>
        </is>
      </c>
    </row>
    <row r="3">
      <c r="A3" s="10" t="inlineStr">
        <is>
          <t>Sara Lopez</t>
        </is>
      </c>
      <c r="B3" s="10" t="inlineStr">
        <is>
          <t>Sara Lopez</t>
        </is>
      </c>
      <c r="C3" s="11" t="n">
        <v>46180</v>
      </c>
      <c r="D3" s="11" t="n">
        <v>46180</v>
      </c>
      <c r="E3" s="12" t="n">
        <v>31500</v>
      </c>
      <c r="F3" s="10" t="inlineStr">
        <is>
          <t>Active</t>
        </is>
      </c>
      <c r="G3" s="10" t="inlineStr">
        <is>
          <t>T&amp;M</t>
        </is>
      </c>
    </row>
    <row r="4">
      <c r="A4" s="7" t="inlineStr">
        <is>
          <t>Omar Haddad</t>
        </is>
      </c>
      <c r="B4" s="7" t="inlineStr">
        <is>
          <t>Omar Haddad</t>
        </is>
      </c>
      <c r="C4" s="8" t="n">
        <v>46186</v>
      </c>
      <c r="D4" s="8" t="n">
        <v>46186</v>
      </c>
      <c r="E4" s="9" t="n">
        <v>58500</v>
      </c>
      <c r="F4" s="7" t="inlineStr">
        <is>
          <t>On Hold</t>
        </is>
      </c>
      <c r="G4" s="7" t="inlineStr">
        <is>
          <t>Retainer</t>
        </is>
      </c>
    </row>
    <row r="5">
      <c r="A5" s="10" t="inlineStr">
        <is>
          <t>Emma Fischer</t>
        </is>
      </c>
      <c r="B5" s="10" t="inlineStr">
        <is>
          <t>Emma Fischer</t>
        </is>
      </c>
      <c r="C5" s="11" t="n">
        <v>46189</v>
      </c>
      <c r="D5" s="11" t="n">
        <v>46189</v>
      </c>
      <c r="E5" s="12" t="n">
        <v>38250</v>
      </c>
      <c r="F5" s="10" t="inlineStr">
        <is>
          <t>Completed</t>
        </is>
      </c>
      <c r="G5" s="10" t="inlineStr">
        <is>
          <t>Advisory</t>
        </is>
      </c>
    </row>
    <row r="6">
      <c r="A6" s="7" t="inlineStr">
        <is>
          <t>Liam Carter</t>
        </is>
      </c>
      <c r="B6" s="7" t="inlineStr">
        <is>
          <t>Liam Carter</t>
        </is>
      </c>
      <c r="C6" s="8" t="n">
        <v>46195</v>
      </c>
      <c r="D6" s="8" t="n">
        <v>46195</v>
      </c>
      <c r="E6" s="9" t="n">
        <v>51750</v>
      </c>
      <c r="F6" s="7" t="inlineStr">
        <is>
          <t>Cancelled</t>
        </is>
      </c>
      <c r="G6" s="7" t="inlineStr">
        <is>
          <t>Fixed Fee</t>
        </is>
      </c>
    </row>
    <row r="7">
      <c r="A7" s="10" t="inlineStr">
        <is>
          <t>Nadia Rahali</t>
        </is>
      </c>
      <c r="B7" s="10" t="inlineStr">
        <is>
          <t>Nadia Rahali</t>
        </is>
      </c>
      <c r="C7" s="11" t="n">
        <v>46201</v>
      </c>
      <c r="D7" s="11" t="n">
        <v>46201</v>
      </c>
      <c r="E7" s="12" t="n">
        <v>27000</v>
      </c>
      <c r="F7" s="10" t="inlineStr">
        <is>
          <t>Proposal</t>
        </is>
      </c>
      <c r="G7" s="10" t="inlineStr">
        <is>
          <t>T&amp;M</t>
        </is>
      </c>
    </row>
    <row r="8">
      <c r="A8" s="7" t="inlineStr">
        <is>
          <t>Tom Becker</t>
        </is>
      </c>
      <c r="B8" s="7" t="inlineStr">
        <is>
          <t>Tom Becker</t>
        </is>
      </c>
      <c r="C8" s="8" t="n">
        <v>46176</v>
      </c>
      <c r="D8" s="8" t="n">
        <v>46176</v>
      </c>
      <c r="E8" s="9" t="n">
        <v>65250</v>
      </c>
      <c r="F8" s="7" t="inlineStr">
        <is>
          <t>Active</t>
        </is>
      </c>
      <c r="G8" s="7" t="inlineStr">
        <is>
          <t>Retainer</t>
        </is>
      </c>
    </row>
    <row r="9">
      <c r="A9" s="10" t="inlineStr">
        <is>
          <t>Julia Romero</t>
        </is>
      </c>
      <c r="B9" s="10" t="inlineStr">
        <is>
          <t>Julia Romero</t>
        </is>
      </c>
      <c r="C9" s="11" t="n">
        <v>46182</v>
      </c>
      <c r="D9" s="11" t="n">
        <v>46182</v>
      </c>
      <c r="E9" s="12" t="n">
        <v>42750</v>
      </c>
      <c r="F9" s="10" t="inlineStr">
        <is>
          <t>On Hold</t>
        </is>
      </c>
      <c r="G9" s="10" t="inlineStr">
        <is>
          <t>Advisory</t>
        </is>
      </c>
    </row>
    <row r="10">
      <c r="A10" s="7" t="inlineStr">
        <is>
          <t>Karim Ziani</t>
        </is>
      </c>
      <c r="B10" s="7" t="inlineStr">
        <is>
          <t>Karim Ziani</t>
        </is>
      </c>
      <c r="C10" s="8" t="n">
        <v>46188</v>
      </c>
      <c r="D10" s="8" t="n">
        <v>46188</v>
      </c>
      <c r="E10" s="9" t="n">
        <v>56250</v>
      </c>
      <c r="F10" s="7" t="inlineStr">
        <is>
          <t>Completed</t>
        </is>
      </c>
      <c r="G10" s="7" t="inlineStr">
        <is>
          <t>Fixed Fee</t>
        </is>
      </c>
    </row>
    <row r="11">
      <c r="A11" s="10" t="inlineStr">
        <is>
          <t>Anna Kowalska</t>
        </is>
      </c>
      <c r="B11" s="10" t="inlineStr">
        <is>
          <t>Anna Kowalska</t>
        </is>
      </c>
      <c r="C11" s="11" t="n">
        <v>46191</v>
      </c>
      <c r="D11" s="11" t="n">
        <v>46191</v>
      </c>
      <c r="E11" s="12" t="n">
        <v>36000</v>
      </c>
      <c r="F11" s="10" t="inlineStr">
        <is>
          <t>Cancelled</t>
        </is>
      </c>
      <c r="G11" s="10" t="inlineStr">
        <is>
          <t>T&amp;M</t>
        </is>
      </c>
    </row>
    <row r="12">
      <c r="A12" s="7" t="inlineStr">
        <is>
          <t>David Chen</t>
        </is>
      </c>
      <c r="B12" s="7" t="inlineStr">
        <is>
          <t>David Chen</t>
        </is>
      </c>
      <c r="C12" s="8" t="n">
        <v>46197</v>
      </c>
      <c r="D12" s="8" t="n">
        <v>46197</v>
      </c>
      <c r="E12" s="9" t="n">
        <v>49500</v>
      </c>
      <c r="F12" s="7" t="inlineStr">
        <is>
          <t>Proposal</t>
        </is>
      </c>
      <c r="G12" s="7" t="inlineStr">
        <is>
          <t>Retainer</t>
        </is>
      </c>
    </row>
    <row r="13">
      <c r="A13" s="10" t="inlineStr">
        <is>
          <t>Lea Moreau</t>
        </is>
      </c>
      <c r="B13" s="10" t="inlineStr">
        <is>
          <t>Lea Moreau</t>
        </is>
      </c>
      <c r="C13" s="11" t="n">
        <v>46175</v>
      </c>
      <c r="D13" s="11" t="n">
        <v>46175</v>
      </c>
      <c r="E13" s="12" t="n">
        <v>33750</v>
      </c>
      <c r="F13" s="10" t="inlineStr">
        <is>
          <t>Active</t>
        </is>
      </c>
      <c r="G13" s="10" t="inlineStr">
        <is>
          <t>Advisory</t>
        </is>
      </c>
    </row>
  </sheetData>
  <dataValidations count="2">
    <dataValidation sqref="F2:F500" showDropDown="0" showInputMessage="0" showErrorMessage="0" allowBlank="1" type="list">
      <formula1>"Proposal,Active,On Hold,Completed,Cancelled"</formula1>
    </dataValidation>
    <dataValidation sqref="G2:G500" showDropDown="0" showInputMessage="0" showErrorMessage="0" allowBlank="1" type="list">
      <formula1>"Fixed Fee,T&amp;M,Retainer,Advisory"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I14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</cols>
  <sheetData>
    <row r="2" ht="28" customHeight="1">
      <c r="B2" s="13" t="inlineStr">
        <is>
          <t>📊  CONSULTING PROJECT TRACKER — DASHBOARD</t>
        </is>
      </c>
    </row>
    <row r="4">
      <c r="B4" s="14" t="inlineStr">
        <is>
          <t>ACTIVE PROJECTS</t>
        </is>
      </c>
      <c r="D4" s="15" t="inlineStr">
        <is>
          <t>BILLABLE HOURS</t>
        </is>
      </c>
      <c r="F4" s="16" t="inlineStr">
        <is>
          <t>TOTAL REVENUE $</t>
        </is>
      </c>
      <c r="H4" s="17" t="inlineStr">
        <is>
          <t>UTILIZATION RATE</t>
        </is>
      </c>
    </row>
    <row r="5" ht="26" customHeight="1">
      <c r="B5" s="18">
        <f>COUNTIF(Projects!F:F,"Active")</f>
        <v/>
      </c>
      <c r="D5" s="19">
        <f>SUM(Time!C:C)</f>
        <v/>
      </c>
      <c r="F5" s="20">
        <f>SUM(Invoices!D:D)</f>
        <v/>
      </c>
      <c r="H5" s="21">
        <f>TEXT(SUM(Time!C:C)/160,"0%")</f>
        <v/>
      </c>
    </row>
    <row r="8">
      <c r="B8" s="22" t="inlineStr">
        <is>
          <t>WHAT'S INSIDE</t>
        </is>
      </c>
    </row>
    <row r="9">
      <c r="B9" s="23" t="inlineStr">
        <is>
          <t>📋  Projects — All consulting projects with scope, timeline, and status.</t>
        </is>
      </c>
    </row>
    <row r="10">
      <c r="B10" s="23" t="inlineStr">
        <is>
          <t>📦  Deliverables — All project deliverables with due dates and approval status.</t>
        </is>
      </c>
    </row>
    <row r="11">
      <c r="B11" s="23" t="inlineStr">
        <is>
          <t>⏰  Time — Billable time log per project and activity.</t>
        </is>
      </c>
    </row>
    <row r="12">
      <c r="B12" s="23" t="inlineStr">
        <is>
          <t>🧾  Invoices — Project invoices with payment milestones and status.</t>
        </is>
      </c>
    </row>
    <row r="14">
      <c r="B14" s="5" t="inlineStr">
        <is>
          <t>Numbers update automatically as you fill the other tabs. Start with sample data deleted.</t>
        </is>
      </c>
    </row>
  </sheetData>
  <mergeCells count="14">
    <mergeCell ref="B9:I9"/>
    <mergeCell ref="F4:G4"/>
    <mergeCell ref="B12:I12"/>
    <mergeCell ref="B11:I11"/>
    <mergeCell ref="B5:C5"/>
    <mergeCell ref="B2:I2"/>
    <mergeCell ref="F5:G5"/>
    <mergeCell ref="D5:E5"/>
    <mergeCell ref="B10:I10"/>
    <mergeCell ref="H5:I5"/>
    <mergeCell ref="D4:E4"/>
    <mergeCell ref="B14:I14"/>
    <mergeCell ref="H4:I4"/>
    <mergeCell ref="B4:C4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3"/>
  <sheetViews>
    <sheetView showGridLines="0" workbookViewId="0">
      <selection activeCell="A1" sqref="A1"/>
    </sheetView>
  </sheetViews>
  <sheetFormatPr baseColWidth="8" defaultRowHeight="15"/>
  <cols>
    <col width="32" customWidth="1" min="1" max="1"/>
    <col width="26" customWidth="1" min="2" max="2"/>
    <col width="14" customWidth="1" min="3" max="3"/>
    <col width="18" customWidth="1" min="4" max="4"/>
    <col width="20" customWidth="1" min="5" max="5"/>
  </cols>
  <sheetData>
    <row r="1">
      <c r="A1" s="6" t="inlineStr">
        <is>
          <t>Deliverable</t>
        </is>
      </c>
      <c r="B1" s="6" t="inlineStr">
        <is>
          <t>Project</t>
        </is>
      </c>
      <c r="C1" s="6" t="inlineStr">
        <is>
          <t>Due Date</t>
        </is>
      </c>
      <c r="D1" s="6" t="inlineStr">
        <is>
          <t>Owner</t>
        </is>
      </c>
      <c r="E1" s="6" t="inlineStr">
        <is>
          <t>Status</t>
        </is>
      </c>
    </row>
    <row r="2">
      <c r="A2" s="7" t="inlineStr">
        <is>
          <t>Current State Assessment Report</t>
        </is>
      </c>
      <c r="B2" s="7" t="inlineStr">
        <is>
          <t>Kickoff meeting</t>
        </is>
      </c>
      <c r="C2" s="8" t="n">
        <v>46174</v>
      </c>
      <c r="D2" s="7" t="inlineStr">
        <is>
          <t>Lead Consultant</t>
        </is>
      </c>
      <c r="E2" s="7" t="inlineStr">
        <is>
          <t>Not Started</t>
        </is>
      </c>
    </row>
    <row r="3">
      <c r="A3" s="10" t="inlineStr">
        <is>
          <t>Current State Assessment Report</t>
        </is>
      </c>
      <c r="B3" s="10" t="inlineStr">
        <is>
          <t>Send proposal</t>
        </is>
      </c>
      <c r="C3" s="11" t="n">
        <v>46180</v>
      </c>
      <c r="D3" s="10" t="inlineStr">
        <is>
          <t>Lead Consultant</t>
        </is>
      </c>
      <c r="E3" s="10" t="inlineStr">
        <is>
          <t>In Progress</t>
        </is>
      </c>
    </row>
    <row r="4">
      <c r="A4" s="7" t="inlineStr"/>
      <c r="B4" s="7" t="inlineStr">
        <is>
          <t>Review feedback</t>
        </is>
      </c>
      <c r="C4" s="8" t="n">
        <v>46186</v>
      </c>
      <c r="D4" s="7" t="inlineStr"/>
      <c r="E4" s="7" t="inlineStr">
        <is>
          <t>Client Review</t>
        </is>
      </c>
    </row>
    <row r="5">
      <c r="A5" s="10" t="inlineStr">
        <is>
          <t>Current State Assessment Report</t>
        </is>
      </c>
      <c r="B5" s="10" t="inlineStr">
        <is>
          <t>Update website copy</t>
        </is>
      </c>
      <c r="C5" s="11" t="n">
        <v>46189</v>
      </c>
      <c r="D5" s="10" t="inlineStr">
        <is>
          <t>Lead Consultant</t>
        </is>
      </c>
      <c r="E5" s="10" t="inlineStr">
        <is>
          <t>Approved</t>
        </is>
      </c>
    </row>
    <row r="6">
      <c r="A6" s="7" t="inlineStr">
        <is>
          <t>Current State Assessment Report</t>
        </is>
      </c>
      <c r="B6" s="7" t="inlineStr">
        <is>
          <t>Prepare invoice</t>
        </is>
      </c>
      <c r="C6" s="8" t="n">
        <v>46195</v>
      </c>
      <c r="D6" s="7" t="inlineStr">
        <is>
          <t>Lead Consultant</t>
        </is>
      </c>
      <c r="E6" s="7" t="inlineStr">
        <is>
          <t>Revised</t>
        </is>
      </c>
    </row>
    <row r="7">
      <c r="A7" s="10" t="inlineStr"/>
      <c r="B7" s="10" t="inlineStr">
        <is>
          <t>Client call</t>
        </is>
      </c>
      <c r="C7" s="11" t="n">
        <v>46201</v>
      </c>
      <c r="D7" s="10" t="inlineStr"/>
      <c r="E7" s="10" t="inlineStr">
        <is>
          <t>Done</t>
        </is>
      </c>
    </row>
    <row r="8">
      <c r="A8" s="7" t="inlineStr">
        <is>
          <t>Current State Assessment Report</t>
        </is>
      </c>
      <c r="B8" s="7" t="inlineStr">
        <is>
          <t>Design first draft</t>
        </is>
      </c>
      <c r="C8" s="8" t="n">
        <v>46176</v>
      </c>
      <c r="D8" s="7" t="inlineStr">
        <is>
          <t>Lead Consultant</t>
        </is>
      </c>
      <c r="E8" s="7" t="inlineStr">
        <is>
          <t>Not Started</t>
        </is>
      </c>
    </row>
    <row r="9">
      <c r="A9" s="10" t="inlineStr">
        <is>
          <t>Current State Assessment Report</t>
        </is>
      </c>
      <c r="B9" s="10" t="inlineStr">
        <is>
          <t>Fix reported bug</t>
        </is>
      </c>
      <c r="C9" s="11" t="n">
        <v>46182</v>
      </c>
      <c r="D9" s="10" t="inlineStr">
        <is>
          <t>Lead Consultant</t>
        </is>
      </c>
      <c r="E9" s="10" t="inlineStr">
        <is>
          <t>In Progress</t>
        </is>
      </c>
    </row>
    <row r="10">
      <c r="A10" s="7" t="inlineStr"/>
      <c r="B10" s="7" t="inlineStr">
        <is>
          <t>Weekly report</t>
        </is>
      </c>
      <c r="C10" s="8" t="n">
        <v>46188</v>
      </c>
      <c r="D10" s="7" t="inlineStr"/>
      <c r="E10" s="7" t="inlineStr">
        <is>
          <t>Client Review</t>
        </is>
      </c>
    </row>
    <row r="11">
      <c r="A11" s="10" t="inlineStr">
        <is>
          <t>Current State Assessment Report</t>
        </is>
      </c>
      <c r="B11" s="10" t="inlineStr">
        <is>
          <t>Plan next sprint</t>
        </is>
      </c>
      <c r="C11" s="11" t="n">
        <v>46191</v>
      </c>
      <c r="D11" s="10" t="inlineStr">
        <is>
          <t>Lead Consultant</t>
        </is>
      </c>
      <c r="E11" s="10" t="inlineStr">
        <is>
          <t>Approved</t>
        </is>
      </c>
    </row>
    <row r="12">
      <c r="A12" s="7" t="inlineStr">
        <is>
          <t>Current State Assessment Report</t>
        </is>
      </c>
      <c r="B12" s="7" t="inlineStr">
        <is>
          <t>Publish blog post</t>
        </is>
      </c>
      <c r="C12" s="8" t="n">
        <v>46197</v>
      </c>
      <c r="D12" s="7" t="inlineStr">
        <is>
          <t>Lead Consultant</t>
        </is>
      </c>
      <c r="E12" s="7" t="inlineStr">
        <is>
          <t>Revised</t>
        </is>
      </c>
    </row>
    <row r="13">
      <c r="A13" s="10" t="inlineStr"/>
      <c r="B13" s="10" t="inlineStr">
        <is>
          <t>Team sync</t>
        </is>
      </c>
      <c r="C13" s="11" t="n">
        <v>46175</v>
      </c>
      <c r="D13" s="10" t="inlineStr"/>
      <c r="E13" s="10" t="inlineStr">
        <is>
          <t>Done</t>
        </is>
      </c>
    </row>
  </sheetData>
  <dataValidations count="1">
    <dataValidation sqref="E2:E500" showDropDown="0" showInputMessage="0" showErrorMessage="0" allowBlank="1" type="list">
      <formula1>"Not Started,In Progress,Client Review,Approved,Revised,Done"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13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26" customWidth="1" min="2" max="2"/>
    <col width="12" customWidth="1" min="3" max="3"/>
    <col width="28" customWidth="1" min="4" max="4"/>
    <col width="14" customWidth="1" min="5" max="5"/>
    <col width="14" customWidth="1" min="6" max="6"/>
  </cols>
  <sheetData>
    <row r="1">
      <c r="A1" s="6" t="inlineStr">
        <is>
          <t>Date</t>
        </is>
      </c>
      <c r="B1" s="6" t="inlineStr">
        <is>
          <t>Project</t>
        </is>
      </c>
      <c r="C1" s="6" t="inlineStr">
        <is>
          <t>Hours</t>
        </is>
      </c>
      <c r="D1" s="6" t="inlineStr">
        <is>
          <t>Activity</t>
        </is>
      </c>
      <c r="E1" s="6" t="inlineStr">
        <is>
          <t>Billable</t>
        </is>
      </c>
      <c r="F1" s="6" t="inlineStr">
        <is>
          <t>Rate $/hr</t>
        </is>
      </c>
    </row>
    <row r="2">
      <c r="A2" s="8" t="n">
        <v>46174</v>
      </c>
      <c r="B2" s="7" t="inlineStr">
        <is>
          <t>Kickoff meeting</t>
        </is>
      </c>
      <c r="C2" s="7" t="n">
        <v>4</v>
      </c>
      <c r="D2" s="7" t="inlineStr">
        <is>
          <t>Discovery</t>
        </is>
      </c>
      <c r="E2" s="7" t="inlineStr">
        <is>
          <t>Yes</t>
        </is>
      </c>
      <c r="F2" s="7" t="n">
        <v>250</v>
      </c>
    </row>
    <row r="3">
      <c r="A3" s="11" t="n">
        <v>46180</v>
      </c>
      <c r="B3" s="10" t="inlineStr">
        <is>
          <t>Send proposal</t>
        </is>
      </c>
      <c r="C3" s="10" t="n">
        <v>2.8</v>
      </c>
      <c r="D3" s="10" t="inlineStr">
        <is>
          <t>Analysis</t>
        </is>
      </c>
      <c r="E3" s="10" t="inlineStr">
        <is>
          <t>No</t>
        </is>
      </c>
      <c r="F3" s="10" t="n">
        <v>175</v>
      </c>
    </row>
    <row r="4">
      <c r="A4" s="8" t="n">
        <v>46186</v>
      </c>
      <c r="B4" s="7" t="inlineStr">
        <is>
          <t>Review feedback</t>
        </is>
      </c>
      <c r="C4" s="7" t="n">
        <v>5.2</v>
      </c>
      <c r="D4" s="7" t="inlineStr">
        <is>
          <t>Strategy</t>
        </is>
      </c>
      <c r="E4" s="7" t="inlineStr">
        <is>
          <t>Yes</t>
        </is>
      </c>
      <c r="F4" s="7" t="n">
        <v>325</v>
      </c>
    </row>
    <row r="5">
      <c r="A5" s="11" t="n">
        <v>46189</v>
      </c>
      <c r="B5" s="10" t="inlineStr">
        <is>
          <t>Update website copy</t>
        </is>
      </c>
      <c r="C5" s="10" t="n">
        <v>3.4</v>
      </c>
      <c r="D5" s="10" t="inlineStr">
        <is>
          <t>Workshop</t>
        </is>
      </c>
      <c r="E5" s="10" t="inlineStr">
        <is>
          <t>No</t>
        </is>
      </c>
      <c r="F5" s="10" t="n">
        <v>212</v>
      </c>
    </row>
    <row r="6">
      <c r="A6" s="8" t="n">
        <v>46195</v>
      </c>
      <c r="B6" s="7" t="inlineStr">
        <is>
          <t>Prepare invoice</t>
        </is>
      </c>
      <c r="C6" s="7" t="n">
        <v>4.6</v>
      </c>
      <c r="D6" s="7" t="inlineStr">
        <is>
          <t>Report Writing</t>
        </is>
      </c>
      <c r="E6" s="7" t="inlineStr">
        <is>
          <t>Yes</t>
        </is>
      </c>
      <c r="F6" s="7" t="n">
        <v>288</v>
      </c>
    </row>
    <row r="7">
      <c r="A7" s="11" t="n">
        <v>46201</v>
      </c>
      <c r="B7" s="10" t="inlineStr">
        <is>
          <t>Client call</t>
        </is>
      </c>
      <c r="C7" s="10" t="n">
        <v>2.4</v>
      </c>
      <c r="D7" s="10" t="inlineStr">
        <is>
          <t>Client Call</t>
        </is>
      </c>
      <c r="E7" s="10" t="inlineStr">
        <is>
          <t>No</t>
        </is>
      </c>
      <c r="F7" s="10" t="n">
        <v>150</v>
      </c>
    </row>
    <row r="8">
      <c r="A8" s="8" t="n">
        <v>46176</v>
      </c>
      <c r="B8" s="7" t="inlineStr">
        <is>
          <t>Design first draft</t>
        </is>
      </c>
      <c r="C8" s="7" t="n">
        <v>5.8</v>
      </c>
      <c r="D8" s="7" t="inlineStr">
        <is>
          <t>Review</t>
        </is>
      </c>
      <c r="E8" s="7" t="inlineStr">
        <is>
          <t>Yes</t>
        </is>
      </c>
      <c r="F8" s="7" t="n">
        <v>362</v>
      </c>
    </row>
    <row r="9">
      <c r="A9" s="11" t="n">
        <v>46182</v>
      </c>
      <c r="B9" s="10" t="inlineStr">
        <is>
          <t>Fix reported bug</t>
        </is>
      </c>
      <c r="C9" s="10" t="n">
        <v>3.8</v>
      </c>
      <c r="D9" s="10" t="inlineStr">
        <is>
          <t>Travel</t>
        </is>
      </c>
      <c r="E9" s="10" t="inlineStr">
        <is>
          <t>No</t>
        </is>
      </c>
      <c r="F9" s="10" t="n">
        <v>238</v>
      </c>
    </row>
    <row r="10">
      <c r="A10" s="8" t="n">
        <v>46188</v>
      </c>
      <c r="B10" s="7" t="inlineStr">
        <is>
          <t>Weekly report</t>
        </is>
      </c>
      <c r="C10" s="7" t="n">
        <v>5</v>
      </c>
      <c r="D10" s="7" t="inlineStr">
        <is>
          <t>Discovery</t>
        </is>
      </c>
      <c r="E10" s="7" t="inlineStr">
        <is>
          <t>Yes</t>
        </is>
      </c>
      <c r="F10" s="7" t="n">
        <v>312</v>
      </c>
    </row>
    <row r="11">
      <c r="A11" s="11" t="n">
        <v>46191</v>
      </c>
      <c r="B11" s="10" t="inlineStr">
        <is>
          <t>Plan next sprint</t>
        </is>
      </c>
      <c r="C11" s="10" t="n">
        <v>3.2</v>
      </c>
      <c r="D11" s="10" t="inlineStr">
        <is>
          <t>Analysis</t>
        </is>
      </c>
      <c r="E11" s="10" t="inlineStr">
        <is>
          <t>No</t>
        </is>
      </c>
      <c r="F11" s="10" t="n">
        <v>200</v>
      </c>
    </row>
    <row r="12">
      <c r="A12" s="8" t="n">
        <v>46197</v>
      </c>
      <c r="B12" s="7" t="inlineStr">
        <is>
          <t>Publish blog post</t>
        </is>
      </c>
      <c r="C12" s="7" t="n">
        <v>4.4</v>
      </c>
      <c r="D12" s="7" t="inlineStr">
        <is>
          <t>Strategy</t>
        </is>
      </c>
      <c r="E12" s="7" t="inlineStr">
        <is>
          <t>Yes</t>
        </is>
      </c>
      <c r="F12" s="7" t="n">
        <v>275</v>
      </c>
    </row>
    <row r="13">
      <c r="A13" s="11" t="n">
        <v>46175</v>
      </c>
      <c r="B13" s="10" t="inlineStr">
        <is>
          <t>Team sync</t>
        </is>
      </c>
      <c r="C13" s="10" t="n">
        <v>3</v>
      </c>
      <c r="D13" s="10" t="inlineStr">
        <is>
          <t>Workshop</t>
        </is>
      </c>
      <c r="E13" s="10" t="inlineStr">
        <is>
          <t>No</t>
        </is>
      </c>
      <c r="F13" s="10" t="n">
        <v>188</v>
      </c>
    </row>
  </sheetData>
  <dataValidations count="2">
    <dataValidation sqref="D2:D500" showDropDown="0" showInputMessage="0" showErrorMessage="0" allowBlank="1" type="list">
      <formula1>"Discovery,Analysis,Strategy,Workshop,Report Writing,Client Call,Review,Travel"</formula1>
    </dataValidation>
    <dataValidation sqref="E2:E500" showDropDown="0" showInputMessage="0" showErrorMessage="0" allowBlank="1" type="list">
      <formula1>"Yes,No"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13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26" customWidth="1" min="2" max="2"/>
    <col width="22" customWidth="1" min="3" max="3"/>
    <col width="14" customWidth="1" min="4" max="4"/>
    <col width="14" customWidth="1" min="5" max="5"/>
    <col width="16" customWidth="1" min="6" max="6"/>
  </cols>
  <sheetData>
    <row r="1">
      <c r="A1" s="6" t="inlineStr">
        <is>
          <t>Invoice #</t>
        </is>
      </c>
      <c r="B1" s="6" t="inlineStr">
        <is>
          <t>Project</t>
        </is>
      </c>
      <c r="C1" s="6" t="inlineStr">
        <is>
          <t>Client</t>
        </is>
      </c>
      <c r="D1" s="6" t="inlineStr">
        <is>
          <t>Amount $</t>
        </is>
      </c>
      <c r="E1" s="6" t="inlineStr">
        <is>
          <t>Due Date</t>
        </is>
      </c>
      <c r="F1" s="6" t="inlineStr">
        <is>
          <t>Status</t>
        </is>
      </c>
    </row>
    <row r="2">
      <c r="A2" s="7" t="inlineStr">
        <is>
          <t>INV-2024-01</t>
        </is>
      </c>
      <c r="B2" s="7" t="inlineStr">
        <is>
          <t>Kickoff meeting</t>
        </is>
      </c>
      <c r="C2" s="7" t="inlineStr">
        <is>
          <t>Alex Martin</t>
        </is>
      </c>
      <c r="D2" s="9" t="n">
        <v>15000</v>
      </c>
      <c r="E2" s="8" t="n">
        <v>46174</v>
      </c>
      <c r="F2" s="7" t="inlineStr">
        <is>
          <t>Draft</t>
        </is>
      </c>
    </row>
    <row r="3">
      <c r="A3" s="10" t="inlineStr">
        <is>
          <t>INV-2024-02</t>
        </is>
      </c>
      <c r="B3" s="10" t="inlineStr">
        <is>
          <t>Send proposal</t>
        </is>
      </c>
      <c r="C3" s="10" t="inlineStr">
        <is>
          <t>Sara Lopez</t>
        </is>
      </c>
      <c r="D3" s="12" t="n">
        <v>10500</v>
      </c>
      <c r="E3" s="11" t="n">
        <v>46180</v>
      </c>
      <c r="F3" s="10" t="inlineStr">
        <is>
          <t>Sent</t>
        </is>
      </c>
    </row>
    <row r="4">
      <c r="A4" s="7" t="inlineStr">
        <is>
          <t>INV-2024-03</t>
        </is>
      </c>
      <c r="B4" s="7" t="inlineStr">
        <is>
          <t>Review feedback</t>
        </is>
      </c>
      <c r="C4" s="7" t="inlineStr">
        <is>
          <t>Omar Haddad</t>
        </is>
      </c>
      <c r="D4" s="9" t="n">
        <v>19500</v>
      </c>
      <c r="E4" s="8" t="n">
        <v>46186</v>
      </c>
      <c r="F4" s="7" t="inlineStr">
        <is>
          <t>Paid</t>
        </is>
      </c>
    </row>
    <row r="5">
      <c r="A5" s="10" t="inlineStr">
        <is>
          <t>INV-2024-04</t>
        </is>
      </c>
      <c r="B5" s="10" t="inlineStr">
        <is>
          <t>Update website copy</t>
        </is>
      </c>
      <c r="C5" s="10" t="inlineStr">
        <is>
          <t>Emma Fischer</t>
        </is>
      </c>
      <c r="D5" s="12" t="n">
        <v>12750</v>
      </c>
      <c r="E5" s="11" t="n">
        <v>46189</v>
      </c>
      <c r="F5" s="10" t="inlineStr">
        <is>
          <t>Overdue</t>
        </is>
      </c>
    </row>
    <row r="6">
      <c r="A6" s="7" t="inlineStr">
        <is>
          <t>INV-2024-05</t>
        </is>
      </c>
      <c r="B6" s="7" t="inlineStr">
        <is>
          <t>Prepare invoice</t>
        </is>
      </c>
      <c r="C6" s="7" t="inlineStr">
        <is>
          <t>Liam Carter</t>
        </is>
      </c>
      <c r="D6" s="9" t="n">
        <v>17250</v>
      </c>
      <c r="E6" s="8" t="n">
        <v>46195</v>
      </c>
      <c r="F6" s="7" t="inlineStr">
        <is>
          <t>Draft</t>
        </is>
      </c>
    </row>
    <row r="7">
      <c r="A7" s="10" t="inlineStr">
        <is>
          <t>INV-2024-06</t>
        </is>
      </c>
      <c r="B7" s="10" t="inlineStr">
        <is>
          <t>Client call</t>
        </is>
      </c>
      <c r="C7" s="10" t="inlineStr">
        <is>
          <t>Nadia Rahali</t>
        </is>
      </c>
      <c r="D7" s="12" t="n">
        <v>9000</v>
      </c>
      <c r="E7" s="11" t="n">
        <v>46201</v>
      </c>
      <c r="F7" s="10" t="inlineStr">
        <is>
          <t>Sent</t>
        </is>
      </c>
    </row>
    <row r="8">
      <c r="A8" s="7" t="inlineStr">
        <is>
          <t>INV-2024-07</t>
        </is>
      </c>
      <c r="B8" s="7" t="inlineStr">
        <is>
          <t>Design first draft</t>
        </is>
      </c>
      <c r="C8" s="7" t="inlineStr">
        <is>
          <t>Tom Becker</t>
        </is>
      </c>
      <c r="D8" s="9" t="n">
        <v>21750</v>
      </c>
      <c r="E8" s="8" t="n">
        <v>46176</v>
      </c>
      <c r="F8" s="7" t="inlineStr">
        <is>
          <t>Paid</t>
        </is>
      </c>
    </row>
    <row r="9">
      <c r="A9" s="10" t="inlineStr">
        <is>
          <t>INV-2024-08</t>
        </is>
      </c>
      <c r="B9" s="10" t="inlineStr">
        <is>
          <t>Fix reported bug</t>
        </is>
      </c>
      <c r="C9" s="10" t="inlineStr">
        <is>
          <t>Julia Romero</t>
        </is>
      </c>
      <c r="D9" s="12" t="n">
        <v>14250</v>
      </c>
      <c r="E9" s="11" t="n">
        <v>46182</v>
      </c>
      <c r="F9" s="10" t="inlineStr">
        <is>
          <t>Overdue</t>
        </is>
      </c>
    </row>
    <row r="10">
      <c r="A10" s="7" t="inlineStr">
        <is>
          <t>INV-2024-09</t>
        </is>
      </c>
      <c r="B10" s="7" t="inlineStr">
        <is>
          <t>Weekly report</t>
        </is>
      </c>
      <c r="C10" s="7" t="inlineStr">
        <is>
          <t>Karim Ziani</t>
        </is>
      </c>
      <c r="D10" s="9" t="n">
        <v>18750</v>
      </c>
      <c r="E10" s="8" t="n">
        <v>46188</v>
      </c>
      <c r="F10" s="7" t="inlineStr">
        <is>
          <t>Draft</t>
        </is>
      </c>
    </row>
    <row r="11">
      <c r="A11" s="10" t="inlineStr">
        <is>
          <t>INV-2024-10</t>
        </is>
      </c>
      <c r="B11" s="10" t="inlineStr">
        <is>
          <t>Plan next sprint</t>
        </is>
      </c>
      <c r="C11" s="10" t="inlineStr">
        <is>
          <t>Anna Kowalska</t>
        </is>
      </c>
      <c r="D11" s="12" t="n">
        <v>12000</v>
      </c>
      <c r="E11" s="11" t="n">
        <v>46191</v>
      </c>
      <c r="F11" s="10" t="inlineStr">
        <is>
          <t>Sent</t>
        </is>
      </c>
    </row>
    <row r="12">
      <c r="A12" s="7" t="inlineStr">
        <is>
          <t>INV-2024-11</t>
        </is>
      </c>
      <c r="B12" s="7" t="inlineStr">
        <is>
          <t>Publish blog post</t>
        </is>
      </c>
      <c r="C12" s="7" t="inlineStr">
        <is>
          <t>David Chen</t>
        </is>
      </c>
      <c r="D12" s="9" t="n">
        <v>16500</v>
      </c>
      <c r="E12" s="8" t="n">
        <v>46197</v>
      </c>
      <c r="F12" s="7" t="inlineStr">
        <is>
          <t>Paid</t>
        </is>
      </c>
    </row>
    <row r="13">
      <c r="A13" s="10" t="inlineStr">
        <is>
          <t>INV-2024-12</t>
        </is>
      </c>
      <c r="B13" s="10" t="inlineStr">
        <is>
          <t>Team sync</t>
        </is>
      </c>
      <c r="C13" s="10" t="inlineStr">
        <is>
          <t>Lea Moreau</t>
        </is>
      </c>
      <c r="D13" s="12" t="n">
        <v>11250</v>
      </c>
      <c r="E13" s="11" t="n">
        <v>46175</v>
      </c>
      <c r="F13" s="10" t="inlineStr">
        <is>
          <t>Overdue</t>
        </is>
      </c>
    </row>
  </sheetData>
  <dataValidations count="1">
    <dataValidation sqref="F2:F500" showDropDown="0" showInputMessage="0" showErrorMessage="0" allowBlank="1" type="list">
      <formula1>"Draft,Sent,Paid,Overdue"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2026-07-16T21:44:38Z</dcterms:created>
  <dcterms:modified xsi:type="dcterms:W3CDTF">2026-07-16T21:44:38Z</dcterms:modified>
</cp:coreProperties>
</file>