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eads" sheetId="2" state="visible" r:id="rId2"/>
    <sheet name="Dashboard" sheetId="3" state="visible" r:id="rId3"/>
    <sheet name="Follow-ups" sheetId="4" state="visible" r:id="rId4"/>
    <sheet name="Won Deals" sheetId="5" state="visible" r:id="rId5"/>
    <sheet name="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0891B2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4A6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7F0"/>
      </patternFill>
    </fill>
    <fill>
      <patternFill patternType="solid">
        <fgColor rgb="000891B2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📞  SALES LEAD &amp; CRM TRACKER</t>
        </is>
      </c>
    </row>
    <row r="3"/>
    <row r="4">
      <c r="B4" s="2" t="inlineStr">
        <is>
          <t>Lead Pipeline, Follow-ups &amp; Revenue Google Sheets</t>
        </is>
      </c>
    </row>
    <row r="6">
      <c r="B6" s="3" t="inlineStr">
        <is>
          <t>STEP 1 — Fill in “Leads”</t>
        </is>
      </c>
    </row>
    <row r="7" ht="28" customHeight="1">
      <c r="B7" s="4" t="inlineStr">
        <is>
          <t>All leads with contact, value, stage, and next action.</t>
        </is>
      </c>
    </row>
    <row r="9">
      <c r="B9" s="3" t="inlineStr">
        <is>
          <t>STEP 2 — Fill in “Follow-ups”</t>
        </is>
      </c>
    </row>
    <row r="10" ht="28" customHeight="1">
      <c r="B10" s="4" t="inlineStr">
        <is>
          <t>Scheduled follow-up actions for all active leads.</t>
        </is>
      </c>
    </row>
    <row r="12">
      <c r="B12" s="3" t="inlineStr">
        <is>
          <t>STEP 3 — Fill in “Won Deals”</t>
        </is>
      </c>
    </row>
    <row r="13" ht="28" customHeight="1">
      <c r="B13" s="4" t="inlineStr">
        <is>
          <t>All closed won deals with revenue and close date.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14" customWidth="1" min="5" max="5"/>
    <col width="14" customWidth="1" min="6" max="6"/>
    <col width="22" customWidth="1" min="7" max="7"/>
    <col width="30" customWidth="1" min="8" max="8"/>
  </cols>
  <sheetData>
    <row r="1">
      <c r="A1" s="6" t="inlineStr">
        <is>
          <t>Company / Name</t>
        </is>
      </c>
      <c r="B1" s="6" t="inlineStr">
        <is>
          <t>Email</t>
        </is>
      </c>
      <c r="C1" s="6" t="inlineStr">
        <is>
          <t>Source</t>
        </is>
      </c>
      <c r="D1" s="6" t="inlineStr">
        <is>
          <t>First Contact</t>
        </is>
      </c>
      <c r="E1" s="6" t="inlineStr">
        <is>
          <t>Follow-up</t>
        </is>
      </c>
      <c r="F1" s="6" t="inlineStr">
        <is>
          <t>Deal Value $</t>
        </is>
      </c>
      <c r="G1" s="6" t="inlineStr">
        <is>
          <t>Stage</t>
        </is>
      </c>
      <c r="H1" s="6" t="inlineStr">
        <is>
          <t>Notes</t>
        </is>
      </c>
    </row>
    <row r="2">
      <c r="A2" s="7" t="inlineStr">
        <is>
          <t>Alex Martin</t>
        </is>
      </c>
      <c r="B2" s="7" t="inlineStr">
        <is>
          <t>alex@mail.com</t>
        </is>
      </c>
      <c r="C2" s="7" t="inlineStr">
        <is>
          <t>Referral</t>
        </is>
      </c>
      <c r="D2" s="8" t="n">
        <v>46174</v>
      </c>
      <c r="E2" s="8" t="n">
        <v>46174</v>
      </c>
      <c r="F2" s="9" t="n">
        <v>5000</v>
      </c>
      <c r="G2" s="7" t="inlineStr">
        <is>
          <t>New Lead</t>
        </is>
      </c>
      <c r="H2" s="7" t="inlineStr"/>
    </row>
    <row r="3">
      <c r="A3" s="10" t="inlineStr">
        <is>
          <t>Sara Lopez</t>
        </is>
      </c>
      <c r="B3" s="10" t="inlineStr">
        <is>
          <t>sara@mail.com</t>
        </is>
      </c>
      <c r="C3" s="10" t="inlineStr">
        <is>
          <t>LinkedIn</t>
        </is>
      </c>
      <c r="D3" s="11" t="n">
        <v>46180</v>
      </c>
      <c r="E3" s="11" t="n">
        <v>46180</v>
      </c>
      <c r="F3" s="12" t="n">
        <v>3500</v>
      </c>
      <c r="G3" s="10" t="inlineStr">
        <is>
          <t>Contacted</t>
        </is>
      </c>
      <c r="H3" s="10" t="inlineStr">
        <is>
          <t>Paid</t>
        </is>
      </c>
    </row>
    <row r="4">
      <c r="A4" s="7" t="inlineStr">
        <is>
          <t>Omar Haddad</t>
        </is>
      </c>
      <c r="B4" s="7" t="inlineStr">
        <is>
          <t>omar@mail.com</t>
        </is>
      </c>
      <c r="C4" s="7" t="inlineStr">
        <is>
          <t>Cold Email</t>
        </is>
      </c>
      <c r="D4" s="8" t="n">
        <v>46186</v>
      </c>
      <c r="E4" s="8" t="n">
        <v>46186</v>
      </c>
      <c r="F4" s="9" t="n">
        <v>6500</v>
      </c>
      <c r="G4" s="7" t="inlineStr">
        <is>
          <t>Qualified</t>
        </is>
      </c>
      <c r="H4" s="7" t="inlineStr">
        <is>
          <t>Urgent</t>
        </is>
      </c>
    </row>
    <row r="5">
      <c r="A5" s="10" t="inlineStr">
        <is>
          <t>Emma Fischer</t>
        </is>
      </c>
      <c r="B5" s="10" t="inlineStr">
        <is>
          <t>emma@mail.com</t>
        </is>
      </c>
      <c r="C5" s="10" t="inlineStr">
        <is>
          <t>Inbound</t>
        </is>
      </c>
      <c r="D5" s="11" t="n">
        <v>46189</v>
      </c>
      <c r="E5" s="11" t="n">
        <v>46189</v>
      </c>
      <c r="F5" s="12" t="n">
        <v>4250</v>
      </c>
      <c r="G5" s="10" t="inlineStr">
        <is>
          <t>Proposal</t>
        </is>
      </c>
      <c r="H5" s="10" t="inlineStr">
        <is>
          <t>Follow up Friday</t>
        </is>
      </c>
    </row>
    <row r="6">
      <c r="A6" s="7" t="inlineStr">
        <is>
          <t>Liam Carter</t>
        </is>
      </c>
      <c r="B6" s="7" t="inlineStr">
        <is>
          <t>liam@mail.com</t>
        </is>
      </c>
      <c r="C6" s="7" t="inlineStr">
        <is>
          <t>Website</t>
        </is>
      </c>
      <c r="D6" s="8" t="n">
        <v>46195</v>
      </c>
      <c r="E6" s="8" t="n">
        <v>46195</v>
      </c>
      <c r="F6" s="9" t="n">
        <v>5750</v>
      </c>
      <c r="G6" s="7" t="inlineStr">
        <is>
          <t>Negotiation</t>
        </is>
      </c>
      <c r="H6" s="7" t="inlineStr"/>
    </row>
    <row r="7">
      <c r="A7" s="10" t="inlineStr">
        <is>
          <t>Nadia Rahali</t>
        </is>
      </c>
      <c r="B7" s="10" t="inlineStr">
        <is>
          <t>nadia@mail.com</t>
        </is>
      </c>
      <c r="C7" s="10" t="inlineStr">
        <is>
          <t>Ad</t>
        </is>
      </c>
      <c r="D7" s="11" t="n">
        <v>46201</v>
      </c>
      <c r="E7" s="11" t="n">
        <v>46201</v>
      </c>
      <c r="F7" s="12" t="n">
        <v>3000</v>
      </c>
      <c r="G7" s="10" t="inlineStr">
        <is>
          <t>Won</t>
        </is>
      </c>
      <c r="H7" s="10" t="inlineStr">
        <is>
          <t>Monthly</t>
        </is>
      </c>
    </row>
    <row r="8">
      <c r="A8" s="7" t="inlineStr">
        <is>
          <t>Tom Becker</t>
        </is>
      </c>
      <c r="B8" s="7" t="inlineStr">
        <is>
          <t>tom@mail.com</t>
        </is>
      </c>
      <c r="C8" s="7" t="inlineStr">
        <is>
          <t>Event</t>
        </is>
      </c>
      <c r="D8" s="8" t="n">
        <v>46176</v>
      </c>
      <c r="E8" s="8" t="n">
        <v>46176</v>
      </c>
      <c r="F8" s="9" t="n">
        <v>7250</v>
      </c>
      <c r="G8" s="7" t="inlineStr">
        <is>
          <t>Lost</t>
        </is>
      </c>
      <c r="H8" s="7" t="inlineStr">
        <is>
          <t>Confirmed</t>
        </is>
      </c>
    </row>
    <row r="9">
      <c r="A9" s="10" t="inlineStr">
        <is>
          <t>Julia Romero</t>
        </is>
      </c>
      <c r="B9" s="10" t="inlineStr">
        <is>
          <t>julia@mail.com</t>
        </is>
      </c>
      <c r="C9" s="10" t="inlineStr">
        <is>
          <t>Other</t>
        </is>
      </c>
      <c r="D9" s="11" t="n">
        <v>46182</v>
      </c>
      <c r="E9" s="11" t="n">
        <v>46182</v>
      </c>
      <c r="F9" s="12" t="n">
        <v>4750</v>
      </c>
      <c r="G9" s="10" t="inlineStr">
        <is>
          <t>On Hold</t>
        </is>
      </c>
      <c r="H9" s="10" t="inlineStr"/>
    </row>
    <row r="10">
      <c r="A10" s="7" t="inlineStr">
        <is>
          <t>Karim Ziani</t>
        </is>
      </c>
      <c r="B10" s="7" t="inlineStr">
        <is>
          <t>karim@mail.com</t>
        </is>
      </c>
      <c r="C10" s="7" t="inlineStr">
        <is>
          <t>Referral</t>
        </is>
      </c>
      <c r="D10" s="8" t="n">
        <v>46188</v>
      </c>
      <c r="E10" s="8" t="n">
        <v>46188</v>
      </c>
      <c r="F10" s="9" t="n">
        <v>6250</v>
      </c>
      <c r="G10" s="7" t="inlineStr">
        <is>
          <t>New Lead</t>
        </is>
      </c>
      <c r="H10" s="7" t="inlineStr">
        <is>
          <t>Waiting reply</t>
        </is>
      </c>
    </row>
    <row r="11">
      <c r="A11" s="10" t="inlineStr">
        <is>
          <t>Anna Kowalska</t>
        </is>
      </c>
      <c r="B11" s="10" t="inlineStr">
        <is>
          <t>anna@mail.com</t>
        </is>
      </c>
      <c r="C11" s="10" t="inlineStr">
        <is>
          <t>LinkedIn</t>
        </is>
      </c>
      <c r="D11" s="11" t="n">
        <v>46191</v>
      </c>
      <c r="E11" s="11" t="n">
        <v>46191</v>
      </c>
      <c r="F11" s="12" t="n">
        <v>4000</v>
      </c>
      <c r="G11" s="10" t="inlineStr">
        <is>
          <t>Contacted</t>
        </is>
      </c>
      <c r="H11" s="10" t="inlineStr">
        <is>
          <t>Done early</t>
        </is>
      </c>
    </row>
    <row r="12">
      <c r="A12" s="7" t="inlineStr">
        <is>
          <t>David Chen</t>
        </is>
      </c>
      <c r="B12" s="7" t="inlineStr">
        <is>
          <t>david@mail.com</t>
        </is>
      </c>
      <c r="C12" s="7" t="inlineStr">
        <is>
          <t>Cold Email</t>
        </is>
      </c>
      <c r="D12" s="8" t="n">
        <v>46197</v>
      </c>
      <c r="E12" s="8" t="n">
        <v>46197</v>
      </c>
      <c r="F12" s="9" t="n">
        <v>5500</v>
      </c>
      <c r="G12" s="7" t="inlineStr">
        <is>
          <t>Qualified</t>
        </is>
      </c>
      <c r="H12" s="7" t="inlineStr"/>
    </row>
    <row r="13">
      <c r="A13" s="10" t="inlineStr">
        <is>
          <t>Lea Moreau</t>
        </is>
      </c>
      <c r="B13" s="10" t="inlineStr">
        <is>
          <t>lea@mail.com</t>
        </is>
      </c>
      <c r="C13" s="10" t="inlineStr">
        <is>
          <t>Inbound</t>
        </is>
      </c>
      <c r="D13" s="11" t="n">
        <v>46175</v>
      </c>
      <c r="E13" s="11" t="n">
        <v>46175</v>
      </c>
      <c r="F13" s="12" t="n">
        <v>3750</v>
      </c>
      <c r="G13" s="10" t="inlineStr">
        <is>
          <t>Proposal</t>
        </is>
      </c>
      <c r="H13" s="10" t="inlineStr">
        <is>
          <t>Recheck</t>
        </is>
      </c>
    </row>
  </sheetData>
  <dataValidations count="2">
    <dataValidation sqref="C2:C500" showDropDown="0" showInputMessage="0" showErrorMessage="0" allowBlank="1" type="list">
      <formula1>"Referral,LinkedIn,Cold Email,Inbound,Website,Ad,Event,Other"</formula1>
    </dataValidation>
    <dataValidation sqref="G2:G500" showDropDown="0" showInputMessage="0" showErrorMessage="0" allowBlank="1" type="list">
      <formula1>"New Lead,Contacted,Qualified,Proposal,Negotiation,Won,Lost,On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SALES LEAD &amp; CRM TRACKER — DASHBOARD</t>
        </is>
      </c>
    </row>
    <row r="4">
      <c r="B4" s="14" t="inlineStr">
        <is>
          <t>TOTAL LEADS</t>
        </is>
      </c>
      <c r="D4" s="15" t="inlineStr">
        <is>
          <t>PIPELINE VALUE $</t>
        </is>
      </c>
      <c r="F4" s="16" t="inlineStr">
        <is>
          <t>WON THIS MONTH</t>
        </is>
      </c>
      <c r="H4" s="17" t="inlineStr">
        <is>
          <t>WIN RATE</t>
        </is>
      </c>
    </row>
    <row r="5" ht="26" customHeight="1">
      <c r="B5" s="18">
        <f>COUNTA(Leads!A:A)-1</f>
        <v/>
      </c>
      <c r="D5" s="19">
        <f>SUMIF(Leads!G:G,"Proposal",Leads!F:F)</f>
        <v/>
      </c>
      <c r="F5" s="20">
        <f>SUMIF(Leads!G:G,"Won",Leads!F:F)</f>
        <v/>
      </c>
      <c r="H5" s="21">
        <f>TEXT(COUNTIF(Leads!G:G,"Won")/COUNTA(Leads!A:A),"0%")</f>
        <v/>
      </c>
    </row>
    <row r="8">
      <c r="B8" s="22" t="inlineStr">
        <is>
          <t>WHAT'S INSIDE</t>
        </is>
      </c>
    </row>
    <row r="9">
      <c r="B9" s="23" t="inlineStr">
        <is>
          <t>🎯  Leads — All leads with contact, value, stage, and next action.</t>
        </is>
      </c>
    </row>
    <row r="10">
      <c r="B10" s="23" t="inlineStr">
        <is>
          <t>📅  Follow-ups — Scheduled follow-up actions for all active leads.</t>
        </is>
      </c>
    </row>
    <row r="11">
      <c r="B11" s="23" t="inlineStr">
        <is>
          <t>🏆  Won Deals — All closed won deals with revenue and close date.</t>
        </is>
      </c>
    </row>
    <row r="12">
      <c r="B12" s="23" t="inlineStr">
        <is>
          <t>📊  Reports — Monthly sales performance and source analysis.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0" customWidth="1" min="5" max="5"/>
  </cols>
  <sheetData>
    <row r="1">
      <c r="A1" s="6" t="inlineStr">
        <is>
          <t>Lead</t>
        </is>
      </c>
      <c r="B1" s="6" t="inlineStr">
        <is>
          <t>Action</t>
        </is>
      </c>
      <c r="C1" s="6" t="inlineStr">
        <is>
          <t>Due</t>
        </is>
      </c>
      <c r="D1" s="6" t="inlineStr">
        <is>
          <t>Priority</t>
        </is>
      </c>
      <c r="E1" s="6" t="inlineStr">
        <is>
          <t>Done</t>
        </is>
      </c>
    </row>
    <row r="2">
      <c r="A2" s="7" t="inlineStr">
        <is>
          <t>Alex Martin</t>
        </is>
      </c>
      <c r="B2" s="7" t="inlineStr">
        <is>
          <t>Kickoff meeting</t>
        </is>
      </c>
      <c r="C2" s="8" t="n">
        <v>46174</v>
      </c>
      <c r="D2" s="7" t="inlineStr">
        <is>
          <t>Urgent</t>
        </is>
      </c>
      <c r="E2" s="7" t="inlineStr">
        <is>
          <t>Yes</t>
        </is>
      </c>
    </row>
    <row r="3">
      <c r="A3" s="10" t="inlineStr">
        <is>
          <t>Sara Lopez</t>
        </is>
      </c>
      <c r="B3" s="10" t="inlineStr">
        <is>
          <t>Send proposal</t>
        </is>
      </c>
      <c r="C3" s="11" t="n">
        <v>46180</v>
      </c>
      <c r="D3" s="10" t="inlineStr">
        <is>
          <t>High</t>
        </is>
      </c>
      <c r="E3" s="10" t="inlineStr">
        <is>
          <t>No</t>
        </is>
      </c>
    </row>
    <row r="4">
      <c r="A4" s="7" t="inlineStr">
        <is>
          <t>Omar Haddad</t>
        </is>
      </c>
      <c r="B4" s="7" t="inlineStr">
        <is>
          <t>Review feedback</t>
        </is>
      </c>
      <c r="C4" s="8" t="n">
        <v>46186</v>
      </c>
      <c r="D4" s="7" t="inlineStr">
        <is>
          <t>Medium</t>
        </is>
      </c>
      <c r="E4" s="7" t="inlineStr">
        <is>
          <t>Yes</t>
        </is>
      </c>
    </row>
    <row r="5">
      <c r="A5" s="10" t="inlineStr">
        <is>
          <t>Emma Fischer</t>
        </is>
      </c>
      <c r="B5" s="10" t="inlineStr">
        <is>
          <t>Update website copy</t>
        </is>
      </c>
      <c r="C5" s="11" t="n">
        <v>46189</v>
      </c>
      <c r="D5" s="10" t="inlineStr">
        <is>
          <t>Low</t>
        </is>
      </c>
      <c r="E5" s="10" t="inlineStr">
        <is>
          <t>No</t>
        </is>
      </c>
    </row>
    <row r="6">
      <c r="A6" s="7" t="inlineStr">
        <is>
          <t>Liam Carter</t>
        </is>
      </c>
      <c r="B6" s="7" t="inlineStr">
        <is>
          <t>Prepare invoice</t>
        </is>
      </c>
      <c r="C6" s="8" t="n">
        <v>46195</v>
      </c>
      <c r="D6" s="7" t="inlineStr">
        <is>
          <t>Urgent</t>
        </is>
      </c>
      <c r="E6" s="7" t="inlineStr">
        <is>
          <t>Yes</t>
        </is>
      </c>
    </row>
    <row r="7">
      <c r="A7" s="10" t="inlineStr">
        <is>
          <t>Nadia Rahali</t>
        </is>
      </c>
      <c r="B7" s="10" t="inlineStr">
        <is>
          <t>Client call</t>
        </is>
      </c>
      <c r="C7" s="11" t="n">
        <v>46201</v>
      </c>
      <c r="D7" s="10" t="inlineStr">
        <is>
          <t>High</t>
        </is>
      </c>
      <c r="E7" s="10" t="inlineStr">
        <is>
          <t>No</t>
        </is>
      </c>
    </row>
    <row r="8">
      <c r="A8" s="7" t="inlineStr">
        <is>
          <t>Tom Becker</t>
        </is>
      </c>
      <c r="B8" s="7" t="inlineStr">
        <is>
          <t>Design first draft</t>
        </is>
      </c>
      <c r="C8" s="8" t="n">
        <v>46176</v>
      </c>
      <c r="D8" s="7" t="inlineStr">
        <is>
          <t>Medium</t>
        </is>
      </c>
      <c r="E8" s="7" t="inlineStr">
        <is>
          <t>Yes</t>
        </is>
      </c>
    </row>
    <row r="9">
      <c r="A9" s="10" t="inlineStr">
        <is>
          <t>Julia Romero</t>
        </is>
      </c>
      <c r="B9" s="10" t="inlineStr">
        <is>
          <t>Fix reported bug</t>
        </is>
      </c>
      <c r="C9" s="11" t="n">
        <v>46182</v>
      </c>
      <c r="D9" s="10" t="inlineStr">
        <is>
          <t>Low</t>
        </is>
      </c>
      <c r="E9" s="10" t="inlineStr">
        <is>
          <t>No</t>
        </is>
      </c>
    </row>
    <row r="10">
      <c r="A10" s="7" t="inlineStr">
        <is>
          <t>Karim Ziani</t>
        </is>
      </c>
      <c r="B10" s="7" t="inlineStr">
        <is>
          <t>Weekly report</t>
        </is>
      </c>
      <c r="C10" s="8" t="n">
        <v>46188</v>
      </c>
      <c r="D10" s="7" t="inlineStr">
        <is>
          <t>Urgent</t>
        </is>
      </c>
      <c r="E10" s="7" t="inlineStr">
        <is>
          <t>Yes</t>
        </is>
      </c>
    </row>
    <row r="11">
      <c r="A11" s="10" t="inlineStr">
        <is>
          <t>Anna Kowalska</t>
        </is>
      </c>
      <c r="B11" s="10" t="inlineStr">
        <is>
          <t>Plan next sprint</t>
        </is>
      </c>
      <c r="C11" s="11" t="n">
        <v>46191</v>
      </c>
      <c r="D11" s="10" t="inlineStr">
        <is>
          <t>High</t>
        </is>
      </c>
      <c r="E11" s="10" t="inlineStr">
        <is>
          <t>No</t>
        </is>
      </c>
    </row>
    <row r="12">
      <c r="A12" s="7" t="inlineStr">
        <is>
          <t>David Chen</t>
        </is>
      </c>
      <c r="B12" s="7" t="inlineStr">
        <is>
          <t>Publish blog post</t>
        </is>
      </c>
      <c r="C12" s="8" t="n">
        <v>46197</v>
      </c>
      <c r="D12" s="7" t="inlineStr">
        <is>
          <t>Medium</t>
        </is>
      </c>
      <c r="E12" s="7" t="inlineStr">
        <is>
          <t>Yes</t>
        </is>
      </c>
    </row>
    <row r="13">
      <c r="A13" s="10" t="inlineStr">
        <is>
          <t>Lea Moreau</t>
        </is>
      </c>
      <c r="B13" s="10" t="inlineStr">
        <is>
          <t>Team sync</t>
        </is>
      </c>
      <c r="C13" s="11" t="n">
        <v>46175</v>
      </c>
      <c r="D13" s="10" t="inlineStr">
        <is>
          <t>Low</t>
        </is>
      </c>
      <c r="E13" s="10" t="inlineStr">
        <is>
          <t>No</t>
        </is>
      </c>
    </row>
  </sheetData>
  <dataValidations count="2">
    <dataValidation sqref="D2:D500" showDropDown="0" showInputMessage="0" showErrorMessage="0" allowBlank="1" type="list">
      <formula1>"Urgent,High,Medium,Low"</formula1>
    </dataValidation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>
      <c r="A1" s="6" t="inlineStr">
        <is>
          <t>Company</t>
        </is>
      </c>
      <c r="B1" s="6" t="inlineStr">
        <is>
          <t>Deal Value $</t>
        </is>
      </c>
      <c r="C1" s="6" t="inlineStr">
        <is>
          <t>Close Date</t>
        </is>
      </c>
      <c r="D1" s="6" t="inlineStr">
        <is>
          <t>Source</t>
        </is>
      </c>
      <c r="E1" s="6" t="inlineStr">
        <is>
          <t>Deal Type</t>
        </is>
      </c>
    </row>
    <row r="2">
      <c r="A2" s="7" t="inlineStr">
        <is>
          <t>BrightWave Studio</t>
        </is>
      </c>
      <c r="B2" s="9" t="n">
        <v>5000</v>
      </c>
      <c r="C2" s="8" t="n">
        <v>46174</v>
      </c>
      <c r="D2" s="7" t="inlineStr">
        <is>
          <t>Referral</t>
        </is>
      </c>
      <c r="E2" s="7" t="inlineStr">
        <is>
          <t>One-time</t>
        </is>
      </c>
    </row>
    <row r="3">
      <c r="A3" s="10" t="inlineStr">
        <is>
          <t>GreenLeaf Co.</t>
        </is>
      </c>
      <c r="B3" s="12" t="n">
        <v>3500</v>
      </c>
      <c r="C3" s="11" t="n">
        <v>46180</v>
      </c>
      <c r="D3" s="10" t="inlineStr">
        <is>
          <t>LinkedIn</t>
        </is>
      </c>
      <c r="E3" s="10" t="inlineStr">
        <is>
          <t>Monthly Retainer</t>
        </is>
      </c>
    </row>
    <row r="4">
      <c r="A4" s="7" t="inlineStr">
        <is>
          <t>Nova Digital</t>
        </is>
      </c>
      <c r="B4" s="9" t="n">
        <v>6500</v>
      </c>
      <c r="C4" s="8" t="n">
        <v>46186</v>
      </c>
      <c r="D4" s="7" t="inlineStr">
        <is>
          <t>Cold Email</t>
        </is>
      </c>
      <c r="E4" s="7" t="inlineStr">
        <is>
          <t>Annual</t>
        </is>
      </c>
    </row>
    <row r="5">
      <c r="A5" s="10" t="inlineStr">
        <is>
          <t>Atlas Consulting</t>
        </is>
      </c>
      <c r="B5" s="12" t="n">
        <v>4250</v>
      </c>
      <c r="C5" s="11" t="n">
        <v>46189</v>
      </c>
      <c r="D5" s="10" t="inlineStr">
        <is>
          <t>Inbound</t>
        </is>
      </c>
      <c r="E5" s="10" t="inlineStr">
        <is>
          <t>Project</t>
        </is>
      </c>
    </row>
    <row r="6">
      <c r="A6" s="7" t="inlineStr">
        <is>
          <t>Pixel &amp; Co</t>
        </is>
      </c>
      <c r="B6" s="9" t="n">
        <v>5750</v>
      </c>
      <c r="C6" s="8" t="n">
        <v>46195</v>
      </c>
      <c r="D6" s="7" t="inlineStr">
        <is>
          <t>Website</t>
        </is>
      </c>
      <c r="E6" s="7" t="inlineStr">
        <is>
          <t>One-time</t>
        </is>
      </c>
    </row>
    <row r="7">
      <c r="A7" s="10" t="inlineStr">
        <is>
          <t>Blue Harbor Ltd</t>
        </is>
      </c>
      <c r="B7" s="12" t="n">
        <v>3000</v>
      </c>
      <c r="C7" s="11" t="n">
        <v>46201</v>
      </c>
      <c r="D7" s="10" t="inlineStr">
        <is>
          <t>Ad</t>
        </is>
      </c>
      <c r="E7" s="10" t="inlineStr">
        <is>
          <t>Monthly Retainer</t>
        </is>
      </c>
    </row>
    <row r="8">
      <c r="A8" s="7" t="inlineStr">
        <is>
          <t>Sunrise Media</t>
        </is>
      </c>
      <c r="B8" s="9" t="n">
        <v>7250</v>
      </c>
      <c r="C8" s="8" t="n">
        <v>46176</v>
      </c>
      <c r="D8" s="7" t="inlineStr">
        <is>
          <t>Referral</t>
        </is>
      </c>
      <c r="E8" s="7" t="inlineStr">
        <is>
          <t>Annual</t>
        </is>
      </c>
    </row>
    <row r="9">
      <c r="A9" s="10" t="inlineStr">
        <is>
          <t>UrbanCraft</t>
        </is>
      </c>
      <c r="B9" s="12" t="n">
        <v>4750</v>
      </c>
      <c r="C9" s="11" t="n">
        <v>46182</v>
      </c>
      <c r="D9" s="10" t="inlineStr">
        <is>
          <t>LinkedIn</t>
        </is>
      </c>
      <c r="E9" s="10" t="inlineStr">
        <is>
          <t>Project</t>
        </is>
      </c>
    </row>
    <row r="10">
      <c r="A10" s="7" t="inlineStr">
        <is>
          <t>PrimeWorks</t>
        </is>
      </c>
      <c r="B10" s="9" t="n">
        <v>6250</v>
      </c>
      <c r="C10" s="8" t="n">
        <v>46188</v>
      </c>
      <c r="D10" s="7" t="inlineStr">
        <is>
          <t>Cold Email</t>
        </is>
      </c>
      <c r="E10" s="7" t="inlineStr">
        <is>
          <t>One-time</t>
        </is>
      </c>
    </row>
    <row r="11">
      <c r="A11" s="10" t="inlineStr">
        <is>
          <t>EchoLab</t>
        </is>
      </c>
      <c r="B11" s="12" t="n">
        <v>4000</v>
      </c>
      <c r="C11" s="11" t="n">
        <v>46191</v>
      </c>
      <c r="D11" s="10" t="inlineStr">
        <is>
          <t>Inbound</t>
        </is>
      </c>
      <c r="E11" s="10" t="inlineStr">
        <is>
          <t>Monthly Retainer</t>
        </is>
      </c>
    </row>
    <row r="12">
      <c r="A12" s="7" t="inlineStr">
        <is>
          <t>Vertex Group</t>
        </is>
      </c>
      <c r="B12" s="9" t="n">
        <v>5500</v>
      </c>
      <c r="C12" s="8" t="n">
        <v>46197</v>
      </c>
      <c r="D12" s="7" t="inlineStr">
        <is>
          <t>Website</t>
        </is>
      </c>
      <c r="E12" s="7" t="inlineStr">
        <is>
          <t>Annual</t>
        </is>
      </c>
    </row>
    <row r="13">
      <c r="A13" s="10" t="inlineStr">
        <is>
          <t>ClearPath Inc</t>
        </is>
      </c>
      <c r="B13" s="12" t="n">
        <v>3750</v>
      </c>
      <c r="C13" s="11" t="n">
        <v>46175</v>
      </c>
      <c r="D13" s="10" t="inlineStr">
        <is>
          <t>Ad</t>
        </is>
      </c>
      <c r="E13" s="10" t="inlineStr">
        <is>
          <t>Project</t>
        </is>
      </c>
    </row>
  </sheetData>
  <dataValidations count="2">
    <dataValidation sqref="D2:D500" showDropDown="0" showInputMessage="0" showErrorMessage="0" allowBlank="1" type="list">
      <formula1>"Referral,LinkedIn,Cold Email,Inbound,Website,Ad"</formula1>
    </dataValidation>
    <dataValidation sqref="E2:E500" showDropDown="0" showInputMessage="0" showErrorMessage="0" allowBlank="1" type="list">
      <formula1>"One-time,Monthly Retainer,Annual,Project"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REPORTS</t>
        </is>
      </c>
    </row>
    <row r="4">
      <c r="B4" s="3" t="inlineStr">
        <is>
          <t>Sales Summary</t>
        </is>
      </c>
    </row>
    <row r="5">
      <c r="B5" s="10" t="inlineStr">
        <is>
          <t>Total Leads</t>
        </is>
      </c>
      <c r="C5" s="25">
        <f>COUNTA(Leads!A:A)-1</f>
        <v/>
      </c>
    </row>
    <row r="6">
      <c r="B6" s="7" t="inlineStr">
        <is>
          <t>Won Revenue</t>
        </is>
      </c>
      <c r="C6" s="26">
        <f>SUM(Won_Deals!B:B)</f>
        <v/>
      </c>
    </row>
    <row r="7">
      <c r="B7" s="10" t="inlineStr">
        <is>
          <t>Win Rate</t>
        </is>
      </c>
      <c r="C7" s="27">
        <f>TEXT(COUNTA(Won_Deals!A:A)/COUNTA(Leads!A:A),"0%")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