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mpaigns" sheetId="2" state="visible" r:id="rId2"/>
    <sheet name="Dashboard" sheetId="3" state="visible" r:id="rId3"/>
    <sheet name="Monthly Budget" sheetId="4" state="visible" r:id="rId4"/>
    <sheet name="Ad Creative" sheetId="5" state="visible" r:id="rId5"/>
    <sheet name="Annual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E91E8C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D1B2A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7F0"/>
      </patternFill>
    </fill>
    <fill>
      <patternFill patternType="solid">
        <fgColor rgb="00E91E8C"/>
      </patternFill>
    </fill>
    <fill>
      <patternFill patternType="solid">
        <fgColor rgb="0000BCD4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4" fontId="5" fillId="0" borderId="1" pivotButton="0" quotePrefix="0" xfId="0"/>
    <xf numFmtId="164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📢  MARKETING BUDGET PLANNER</t>
        </is>
      </c>
    </row>
    <row r="3"/>
    <row r="4">
      <c r="B4" s="2" t="inlineStr">
        <is>
          <t>Ad Spend, ROI &amp; Campaign Tracker Google Sheets</t>
        </is>
      </c>
    </row>
    <row r="6">
      <c r="B6" s="3" t="inlineStr">
        <is>
          <t>STEP 1 — Fill in “Campaigns”</t>
        </is>
      </c>
    </row>
    <row r="7" ht="28" customHeight="1">
      <c r="B7" s="4" t="inlineStr">
        <is>
          <t>All campaigns: budget, spend, leads, and revenue.</t>
        </is>
      </c>
    </row>
    <row r="9">
      <c r="B9" s="3" t="inlineStr">
        <is>
          <t>STEP 2 — Fill in “Monthly Budget”</t>
        </is>
      </c>
    </row>
    <row r="10" ht="28" customHeight="1">
      <c r="B10" s="4" t="inlineStr">
        <is>
          <t>Monthly marketing budget allocation by channel.</t>
        </is>
      </c>
    </row>
    <row r="12">
      <c r="B12" s="3" t="inlineStr">
        <is>
          <t>STEP 3 — Fill in “Ad Creative”</t>
        </is>
      </c>
    </row>
    <row r="13" ht="28" customHeight="1">
      <c r="B13" s="4" t="inlineStr">
        <is>
          <t>Ad creative tracker: what images and copy perform best.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>
      <c r="A1" s="6" t="inlineStr">
        <is>
          <t>Campaign</t>
        </is>
      </c>
      <c r="B1" s="6" t="inlineStr">
        <is>
          <t>Channel</t>
        </is>
      </c>
      <c r="C1" s="6" t="inlineStr">
        <is>
          <t>Budget $</t>
        </is>
      </c>
      <c r="D1" s="6" t="inlineStr">
        <is>
          <t>Spent $</t>
        </is>
      </c>
      <c r="E1" s="6" t="inlineStr">
        <is>
          <t>Leads</t>
        </is>
      </c>
      <c r="F1" s="6" t="inlineStr">
        <is>
          <t>Revenue $</t>
        </is>
      </c>
      <c r="G1" s="6" t="inlineStr">
        <is>
          <t>ROAS</t>
        </is>
      </c>
      <c r="H1" s="6" t="inlineStr">
        <is>
          <t>Status</t>
        </is>
      </c>
    </row>
    <row r="2">
      <c r="A2" s="7" t="inlineStr">
        <is>
          <t>Facebook Brand Awareness</t>
        </is>
      </c>
      <c r="B2" s="7" t="inlineStr">
        <is>
          <t>Facebook Ads</t>
        </is>
      </c>
      <c r="C2" s="8" t="n">
        <v>1000</v>
      </c>
      <c r="D2" s="8" t="n">
        <v>876</v>
      </c>
      <c r="E2" s="7" t="n">
        <v>45</v>
      </c>
      <c r="F2" s="8" t="n">
        <v>2340</v>
      </c>
      <c r="G2" s="7">
        <f>F2/D2</f>
        <v/>
      </c>
      <c r="H2" s="7" t="inlineStr">
        <is>
          <t>Active</t>
        </is>
      </c>
    </row>
    <row r="3">
      <c r="A3" s="9" t="inlineStr">
        <is>
          <t>Facebook Brand Awareness</t>
        </is>
      </c>
      <c r="B3" s="9" t="inlineStr">
        <is>
          <t>Google Ads</t>
        </is>
      </c>
      <c r="C3" s="10" t="n">
        <v>700</v>
      </c>
      <c r="D3" s="10" t="n">
        <v>613</v>
      </c>
      <c r="E3" s="9" t="n">
        <v>31.5</v>
      </c>
      <c r="F3" s="10" t="n">
        <v>1638</v>
      </c>
      <c r="G3" s="9">
        <f>F3/D3</f>
        <v/>
      </c>
      <c r="H3" s="9" t="inlineStr">
        <is>
          <t>Paused</t>
        </is>
      </c>
    </row>
    <row r="4">
      <c r="A4" s="7" t="inlineStr"/>
      <c r="B4" s="7" t="inlineStr">
        <is>
          <t>Instagram</t>
        </is>
      </c>
      <c r="C4" s="8" t="n">
        <v>1300</v>
      </c>
      <c r="D4" s="8" t="n">
        <v>1139</v>
      </c>
      <c r="E4" s="7" t="n">
        <v>58.5</v>
      </c>
      <c r="F4" s="8" t="n">
        <v>3042</v>
      </c>
      <c r="G4" s="7">
        <f>F4/D4</f>
        <v/>
      </c>
      <c r="H4" s="7" t="inlineStr">
        <is>
          <t>Completed</t>
        </is>
      </c>
    </row>
    <row r="5">
      <c r="A5" s="9" t="inlineStr">
        <is>
          <t>Facebook Brand Awareness</t>
        </is>
      </c>
      <c r="B5" s="9" t="inlineStr">
        <is>
          <t>TikTok Ads</t>
        </is>
      </c>
      <c r="C5" s="10" t="n">
        <v>850</v>
      </c>
      <c r="D5" s="10" t="n">
        <v>745</v>
      </c>
      <c r="E5" s="9" t="n">
        <v>38.25</v>
      </c>
      <c r="F5" s="10" t="n">
        <v>1989</v>
      </c>
      <c r="G5" s="9">
        <f>F5/D5</f>
        <v/>
      </c>
      <c r="H5" s="9" t="inlineStr">
        <is>
          <t>Testing</t>
        </is>
      </c>
    </row>
    <row r="6">
      <c r="A6" s="7" t="inlineStr">
        <is>
          <t>Facebook Brand Awareness</t>
        </is>
      </c>
      <c r="B6" s="7" t="inlineStr">
        <is>
          <t>Email</t>
        </is>
      </c>
      <c r="C6" s="8" t="n">
        <v>1150</v>
      </c>
      <c r="D6" s="8" t="n">
        <v>1007</v>
      </c>
      <c r="E6" s="7" t="n">
        <v>51.75</v>
      </c>
      <c r="F6" s="8" t="n">
        <v>2691</v>
      </c>
      <c r="G6" s="7">
        <f>F6/D6</f>
        <v/>
      </c>
      <c r="H6" s="7" t="inlineStr">
        <is>
          <t>Active</t>
        </is>
      </c>
    </row>
    <row r="7">
      <c r="A7" s="9" t="inlineStr"/>
      <c r="B7" s="9" t="inlineStr">
        <is>
          <t>SEO</t>
        </is>
      </c>
      <c r="C7" s="10" t="n">
        <v>600</v>
      </c>
      <c r="D7" s="10" t="n">
        <v>526</v>
      </c>
      <c r="E7" s="9" t="n">
        <v>27</v>
      </c>
      <c r="F7" s="10" t="n">
        <v>1404</v>
      </c>
      <c r="G7" s="9">
        <f>F7/D7</f>
        <v/>
      </c>
      <c r="H7" s="9" t="inlineStr">
        <is>
          <t>Paused</t>
        </is>
      </c>
    </row>
    <row r="8">
      <c r="A8" s="7" t="inlineStr">
        <is>
          <t>Facebook Brand Awareness</t>
        </is>
      </c>
      <c r="B8" s="7" t="inlineStr">
        <is>
          <t>YouTube</t>
        </is>
      </c>
      <c r="C8" s="8" t="n">
        <v>1450</v>
      </c>
      <c r="D8" s="8" t="n">
        <v>1270</v>
      </c>
      <c r="E8" s="7" t="n">
        <v>65.25</v>
      </c>
      <c r="F8" s="8" t="n">
        <v>3393</v>
      </c>
      <c r="G8" s="7">
        <f>F8/D8</f>
        <v/>
      </c>
      <c r="H8" s="7" t="inlineStr">
        <is>
          <t>Completed</t>
        </is>
      </c>
    </row>
    <row r="9">
      <c r="A9" s="9" t="inlineStr">
        <is>
          <t>Facebook Brand Awareness</t>
        </is>
      </c>
      <c r="B9" s="9" t="inlineStr">
        <is>
          <t>LinkedIn</t>
        </is>
      </c>
      <c r="C9" s="10" t="n">
        <v>950</v>
      </c>
      <c r="D9" s="10" t="n">
        <v>832</v>
      </c>
      <c r="E9" s="9" t="n">
        <v>42.75</v>
      </c>
      <c r="F9" s="10" t="n">
        <v>2223</v>
      </c>
      <c r="G9" s="9">
        <f>F9/D9</f>
        <v/>
      </c>
      <c r="H9" s="9" t="inlineStr">
        <is>
          <t>Testing</t>
        </is>
      </c>
    </row>
    <row r="10">
      <c r="A10" s="7" t="inlineStr"/>
      <c r="B10" s="7" t="inlineStr">
        <is>
          <t>Other</t>
        </is>
      </c>
      <c r="C10" s="8" t="n">
        <v>1250</v>
      </c>
      <c r="D10" s="8" t="n">
        <v>1095</v>
      </c>
      <c r="E10" s="7" t="n">
        <v>56.25</v>
      </c>
      <c r="F10" s="8" t="n">
        <v>2925</v>
      </c>
      <c r="G10" s="7">
        <f>F10/D10</f>
        <v/>
      </c>
      <c r="H10" s="7" t="inlineStr">
        <is>
          <t>Active</t>
        </is>
      </c>
    </row>
    <row r="11">
      <c r="A11" s="9" t="inlineStr">
        <is>
          <t>Facebook Brand Awareness</t>
        </is>
      </c>
      <c r="B11" s="9" t="inlineStr">
        <is>
          <t>Facebook Ads</t>
        </is>
      </c>
      <c r="C11" s="10" t="n">
        <v>800</v>
      </c>
      <c r="D11" s="10" t="n">
        <v>701</v>
      </c>
      <c r="E11" s="9" t="n">
        <v>36</v>
      </c>
      <c r="F11" s="10" t="n">
        <v>1872</v>
      </c>
      <c r="G11" s="9">
        <f>F11/D11</f>
        <v/>
      </c>
      <c r="H11" s="9" t="inlineStr">
        <is>
          <t>Paused</t>
        </is>
      </c>
    </row>
    <row r="12">
      <c r="A12" s="7" t="inlineStr">
        <is>
          <t>Facebook Brand Awareness</t>
        </is>
      </c>
      <c r="B12" s="7" t="inlineStr">
        <is>
          <t>Google Ads</t>
        </is>
      </c>
      <c r="C12" s="8" t="n">
        <v>1100</v>
      </c>
      <c r="D12" s="8" t="n">
        <v>964</v>
      </c>
      <c r="E12" s="7" t="n">
        <v>49.5</v>
      </c>
      <c r="F12" s="8" t="n">
        <v>2574</v>
      </c>
      <c r="G12" s="7">
        <f>F12/D12</f>
        <v/>
      </c>
      <c r="H12" s="7" t="inlineStr">
        <is>
          <t>Completed</t>
        </is>
      </c>
    </row>
    <row r="13">
      <c r="A13" s="9" t="inlineStr"/>
      <c r="B13" s="9" t="inlineStr">
        <is>
          <t>Instagram</t>
        </is>
      </c>
      <c r="C13" s="10" t="n">
        <v>750</v>
      </c>
      <c r="D13" s="10" t="n">
        <v>657</v>
      </c>
      <c r="E13" s="9" t="n">
        <v>33.75</v>
      </c>
      <c r="F13" s="10" t="n">
        <v>1755</v>
      </c>
      <c r="G13" s="9">
        <f>F13/D13</f>
        <v/>
      </c>
      <c r="H13" s="9" t="inlineStr">
        <is>
          <t>Testing</t>
        </is>
      </c>
    </row>
  </sheetData>
  <dataValidations count="2">
    <dataValidation sqref="B2:B500" showDropDown="0" showInputMessage="0" showErrorMessage="0" allowBlank="1" type="list">
      <formula1>"Facebook Ads,Google Ads,Instagram,TikTok Ads,Email,SEO,YouTube,LinkedIn,Other"</formula1>
    </dataValidation>
    <dataValidation sqref="H2:H500" showDropDown="0" showInputMessage="0" showErrorMessage="0" allowBlank="1" type="list">
      <formula1>"Active,Paused,Completed,Testing"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MARKETING BUDGET PLANNER — DASHBOARD</t>
        </is>
      </c>
    </row>
    <row r="4">
      <c r="B4" s="12" t="inlineStr">
        <is>
          <t>TOTAL BUDGET $</t>
        </is>
      </c>
      <c r="D4" s="13" t="inlineStr">
        <is>
          <t>TOTAL SPENT $</t>
        </is>
      </c>
      <c r="F4" s="14" t="inlineStr">
        <is>
          <t>TOTAL REVENUE $</t>
        </is>
      </c>
      <c r="H4" s="15" t="inlineStr">
        <is>
          <t>OVERALL ROAS</t>
        </is>
      </c>
    </row>
    <row r="5" ht="26" customHeight="1">
      <c r="B5" s="16">
        <f>SUM(Campaigns!C:C)</f>
        <v/>
      </c>
      <c r="D5" s="17">
        <f>SUM(Campaigns!D:D)</f>
        <v/>
      </c>
      <c r="F5" s="18">
        <f>SUM(Campaigns!F:F)</f>
        <v/>
      </c>
      <c r="H5" s="19">
        <f>TEXT(SUM(Campaigns!F:F)/SUM(Campaigns!D:D),"0.0")</f>
        <v/>
      </c>
    </row>
    <row r="8">
      <c r="B8" s="20" t="inlineStr">
        <is>
          <t>WHAT'S INSIDE</t>
        </is>
      </c>
    </row>
    <row r="9">
      <c r="B9" s="21" t="inlineStr">
        <is>
          <t>📊  Campaigns — All campaigns: budget, spend, leads, and revenue.</t>
        </is>
      </c>
    </row>
    <row r="10">
      <c r="B10" s="21" t="inlineStr">
        <is>
          <t>📅  Monthly Budget — Monthly marketing budget allocation by channel.</t>
        </is>
      </c>
    </row>
    <row r="11">
      <c r="B11" s="21" t="inlineStr">
        <is>
          <t>🎨  Ad Creative — Ad creative tracker: what images and copy perform best.</t>
        </is>
      </c>
    </row>
    <row r="12">
      <c r="B12" s="21" t="inlineStr">
        <is>
          <t>📋  Annual Report — Annual marketing ROI summary by channel.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Month</t>
        </is>
      </c>
      <c r="B1" s="6" t="inlineStr">
        <is>
          <t>Facebook $</t>
        </is>
      </c>
      <c r="C1" s="6" t="inlineStr">
        <is>
          <t>Google $</t>
        </is>
      </c>
      <c r="D1" s="6" t="inlineStr">
        <is>
          <t>Email $</t>
        </is>
      </c>
      <c r="E1" s="6" t="inlineStr">
        <is>
          <t>Other $</t>
        </is>
      </c>
      <c r="F1" s="6" t="inlineStr">
        <is>
          <t>Total $</t>
        </is>
      </c>
      <c r="G1" s="6" t="inlineStr">
        <is>
          <t>Revenue $</t>
        </is>
      </c>
    </row>
    <row r="2">
      <c r="A2" s="7" t="inlineStr">
        <is>
          <t>January 2024</t>
        </is>
      </c>
      <c r="B2" s="7" t="n">
        <v>500</v>
      </c>
      <c r="C2" s="7" t="n">
        <v>300</v>
      </c>
      <c r="D2" s="7" t="n">
        <v>50</v>
      </c>
      <c r="E2" s="7" t="n">
        <v>150</v>
      </c>
      <c r="F2" s="7">
        <f>B2+C2+D2+E2</f>
        <v/>
      </c>
      <c r="G2" s="8" t="n">
        <v>2800</v>
      </c>
    </row>
    <row r="3">
      <c r="A3" s="9" t="inlineStr">
        <is>
          <t>January 2025</t>
        </is>
      </c>
      <c r="B3" s="9" t="n">
        <v>350</v>
      </c>
      <c r="C3" s="9" t="n">
        <v>210</v>
      </c>
      <c r="D3" s="9" t="n">
        <v>35</v>
      </c>
      <c r="E3" s="9" t="n">
        <v>105</v>
      </c>
      <c r="F3" s="9">
        <f>B3+C3+D3+E3</f>
        <v/>
      </c>
      <c r="G3" s="10" t="n">
        <v>1960</v>
      </c>
    </row>
    <row r="4">
      <c r="A4" s="7" t="inlineStr">
        <is>
          <t>January 2026</t>
        </is>
      </c>
      <c r="B4" s="7" t="n">
        <v>650</v>
      </c>
      <c r="C4" s="7" t="n">
        <v>390</v>
      </c>
      <c r="D4" s="7" t="n">
        <v>65</v>
      </c>
      <c r="E4" s="7" t="n">
        <v>195</v>
      </c>
      <c r="F4" s="7">
        <f>B4+C4+D4+E4</f>
        <v/>
      </c>
      <c r="G4" s="8" t="n">
        <v>3640</v>
      </c>
    </row>
    <row r="5">
      <c r="A5" s="9" t="inlineStr">
        <is>
          <t>January 2027</t>
        </is>
      </c>
      <c r="B5" s="9" t="n">
        <v>425</v>
      </c>
      <c r="C5" s="9" t="n">
        <v>255</v>
      </c>
      <c r="D5" s="9" t="n">
        <v>42.5</v>
      </c>
      <c r="E5" s="9" t="n">
        <v>128</v>
      </c>
      <c r="F5" s="9">
        <f>B5+C5+D5+E5</f>
        <v/>
      </c>
      <c r="G5" s="10" t="n">
        <v>2380</v>
      </c>
    </row>
    <row r="6">
      <c r="A6" s="7" t="inlineStr">
        <is>
          <t>January 2028</t>
        </is>
      </c>
      <c r="B6" s="7" t="n">
        <v>575</v>
      </c>
      <c r="C6" s="7" t="n">
        <v>345</v>
      </c>
      <c r="D6" s="7" t="n">
        <v>57.5</v>
      </c>
      <c r="E6" s="7" t="n">
        <v>172</v>
      </c>
      <c r="F6" s="7">
        <f>B6+C6+D6+E6</f>
        <v/>
      </c>
      <c r="G6" s="8" t="n">
        <v>3220</v>
      </c>
    </row>
    <row r="7">
      <c r="A7" s="9" t="inlineStr">
        <is>
          <t>January 2029</t>
        </is>
      </c>
      <c r="B7" s="9" t="n">
        <v>300</v>
      </c>
      <c r="C7" s="9" t="n">
        <v>180</v>
      </c>
      <c r="D7" s="9" t="n">
        <v>30</v>
      </c>
      <c r="E7" s="9" t="n">
        <v>90</v>
      </c>
      <c r="F7" s="9">
        <f>B7+C7+D7+E7</f>
        <v/>
      </c>
      <c r="G7" s="10" t="n">
        <v>1680</v>
      </c>
    </row>
    <row r="8">
      <c r="A8" s="7" t="inlineStr">
        <is>
          <t>January 2030</t>
        </is>
      </c>
      <c r="B8" s="7" t="n">
        <v>725</v>
      </c>
      <c r="C8" s="7" t="n">
        <v>435</v>
      </c>
      <c r="D8" s="7" t="n">
        <v>72.5</v>
      </c>
      <c r="E8" s="7" t="n">
        <v>218</v>
      </c>
      <c r="F8" s="7">
        <f>B8+C8+D8+E8</f>
        <v/>
      </c>
      <c r="G8" s="8" t="n">
        <v>4060</v>
      </c>
    </row>
    <row r="9">
      <c r="A9" s="9" t="inlineStr">
        <is>
          <t>January 2031</t>
        </is>
      </c>
      <c r="B9" s="9" t="n">
        <v>475</v>
      </c>
      <c r="C9" s="9" t="n">
        <v>285</v>
      </c>
      <c r="D9" s="9" t="n">
        <v>47.5</v>
      </c>
      <c r="E9" s="9" t="n">
        <v>142</v>
      </c>
      <c r="F9" s="9">
        <f>B9+C9+D9+E9</f>
        <v/>
      </c>
      <c r="G9" s="10" t="n">
        <v>2660</v>
      </c>
    </row>
    <row r="10">
      <c r="A10" s="7" t="inlineStr">
        <is>
          <t>January 2032</t>
        </is>
      </c>
      <c r="B10" s="7" t="n">
        <v>625</v>
      </c>
      <c r="C10" s="7" t="n">
        <v>375</v>
      </c>
      <c r="D10" s="7" t="n">
        <v>62.5</v>
      </c>
      <c r="E10" s="7" t="n">
        <v>188</v>
      </c>
      <c r="F10" s="7">
        <f>B10+C10+D10+E10</f>
        <v/>
      </c>
      <c r="G10" s="8" t="n">
        <v>3500</v>
      </c>
    </row>
    <row r="11">
      <c r="A11" s="9" t="inlineStr">
        <is>
          <t>January 2033</t>
        </is>
      </c>
      <c r="B11" s="9" t="n">
        <v>400</v>
      </c>
      <c r="C11" s="9" t="n">
        <v>240</v>
      </c>
      <c r="D11" s="9" t="n">
        <v>40</v>
      </c>
      <c r="E11" s="9" t="n">
        <v>120</v>
      </c>
      <c r="F11" s="9">
        <f>B11+C11+D11+E11</f>
        <v/>
      </c>
      <c r="G11" s="10" t="n">
        <v>2240</v>
      </c>
    </row>
    <row r="12">
      <c r="A12" s="7" t="inlineStr">
        <is>
          <t>January 2034</t>
        </is>
      </c>
      <c r="B12" s="7" t="n">
        <v>550</v>
      </c>
      <c r="C12" s="7" t="n">
        <v>330</v>
      </c>
      <c r="D12" s="7" t="n">
        <v>55</v>
      </c>
      <c r="E12" s="7" t="n">
        <v>165</v>
      </c>
      <c r="F12" s="7">
        <f>B12+C12+D12+E12</f>
        <v/>
      </c>
      <c r="G12" s="8" t="n">
        <v>3080</v>
      </c>
    </row>
    <row r="13">
      <c r="A13" s="9" t="inlineStr">
        <is>
          <t>January 2035</t>
        </is>
      </c>
      <c r="B13" s="9" t="n">
        <v>375</v>
      </c>
      <c r="C13" s="9" t="n">
        <v>225</v>
      </c>
      <c r="D13" s="9" t="n">
        <v>37.5</v>
      </c>
      <c r="E13" s="9" t="n">
        <v>112</v>
      </c>
      <c r="F13" s="9">
        <f>B13+C13+D13+E13</f>
        <v/>
      </c>
      <c r="G13" s="10" t="n">
        <v>2100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>
      <c r="A1" s="6" t="inlineStr">
        <is>
          <t>Creative</t>
        </is>
      </c>
      <c r="B1" s="6" t="inlineStr">
        <is>
          <t>Channel</t>
        </is>
      </c>
      <c r="C1" s="6" t="inlineStr">
        <is>
          <t>Impressions</t>
        </is>
      </c>
      <c r="D1" s="6" t="inlineStr">
        <is>
          <t>CTR %</t>
        </is>
      </c>
      <c r="E1" s="6" t="inlineStr">
        <is>
          <t>Conversions</t>
        </is>
      </c>
      <c r="F1" s="6" t="inlineStr">
        <is>
          <t>Status</t>
        </is>
      </c>
    </row>
    <row r="2">
      <c r="A2" s="7" t="inlineStr">
        <is>
          <t>Blue background - discount offer</t>
        </is>
      </c>
      <c r="B2" s="7" t="inlineStr">
        <is>
          <t>Facebook</t>
        </is>
      </c>
      <c r="C2" s="7" t="n">
        <v>45000</v>
      </c>
      <c r="D2" s="7" t="n">
        <v>2.4</v>
      </c>
      <c r="E2" s="7" t="n">
        <v>34</v>
      </c>
      <c r="F2" s="7" t="inlineStr">
        <is>
          <t>Active</t>
        </is>
      </c>
    </row>
    <row r="3">
      <c r="A3" s="9" t="inlineStr">
        <is>
          <t>Blue background - discount offer</t>
        </is>
      </c>
      <c r="B3" s="9" t="inlineStr">
        <is>
          <t>Instagram</t>
        </is>
      </c>
      <c r="C3" s="9" t="n">
        <v>31500</v>
      </c>
      <c r="D3" s="9" t="n">
        <v>1.68</v>
      </c>
      <c r="E3" s="9" t="n">
        <v>23.8</v>
      </c>
      <c r="F3" s="9" t="inlineStr">
        <is>
          <t>Paused</t>
        </is>
      </c>
    </row>
    <row r="4">
      <c r="A4" s="7" t="inlineStr"/>
      <c r="B4" s="7" t="inlineStr">
        <is>
          <t>Google</t>
        </is>
      </c>
      <c r="C4" s="7" t="n">
        <v>58500</v>
      </c>
      <c r="D4" s="7" t="n">
        <v>3.12</v>
      </c>
      <c r="E4" s="7" t="n">
        <v>44.2</v>
      </c>
      <c r="F4" s="7" t="inlineStr">
        <is>
          <t>Winner</t>
        </is>
      </c>
    </row>
    <row r="5">
      <c r="A5" s="9" t="inlineStr">
        <is>
          <t>Blue background - discount offer</t>
        </is>
      </c>
      <c r="B5" s="9" t="inlineStr">
        <is>
          <t>TikTok</t>
        </is>
      </c>
      <c r="C5" s="9" t="n">
        <v>38250</v>
      </c>
      <c r="D5" s="9" t="n">
        <v>2.04</v>
      </c>
      <c r="E5" s="9" t="n">
        <v>28.9</v>
      </c>
      <c r="F5" s="9" t="inlineStr">
        <is>
          <t>Loser</t>
        </is>
      </c>
    </row>
    <row r="6">
      <c r="A6" s="7" t="inlineStr">
        <is>
          <t>Blue background - discount offer</t>
        </is>
      </c>
      <c r="B6" s="7" t="inlineStr">
        <is>
          <t>YouTube</t>
        </is>
      </c>
      <c r="C6" s="7" t="n">
        <v>51750</v>
      </c>
      <c r="D6" s="7" t="n">
        <v>2.76</v>
      </c>
      <c r="E6" s="7" t="n">
        <v>39.1</v>
      </c>
      <c r="F6" s="7" t="inlineStr">
        <is>
          <t>Testing</t>
        </is>
      </c>
    </row>
    <row r="7">
      <c r="A7" s="9" t="inlineStr"/>
      <c r="B7" s="9" t="inlineStr">
        <is>
          <t>Facebook</t>
        </is>
      </c>
      <c r="C7" s="9" t="n">
        <v>27000</v>
      </c>
      <c r="D7" s="9" t="n">
        <v>1.44</v>
      </c>
      <c r="E7" s="9" t="n">
        <v>20.4</v>
      </c>
      <c r="F7" s="9" t="inlineStr">
        <is>
          <t>Active</t>
        </is>
      </c>
    </row>
    <row r="8">
      <c r="A8" s="7" t="inlineStr">
        <is>
          <t>Blue background - discount offer</t>
        </is>
      </c>
      <c r="B8" s="7" t="inlineStr">
        <is>
          <t>Instagram</t>
        </is>
      </c>
      <c r="C8" s="7" t="n">
        <v>65250</v>
      </c>
      <c r="D8" s="7" t="n">
        <v>3.48</v>
      </c>
      <c r="E8" s="7" t="n">
        <v>49.3</v>
      </c>
      <c r="F8" s="7" t="inlineStr">
        <is>
          <t>Paused</t>
        </is>
      </c>
    </row>
    <row r="9">
      <c r="A9" s="9" t="inlineStr">
        <is>
          <t>Blue background - discount offer</t>
        </is>
      </c>
      <c r="B9" s="9" t="inlineStr">
        <is>
          <t>Google</t>
        </is>
      </c>
      <c r="C9" s="9" t="n">
        <v>42750</v>
      </c>
      <c r="D9" s="9" t="n">
        <v>2.28</v>
      </c>
      <c r="E9" s="9" t="n">
        <v>32.3</v>
      </c>
      <c r="F9" s="9" t="inlineStr">
        <is>
          <t>Winner</t>
        </is>
      </c>
    </row>
    <row r="10">
      <c r="A10" s="7" t="inlineStr"/>
      <c r="B10" s="7" t="inlineStr">
        <is>
          <t>TikTok</t>
        </is>
      </c>
      <c r="C10" s="7" t="n">
        <v>56250</v>
      </c>
      <c r="D10" s="7" t="n">
        <v>3</v>
      </c>
      <c r="E10" s="7" t="n">
        <v>42.5</v>
      </c>
      <c r="F10" s="7" t="inlineStr">
        <is>
          <t>Loser</t>
        </is>
      </c>
    </row>
    <row r="11">
      <c r="A11" s="9" t="inlineStr">
        <is>
          <t>Blue background - discount offer</t>
        </is>
      </c>
      <c r="B11" s="9" t="inlineStr">
        <is>
          <t>YouTube</t>
        </is>
      </c>
      <c r="C11" s="9" t="n">
        <v>36000</v>
      </c>
      <c r="D11" s="9" t="n">
        <v>1.92</v>
      </c>
      <c r="E11" s="9" t="n">
        <v>27.2</v>
      </c>
      <c r="F11" s="9" t="inlineStr">
        <is>
          <t>Testing</t>
        </is>
      </c>
    </row>
    <row r="12">
      <c r="A12" s="7" t="inlineStr">
        <is>
          <t>Blue background - discount offer</t>
        </is>
      </c>
      <c r="B12" s="7" t="inlineStr">
        <is>
          <t>Facebook</t>
        </is>
      </c>
      <c r="C12" s="7" t="n">
        <v>49500</v>
      </c>
      <c r="D12" s="7" t="n">
        <v>2.64</v>
      </c>
      <c r="E12" s="7" t="n">
        <v>37.4</v>
      </c>
      <c r="F12" s="7" t="inlineStr">
        <is>
          <t>Active</t>
        </is>
      </c>
    </row>
    <row r="13">
      <c r="A13" s="9" t="inlineStr"/>
      <c r="B13" s="9" t="inlineStr">
        <is>
          <t>Instagram</t>
        </is>
      </c>
      <c r="C13" s="9" t="n">
        <v>33750</v>
      </c>
      <c r="D13" s="9" t="n">
        <v>1.8</v>
      </c>
      <c r="E13" s="9" t="n">
        <v>25.5</v>
      </c>
      <c r="F13" s="9" t="inlineStr">
        <is>
          <t>Paused</t>
        </is>
      </c>
    </row>
  </sheetData>
  <dataValidations count="2">
    <dataValidation sqref="B2:B500" showDropDown="0" showInputMessage="0" showErrorMessage="0" allowBlank="1" type="list">
      <formula1>"Facebook,Instagram,Google,TikTok,YouTube"</formula1>
    </dataValidation>
    <dataValidation sqref="F2:F500" showDropDown="0" showInputMessage="0" showErrorMessage="0" allowBlank="1" type="list">
      <formula1>"Active,Paused,Winner,Loser,Testing"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2" t="inlineStr">
        <is>
          <t>📈  ANNUAL REPORT</t>
        </is>
      </c>
    </row>
    <row r="4">
      <c r="B4" s="3" t="inlineStr">
        <is>
          <t>Marketing ROI Summary</t>
        </is>
      </c>
    </row>
    <row r="5">
      <c r="B5" s="9" t="inlineStr">
        <is>
          <t>Total Budget</t>
        </is>
      </c>
      <c r="C5" s="23">
        <f>SUM(Campaigns!C:C)</f>
        <v/>
      </c>
    </row>
    <row r="6">
      <c r="B6" s="7" t="inlineStr">
        <is>
          <t>Total Revenue</t>
        </is>
      </c>
      <c r="C6" s="24">
        <f>SUM(Campaigns!F:F)</f>
        <v/>
      </c>
    </row>
    <row r="7">
      <c r="B7" s="9" t="inlineStr">
        <is>
          <t>Overall ROAS</t>
        </is>
      </c>
      <c r="C7" s="25">
        <f>TEXT(SUM(Campaigns!F:F)/SUM(Campaigns!D:D),"0.0x")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