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ales" sheetId="2" state="visible" r:id="rId2"/>
    <sheet name="Dashboard" sheetId="3" state="visible" r:id="rId3"/>
    <sheet name="Inventory" sheetId="4" state="visible" r:id="rId4"/>
    <sheet name="Expenses" sheetId="5" state="visible" r:id="rId5"/>
    <sheet name="Monthly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F97316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A1A2E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7F0"/>
      </patternFill>
    </fill>
    <fill>
      <patternFill patternType="solid">
        <fgColor rgb="00F97316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165" fontId="5" fillId="3" borderId="1" pivotButton="0" quotePrefix="0" xfId="0"/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🍽️  RESTAURANT &amp; CAFE MANAGER</t>
        </is>
      </c>
    </row>
    <row r="3"/>
    <row r="4">
      <c r="B4" s="2" t="inlineStr">
        <is>
          <t>Sales, Inventory &amp; Costs — your whole operation</t>
        </is>
      </c>
    </row>
    <row r="6">
      <c r="B6" s="3" t="inlineStr">
        <is>
          <t>STEP 1 — Fill in “Sales”</t>
        </is>
      </c>
    </row>
    <row r="7" ht="28" customHeight="1">
      <c r="B7" s="4" t="inlineStr">
        <is>
          <t>Daily sales log by item and category.</t>
        </is>
      </c>
    </row>
    <row r="9">
      <c r="B9" s="3" t="inlineStr">
        <is>
          <t>STEP 2 — Fill in “Inventory”</t>
        </is>
      </c>
    </row>
    <row r="10" ht="28" customHeight="1">
      <c r="B10" s="4" t="inlineStr">
        <is>
          <t>Stock levels with reorder alerts.</t>
        </is>
      </c>
    </row>
    <row r="12">
      <c r="B12" s="3" t="inlineStr">
        <is>
          <t>STEP 3 — Fill in “Expenses”</t>
        </is>
      </c>
    </row>
    <row r="13" ht="28" customHeight="1">
      <c r="B13" s="4" t="inlineStr">
        <is>
          <t>Every cost: ingredients, staff, rent, utilities.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14" customWidth="1" min="5" max="5"/>
  </cols>
  <sheetData>
    <row r="1">
      <c r="A1" s="6" t="inlineStr">
        <is>
          <t>Date</t>
        </is>
      </c>
      <c r="B1" s="6" t="inlineStr">
        <is>
          <t>Item</t>
        </is>
      </c>
      <c r="C1" s="6" t="inlineStr">
        <is>
          <t>Category</t>
        </is>
      </c>
      <c r="D1" s="6" t="inlineStr">
        <is>
          <t>Qty</t>
        </is>
      </c>
      <c r="E1" s="6" t="inlineStr">
        <is>
          <t>Amount</t>
        </is>
      </c>
    </row>
    <row r="2">
      <c r="A2" s="7" t="n">
        <v>46174</v>
      </c>
      <c r="B2" s="8" t="inlineStr">
        <is>
          <t>Kickoff meeting</t>
        </is>
      </c>
      <c r="C2" s="8" t="inlineStr">
        <is>
          <t>Food</t>
        </is>
      </c>
      <c r="D2" s="8" t="n">
        <v>12</v>
      </c>
      <c r="E2" s="9" t="n">
        <v>42</v>
      </c>
    </row>
    <row r="3">
      <c r="A3" s="10" t="n">
        <v>46180</v>
      </c>
      <c r="B3" s="11" t="inlineStr">
        <is>
          <t>Send proposal</t>
        </is>
      </c>
      <c r="C3" s="11" t="inlineStr">
        <is>
          <t>Drinks</t>
        </is>
      </c>
      <c r="D3" s="11" t="n">
        <v>8.4</v>
      </c>
      <c r="E3" s="12" t="n">
        <v>29.4</v>
      </c>
    </row>
    <row r="4">
      <c r="A4" s="7" t="n">
        <v>46186</v>
      </c>
      <c r="B4" s="8" t="inlineStr">
        <is>
          <t>Review feedback</t>
        </is>
      </c>
      <c r="C4" s="8" t="inlineStr">
        <is>
          <t>Dessert</t>
        </is>
      </c>
      <c r="D4" s="8" t="n">
        <v>15.6</v>
      </c>
      <c r="E4" s="9" t="n">
        <v>54.6</v>
      </c>
    </row>
    <row r="5">
      <c r="A5" s="10" t="n">
        <v>46189</v>
      </c>
      <c r="B5" s="11" t="inlineStr">
        <is>
          <t>Update website copy</t>
        </is>
      </c>
      <c r="C5" s="11" t="inlineStr">
        <is>
          <t>Other</t>
        </is>
      </c>
      <c r="D5" s="11" t="n">
        <v>10.2</v>
      </c>
      <c r="E5" s="12" t="n">
        <v>35.7</v>
      </c>
    </row>
    <row r="6">
      <c r="A6" s="7" t="n">
        <v>46195</v>
      </c>
      <c r="B6" s="8" t="inlineStr">
        <is>
          <t>Prepare invoice</t>
        </is>
      </c>
      <c r="C6" s="8" t="inlineStr">
        <is>
          <t>Food</t>
        </is>
      </c>
      <c r="D6" s="8" t="n">
        <v>13.8</v>
      </c>
      <c r="E6" s="9" t="n">
        <v>48.3</v>
      </c>
    </row>
    <row r="7">
      <c r="A7" s="10" t="n">
        <v>46201</v>
      </c>
      <c r="B7" s="11" t="inlineStr">
        <is>
          <t>Client call</t>
        </is>
      </c>
      <c r="C7" s="11" t="inlineStr">
        <is>
          <t>Drinks</t>
        </is>
      </c>
      <c r="D7" s="11" t="n">
        <v>7.2</v>
      </c>
      <c r="E7" s="12" t="n">
        <v>25.2</v>
      </c>
    </row>
    <row r="8">
      <c r="A8" s="7" t="n">
        <v>46176</v>
      </c>
      <c r="B8" s="8" t="inlineStr">
        <is>
          <t>Design first draft</t>
        </is>
      </c>
      <c r="C8" s="8" t="inlineStr">
        <is>
          <t>Dessert</t>
        </is>
      </c>
      <c r="D8" s="8" t="n">
        <v>17.4</v>
      </c>
      <c r="E8" s="9" t="n">
        <v>60.9</v>
      </c>
    </row>
    <row r="9">
      <c r="A9" s="10" t="n">
        <v>46182</v>
      </c>
      <c r="B9" s="11" t="inlineStr">
        <is>
          <t>Fix reported bug</t>
        </is>
      </c>
      <c r="C9" s="11" t="inlineStr">
        <is>
          <t>Other</t>
        </is>
      </c>
      <c r="D9" s="11" t="n">
        <v>11.4</v>
      </c>
      <c r="E9" s="12" t="n">
        <v>39.9</v>
      </c>
    </row>
    <row r="10">
      <c r="A10" s="7" t="n">
        <v>46188</v>
      </c>
      <c r="B10" s="8" t="inlineStr">
        <is>
          <t>Weekly report</t>
        </is>
      </c>
      <c r="C10" s="8" t="inlineStr">
        <is>
          <t>Food</t>
        </is>
      </c>
      <c r="D10" s="8" t="n">
        <v>15</v>
      </c>
      <c r="E10" s="9" t="n">
        <v>52.5</v>
      </c>
    </row>
    <row r="11">
      <c r="A11" s="10" t="n">
        <v>46191</v>
      </c>
      <c r="B11" s="11" t="inlineStr">
        <is>
          <t>Plan next sprint</t>
        </is>
      </c>
      <c r="C11" s="11" t="inlineStr">
        <is>
          <t>Drinks</t>
        </is>
      </c>
      <c r="D11" s="11" t="n">
        <v>9.6</v>
      </c>
      <c r="E11" s="12" t="n">
        <v>33.6</v>
      </c>
    </row>
    <row r="12">
      <c r="A12" s="7" t="n">
        <v>46197</v>
      </c>
      <c r="B12" s="8" t="inlineStr">
        <is>
          <t>Publish blog post</t>
        </is>
      </c>
      <c r="C12" s="8" t="inlineStr">
        <is>
          <t>Dessert</t>
        </is>
      </c>
      <c r="D12" s="8" t="n">
        <v>13.2</v>
      </c>
      <c r="E12" s="9" t="n">
        <v>46.2</v>
      </c>
    </row>
    <row r="13">
      <c r="A13" s="10" t="n">
        <v>46175</v>
      </c>
      <c r="B13" s="11" t="inlineStr">
        <is>
          <t>Team sync</t>
        </is>
      </c>
      <c r="C13" s="11" t="inlineStr">
        <is>
          <t>Other</t>
        </is>
      </c>
      <c r="D13" s="11" t="n">
        <v>9</v>
      </c>
      <c r="E13" s="12" t="n">
        <v>31.5</v>
      </c>
    </row>
  </sheetData>
  <dataValidations count="1">
    <dataValidation sqref="C2:C500" showDropDown="0" showInputMessage="0" showErrorMessage="0" allowBlank="1" type="list">
      <formula1>"Food,Drinks,Dessert,Other"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RESTAURANT &amp; CAFE MANAGER — DASHBOARD</t>
        </is>
      </c>
    </row>
    <row r="4">
      <c r="B4" s="14" t="inlineStr">
        <is>
          <t>REVENUE</t>
        </is>
      </c>
      <c r="D4" s="15" t="inlineStr">
        <is>
          <t>EXPENSES</t>
        </is>
      </c>
      <c r="F4" s="16" t="inlineStr">
        <is>
          <t>PROFIT</t>
        </is>
      </c>
      <c r="H4" s="17" t="inlineStr">
        <is>
          <t>LOW STOCK</t>
        </is>
      </c>
    </row>
    <row r="5" ht="26" customHeight="1">
      <c r="B5" s="18">
        <f>SUM(Sales!E:E)</f>
        <v/>
      </c>
      <c r="D5" s="19">
        <f>SUM(Expenses!D:D)</f>
        <v/>
      </c>
      <c r="F5" s="20">
        <f>SUM(Sales!E:E)-SUM(Expenses!D:D)</f>
        <v/>
      </c>
      <c r="H5" s="21">
        <f>SUMPRODUCT((Inventory!C2:C500&lt;Inventory!D2:D500)*(Inventory!A2:A500&lt;&gt;"")*1)</f>
        <v/>
      </c>
    </row>
    <row r="8">
      <c r="B8" s="22" t="inlineStr">
        <is>
          <t>WHAT'S INSIDE</t>
        </is>
      </c>
    </row>
    <row r="9">
      <c r="B9" s="23" t="inlineStr">
        <is>
          <t>💶  Sales — Daily sales log by item and category.</t>
        </is>
      </c>
    </row>
    <row r="10">
      <c r="B10" s="23" t="inlineStr">
        <is>
          <t>📦  Inventory — Stock levels with reorder alerts.</t>
        </is>
      </c>
    </row>
    <row r="11">
      <c r="B11" s="23" t="inlineStr">
        <is>
          <t>💳  Expenses — Every cost: ingredients, staff, rent, utilities.</t>
        </is>
      </c>
    </row>
    <row r="12">
      <c r="B12" s="23" t="inlineStr">
        <is>
          <t xml:space="preserve">📈  Monthly Report — 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20" customWidth="1" min="5" max="5"/>
    <col width="12" customWidth="1" min="6" max="6"/>
  </cols>
  <sheetData>
    <row r="1">
      <c r="A1" s="6" t="inlineStr">
        <is>
          <t>Item</t>
        </is>
      </c>
      <c r="B1" s="6" t="inlineStr">
        <is>
          <t>Unit</t>
        </is>
      </c>
      <c r="C1" s="6" t="inlineStr">
        <is>
          <t>In Stock</t>
        </is>
      </c>
      <c r="D1" s="6" t="inlineStr">
        <is>
          <t>Reorder Level</t>
        </is>
      </c>
      <c r="E1" s="6" t="inlineStr">
        <is>
          <t>Supplier</t>
        </is>
      </c>
      <c r="F1" s="6" t="inlineStr">
        <is>
          <t>Unit Cost</t>
        </is>
      </c>
    </row>
    <row r="2">
      <c r="A2" s="8" t="inlineStr">
        <is>
          <t>Kickoff meeting</t>
        </is>
      </c>
      <c r="B2" s="8" t="inlineStr">
        <is>
          <t>kg</t>
        </is>
      </c>
      <c r="C2" s="8" t="n">
        <v>8</v>
      </c>
      <c r="D2" s="8" t="n">
        <v>5</v>
      </c>
      <c r="E2" s="8" t="inlineStr">
        <is>
          <t>BrightWave Studio</t>
        </is>
      </c>
      <c r="F2" s="9" t="n">
        <v>14</v>
      </c>
    </row>
    <row r="3">
      <c r="A3" s="11" t="inlineStr">
        <is>
          <t>Send proposal</t>
        </is>
      </c>
      <c r="B3" s="11" t="inlineStr">
        <is>
          <t>kg</t>
        </is>
      </c>
      <c r="C3" s="11" t="n">
        <v>5.6</v>
      </c>
      <c r="D3" s="11" t="n">
        <v>3.5</v>
      </c>
      <c r="E3" s="11" t="inlineStr">
        <is>
          <t>GreenLeaf Co.</t>
        </is>
      </c>
      <c r="F3" s="12" t="n">
        <v>9.800000000000001</v>
      </c>
    </row>
    <row r="4">
      <c r="A4" s="8" t="inlineStr">
        <is>
          <t>Review feedback</t>
        </is>
      </c>
      <c r="B4" s="8" t="inlineStr"/>
      <c r="C4" s="8" t="n">
        <v>10.4</v>
      </c>
      <c r="D4" s="8" t="n">
        <v>6.5</v>
      </c>
      <c r="E4" s="8" t="inlineStr">
        <is>
          <t>Nova Digital</t>
        </is>
      </c>
      <c r="F4" s="9" t="n">
        <v>18.2</v>
      </c>
    </row>
    <row r="5">
      <c r="A5" s="11" t="inlineStr">
        <is>
          <t>Update website copy</t>
        </is>
      </c>
      <c r="B5" s="11" t="inlineStr">
        <is>
          <t>kg</t>
        </is>
      </c>
      <c r="C5" s="11" t="n">
        <v>6.8</v>
      </c>
      <c r="D5" s="11" t="n">
        <v>4.25</v>
      </c>
      <c r="E5" s="11" t="inlineStr">
        <is>
          <t>Atlas Consulting</t>
        </is>
      </c>
      <c r="F5" s="12" t="n">
        <v>11.9</v>
      </c>
    </row>
    <row r="6">
      <c r="A6" s="8" t="inlineStr">
        <is>
          <t>Prepare invoice</t>
        </is>
      </c>
      <c r="B6" s="8" t="inlineStr">
        <is>
          <t>kg</t>
        </is>
      </c>
      <c r="C6" s="8" t="n">
        <v>9.199999999999999</v>
      </c>
      <c r="D6" s="8" t="n">
        <v>5.75</v>
      </c>
      <c r="E6" s="8" t="inlineStr">
        <is>
          <t>Pixel &amp; Co</t>
        </is>
      </c>
      <c r="F6" s="9" t="n">
        <v>16.1</v>
      </c>
    </row>
    <row r="7">
      <c r="A7" s="11" t="inlineStr">
        <is>
          <t>Client call</t>
        </is>
      </c>
      <c r="B7" s="11" t="inlineStr"/>
      <c r="C7" s="11" t="n">
        <v>4.8</v>
      </c>
      <c r="D7" s="11" t="n">
        <v>3</v>
      </c>
      <c r="E7" s="11" t="inlineStr">
        <is>
          <t>Blue Harbor Ltd</t>
        </is>
      </c>
      <c r="F7" s="12" t="n">
        <v>8.4</v>
      </c>
    </row>
    <row r="8">
      <c r="A8" s="8" t="inlineStr">
        <is>
          <t>Design first draft</t>
        </is>
      </c>
      <c r="B8" s="8" t="inlineStr">
        <is>
          <t>kg</t>
        </is>
      </c>
      <c r="C8" s="8" t="n">
        <v>11.6</v>
      </c>
      <c r="D8" s="8" t="n">
        <v>7.25</v>
      </c>
      <c r="E8" s="8" t="inlineStr">
        <is>
          <t>Sunrise Media</t>
        </is>
      </c>
      <c r="F8" s="9" t="n">
        <v>20.3</v>
      </c>
    </row>
    <row r="9">
      <c r="A9" s="11" t="inlineStr">
        <is>
          <t>Fix reported bug</t>
        </is>
      </c>
      <c r="B9" s="11" t="inlineStr">
        <is>
          <t>kg</t>
        </is>
      </c>
      <c r="C9" s="11" t="n">
        <v>7.6</v>
      </c>
      <c r="D9" s="11" t="n">
        <v>4.75</v>
      </c>
      <c r="E9" s="11" t="inlineStr">
        <is>
          <t>UrbanCraft</t>
        </is>
      </c>
      <c r="F9" s="12" t="n">
        <v>13.3</v>
      </c>
    </row>
    <row r="10">
      <c r="A10" s="8" t="inlineStr">
        <is>
          <t>Weekly report</t>
        </is>
      </c>
      <c r="B10" s="8" t="inlineStr"/>
      <c r="C10" s="8" t="n">
        <v>10</v>
      </c>
      <c r="D10" s="8" t="n">
        <v>6.25</v>
      </c>
      <c r="E10" s="8" t="inlineStr">
        <is>
          <t>PrimeWorks</t>
        </is>
      </c>
      <c r="F10" s="9" t="n">
        <v>17.5</v>
      </c>
    </row>
    <row r="11">
      <c r="A11" s="11" t="inlineStr">
        <is>
          <t>Plan next sprint</t>
        </is>
      </c>
      <c r="B11" s="11" t="inlineStr">
        <is>
          <t>kg</t>
        </is>
      </c>
      <c r="C11" s="11" t="n">
        <v>6.4</v>
      </c>
      <c r="D11" s="11" t="n">
        <v>4</v>
      </c>
      <c r="E11" s="11" t="inlineStr">
        <is>
          <t>EchoLab</t>
        </is>
      </c>
      <c r="F11" s="12" t="n">
        <v>11.2</v>
      </c>
    </row>
    <row r="12">
      <c r="A12" s="8" t="inlineStr">
        <is>
          <t>Publish blog post</t>
        </is>
      </c>
      <c r="B12" s="8" t="inlineStr">
        <is>
          <t>kg</t>
        </is>
      </c>
      <c r="C12" s="8" t="n">
        <v>8.800000000000001</v>
      </c>
      <c r="D12" s="8" t="n">
        <v>5.5</v>
      </c>
      <c r="E12" s="8" t="inlineStr">
        <is>
          <t>Vertex Group</t>
        </is>
      </c>
      <c r="F12" s="9" t="n">
        <v>15.4</v>
      </c>
    </row>
    <row r="13">
      <c r="A13" s="11" t="inlineStr">
        <is>
          <t>Team sync</t>
        </is>
      </c>
      <c r="B13" s="11" t="inlineStr"/>
      <c r="C13" s="11" t="n">
        <v>6</v>
      </c>
      <c r="D13" s="11" t="n">
        <v>3.75</v>
      </c>
      <c r="E13" s="11" t="inlineStr">
        <is>
          <t>ClearPath Inc</t>
        </is>
      </c>
      <c r="F13" s="12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22" customWidth="1" min="5" max="5"/>
  </cols>
  <sheetData>
    <row r="1">
      <c r="A1" s="6" t="inlineStr">
        <is>
          <t>Date</t>
        </is>
      </c>
      <c r="B1" s="6" t="inlineStr">
        <is>
          <t>Item</t>
        </is>
      </c>
      <c r="C1" s="6" t="inlineStr">
        <is>
          <t>Category</t>
        </is>
      </c>
      <c r="D1" s="6" t="inlineStr">
        <is>
          <t>Amount</t>
        </is>
      </c>
      <c r="E1" s="6" t="inlineStr">
        <is>
          <t>Notes</t>
        </is>
      </c>
    </row>
    <row r="2">
      <c r="A2" s="7" t="n">
        <v>46174</v>
      </c>
      <c r="B2" s="8" t="inlineStr">
        <is>
          <t>Kickoff meeting</t>
        </is>
      </c>
      <c r="C2" s="8" t="inlineStr">
        <is>
          <t>Ingredients</t>
        </is>
      </c>
      <c r="D2" s="9" t="n">
        <v>180</v>
      </c>
      <c r="E2" s="8" t="inlineStr"/>
    </row>
    <row r="3">
      <c r="A3" s="10" t="n">
        <v>46180</v>
      </c>
      <c r="B3" s="11" t="inlineStr">
        <is>
          <t>Send proposal</t>
        </is>
      </c>
      <c r="C3" s="11" t="inlineStr">
        <is>
          <t>Staff</t>
        </is>
      </c>
      <c r="D3" s="12" t="n">
        <v>126</v>
      </c>
      <c r="E3" s="11" t="inlineStr">
        <is>
          <t>Paid</t>
        </is>
      </c>
    </row>
    <row r="4">
      <c r="A4" s="7" t="n">
        <v>46186</v>
      </c>
      <c r="B4" s="8" t="inlineStr">
        <is>
          <t>Review feedback</t>
        </is>
      </c>
      <c r="C4" s="8" t="inlineStr">
        <is>
          <t>Rent</t>
        </is>
      </c>
      <c r="D4" s="9" t="n">
        <v>234</v>
      </c>
      <c r="E4" s="8" t="inlineStr">
        <is>
          <t>Urgent</t>
        </is>
      </c>
    </row>
    <row r="5">
      <c r="A5" s="10" t="n">
        <v>46189</v>
      </c>
      <c r="B5" s="11" t="inlineStr">
        <is>
          <t>Update website copy</t>
        </is>
      </c>
      <c r="C5" s="11" t="inlineStr">
        <is>
          <t>Utilities</t>
        </is>
      </c>
      <c r="D5" s="12" t="n">
        <v>153</v>
      </c>
      <c r="E5" s="11" t="inlineStr">
        <is>
          <t>Follow up Friday</t>
        </is>
      </c>
    </row>
    <row r="6">
      <c r="A6" s="7" t="n">
        <v>46195</v>
      </c>
      <c r="B6" s="8" t="inlineStr">
        <is>
          <t>Prepare invoice</t>
        </is>
      </c>
      <c r="C6" s="8" t="inlineStr">
        <is>
          <t>Equipment</t>
        </is>
      </c>
      <c r="D6" s="9" t="n">
        <v>207</v>
      </c>
      <c r="E6" s="8" t="inlineStr"/>
    </row>
    <row r="7">
      <c r="A7" s="10" t="n">
        <v>46201</v>
      </c>
      <c r="B7" s="11" t="inlineStr">
        <is>
          <t>Client call</t>
        </is>
      </c>
      <c r="C7" s="11" t="inlineStr">
        <is>
          <t>Other</t>
        </is>
      </c>
      <c r="D7" s="12" t="n">
        <v>108</v>
      </c>
      <c r="E7" s="11" t="inlineStr">
        <is>
          <t>Monthly</t>
        </is>
      </c>
    </row>
    <row r="8">
      <c r="A8" s="7" t="n">
        <v>46176</v>
      </c>
      <c r="B8" s="8" t="inlineStr">
        <is>
          <t>Design first draft</t>
        </is>
      </c>
      <c r="C8" s="8" t="inlineStr">
        <is>
          <t>Ingredients</t>
        </is>
      </c>
      <c r="D8" s="9" t="n">
        <v>261</v>
      </c>
      <c r="E8" s="8" t="inlineStr">
        <is>
          <t>Confirmed</t>
        </is>
      </c>
    </row>
    <row r="9">
      <c r="A9" s="10" t="n">
        <v>46182</v>
      </c>
      <c r="B9" s="11" t="inlineStr">
        <is>
          <t>Fix reported bug</t>
        </is>
      </c>
      <c r="C9" s="11" t="inlineStr">
        <is>
          <t>Staff</t>
        </is>
      </c>
      <c r="D9" s="12" t="n">
        <v>171</v>
      </c>
      <c r="E9" s="11" t="inlineStr"/>
    </row>
    <row r="10">
      <c r="A10" s="7" t="n">
        <v>46188</v>
      </c>
      <c r="B10" s="8" t="inlineStr">
        <is>
          <t>Weekly report</t>
        </is>
      </c>
      <c r="C10" s="8" t="inlineStr">
        <is>
          <t>Rent</t>
        </is>
      </c>
      <c r="D10" s="9" t="n">
        <v>225</v>
      </c>
      <c r="E10" s="8" t="inlineStr">
        <is>
          <t>Waiting reply</t>
        </is>
      </c>
    </row>
    <row r="11">
      <c r="A11" s="10" t="n">
        <v>46191</v>
      </c>
      <c r="B11" s="11" t="inlineStr">
        <is>
          <t>Plan next sprint</t>
        </is>
      </c>
      <c r="C11" s="11" t="inlineStr">
        <is>
          <t>Utilities</t>
        </is>
      </c>
      <c r="D11" s="12" t="n">
        <v>144</v>
      </c>
      <c r="E11" s="11" t="inlineStr">
        <is>
          <t>Done early</t>
        </is>
      </c>
    </row>
    <row r="12">
      <c r="A12" s="7" t="n">
        <v>46197</v>
      </c>
      <c r="B12" s="8" t="inlineStr">
        <is>
          <t>Publish blog post</t>
        </is>
      </c>
      <c r="C12" s="8" t="inlineStr">
        <is>
          <t>Equipment</t>
        </is>
      </c>
      <c r="D12" s="9" t="n">
        <v>198</v>
      </c>
      <c r="E12" s="8" t="inlineStr"/>
    </row>
    <row r="13">
      <c r="A13" s="10" t="n">
        <v>46175</v>
      </c>
      <c r="B13" s="11" t="inlineStr">
        <is>
          <t>Team sync</t>
        </is>
      </c>
      <c r="C13" s="11" t="inlineStr">
        <is>
          <t>Other</t>
        </is>
      </c>
      <c r="D13" s="12" t="n">
        <v>135</v>
      </c>
      <c r="E13" s="11" t="inlineStr">
        <is>
          <t>Recheck</t>
        </is>
      </c>
    </row>
  </sheetData>
  <dataValidations count="1">
    <dataValidation sqref="C2:C500" showDropDown="0" showInputMessage="0" showErrorMessage="0" allowBlank="1" type="list">
      <formula1>"Ingredients,Staff,Rent,Utilities,Equipment,Other"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MONTHLY REPORT</t>
        </is>
      </c>
    </row>
    <row r="4">
      <c r="B4" s="3" t="inlineStr">
        <is>
          <t>Performance</t>
        </is>
      </c>
    </row>
    <row r="5">
      <c r="B5" s="11" t="inlineStr">
        <is>
          <t>Total Revenue</t>
        </is>
      </c>
      <c r="C5" s="25">
        <f>SUM(Sales!E:E)</f>
        <v/>
      </c>
    </row>
    <row r="6">
      <c r="B6" s="8" t="inlineStr">
        <is>
          <t>Total Costs</t>
        </is>
      </c>
      <c r="C6" s="26">
        <f>SUM(Expenses!D:D)</f>
        <v/>
      </c>
    </row>
    <row r="7">
      <c r="B7" s="11" t="inlineStr">
        <is>
          <t>Net Profit</t>
        </is>
      </c>
      <c r="C7" s="25">
        <f>SUM(Sales!E:E)-SUM(Expenses!D:D)</f>
        <v/>
      </c>
    </row>
    <row r="8">
      <c r="B8" s="8" t="inlineStr">
        <is>
          <t>Food Sales</t>
        </is>
      </c>
      <c r="C8" s="27">
        <f>SUMIF(Sales!C:C,"Food",Sales!E:E)</f>
        <v/>
      </c>
    </row>
    <row r="9">
      <c r="B9" s="11" t="inlineStr">
        <is>
          <t>Drink Sales</t>
        </is>
      </c>
      <c r="C9" s="28">
        <f>SUMIF(Sales!C:C,"Drinks",Sales!E:E)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2026-07-16T23:33:41Z</dcterms:created>
  <dcterms:modified xsi:type="dcterms:W3CDTF">2026-07-16T23:33:41Z</dcterms:modified>
</cp:coreProperties>
</file>