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Holdings" sheetId="2" state="visible" r:id="rId2"/>
    <sheet name="Transactions" sheetId="3" state="visible" r:id="rId3"/>
    <sheet name="Allocation" sheetId="4" state="visible" r:id="rId4"/>
    <sheet name="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C1412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Crypto Portfolio Tracker</t>
        </is>
      </c>
    </row>
    <row r="3">
      <c r="A3" s="2" t="inlineStr">
        <is>
          <t>Total Value $</t>
        </is>
      </c>
      <c r="B3" s="2" t="inlineStr">
        <is>
          <t>Total Invested $</t>
        </is>
      </c>
      <c r="C3" s="2" t="inlineStr">
        <is>
          <t>Total P&amp;L $</t>
        </is>
      </c>
      <c r="D3" s="2" t="inlineStr">
        <is>
          <t>ROI %</t>
        </is>
      </c>
    </row>
    <row r="4" ht="36" customHeight="1">
      <c r="A4" s="3">
        <f>SUMPRODUCT(Holdings!C:C,Holdings!E:E)</f>
        <v/>
      </c>
      <c r="B4" s="3">
        <f>SUM(Holdings!D:D)</f>
        <v/>
      </c>
      <c r="C4" s="3">
        <f>B4-C4</f>
        <v/>
      </c>
      <c r="D4" s="3">
        <f>TEXT((B4-C4)/C4,"0.0%")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7931A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>
      <c r="A1" s="4" t="inlineStr">
        <is>
          <t>Coin</t>
        </is>
      </c>
      <c r="B1" s="4" t="inlineStr">
        <is>
          <t>Symbol</t>
        </is>
      </c>
      <c r="C1" s="4" t="inlineStr">
        <is>
          <t>Quantity</t>
        </is>
      </c>
      <c r="D1" s="4" t="inlineStr">
        <is>
          <t>Avg Buy Price</t>
        </is>
      </c>
      <c r="E1" s="4" t="inlineStr">
        <is>
          <t>Current Price</t>
        </is>
      </c>
      <c r="F1" s="4" t="inlineStr">
        <is>
          <t>Value $</t>
        </is>
      </c>
      <c r="G1" s="4" t="inlineStr">
        <is>
          <t>P&amp;L $</t>
        </is>
      </c>
    </row>
    <row r="2" ht="22" customHeight="1">
      <c r="A2" s="5" t="inlineStr">
        <is>
          <t>Bitcoin</t>
        </is>
      </c>
      <c r="B2" s="5" t="inlineStr">
        <is>
          <t>BTC</t>
        </is>
      </c>
      <c r="C2" s="5" t="inlineStr">
        <is>
          <t>0.5</t>
        </is>
      </c>
      <c r="D2" s="5" t="inlineStr">
        <is>
          <t>35000</t>
        </is>
      </c>
      <c r="E2" s="5" t="inlineStr">
        <is>
          <t>42000</t>
        </is>
      </c>
      <c r="F2" s="6">
        <f>C2*E2</f>
        <v/>
      </c>
      <c r="G2" s="6">
        <f>(E2-D2)*C2</f>
        <v/>
      </c>
    </row>
    <row r="3" ht="22" customHeight="1">
      <c r="A3" s="5" t="inlineStr">
        <is>
          <t>Bitcoin</t>
        </is>
      </c>
      <c r="B3" s="5" t="inlineStr">
        <is>
          <t>BTC</t>
        </is>
      </c>
      <c r="C3" s="5" t="inlineStr">
        <is>
          <t>0.5</t>
        </is>
      </c>
      <c r="D3" s="5" t="inlineStr">
        <is>
          <t>35000</t>
        </is>
      </c>
      <c r="E3" s="5" t="inlineStr">
        <is>
          <t>42000</t>
        </is>
      </c>
      <c r="F3" s="6">
        <f>C3*E3</f>
        <v/>
      </c>
      <c r="G3" s="6">
        <f>(E3-D3)*C3</f>
        <v/>
      </c>
    </row>
    <row r="4" ht="22" customHeight="1">
      <c r="A4" s="5" t="inlineStr">
        <is>
          <t>Bitcoin</t>
        </is>
      </c>
      <c r="B4" s="5" t="inlineStr">
        <is>
          <t>BTC</t>
        </is>
      </c>
      <c r="C4" s="5" t="inlineStr">
        <is>
          <t>0.5</t>
        </is>
      </c>
      <c r="D4" s="5" t="inlineStr">
        <is>
          <t>35000</t>
        </is>
      </c>
      <c r="E4" s="5" t="inlineStr">
        <is>
          <t>42000</t>
        </is>
      </c>
      <c r="F4" s="6">
        <f>C4*E4</f>
        <v/>
      </c>
      <c r="G4" s="6">
        <f>(E4-D4)*C4</f>
        <v/>
      </c>
    </row>
    <row r="5" ht="22" customHeight="1">
      <c r="A5" s="5" t="inlineStr">
        <is>
          <t>Bitcoin</t>
        </is>
      </c>
      <c r="B5" s="5" t="inlineStr">
        <is>
          <t>BTC</t>
        </is>
      </c>
      <c r="C5" s="5" t="inlineStr">
        <is>
          <t>0.5</t>
        </is>
      </c>
      <c r="D5" s="5" t="inlineStr">
        <is>
          <t>35000</t>
        </is>
      </c>
      <c r="E5" s="5" t="inlineStr">
        <is>
          <t>42000</t>
        </is>
      </c>
      <c r="F5" s="6">
        <f>C5*E5</f>
        <v/>
      </c>
      <c r="G5" s="6">
        <f>(E5-D5)*C5</f>
        <v/>
      </c>
    </row>
    <row r="6" ht="22" customHeight="1">
      <c r="A6" s="5" t="inlineStr">
        <is>
          <t>Bitcoin</t>
        </is>
      </c>
      <c r="B6" s="5" t="inlineStr">
        <is>
          <t>BTC</t>
        </is>
      </c>
      <c r="C6" s="5" t="inlineStr">
        <is>
          <t>0.5</t>
        </is>
      </c>
      <c r="D6" s="5" t="inlineStr">
        <is>
          <t>35000</t>
        </is>
      </c>
      <c r="E6" s="5" t="inlineStr">
        <is>
          <t>42000</t>
        </is>
      </c>
      <c r="F6" s="6">
        <f>C6*E6</f>
        <v/>
      </c>
      <c r="G6" s="6">
        <f>(E6-D6)*C6</f>
        <v/>
      </c>
    </row>
    <row r="7" ht="22" customHeight="1">
      <c r="A7" s="5" t="inlineStr">
        <is>
          <t>Bitcoin</t>
        </is>
      </c>
      <c r="B7" s="5" t="inlineStr">
        <is>
          <t>BTC</t>
        </is>
      </c>
      <c r="C7" s="5" t="inlineStr">
        <is>
          <t>0.5</t>
        </is>
      </c>
      <c r="D7" s="5" t="inlineStr">
        <is>
          <t>35000</t>
        </is>
      </c>
      <c r="E7" s="5" t="inlineStr">
        <is>
          <t>42000</t>
        </is>
      </c>
      <c r="F7" s="6">
        <f>C7*E7</f>
        <v/>
      </c>
      <c r="G7" s="6">
        <f>(E7-D7)*C7</f>
        <v/>
      </c>
    </row>
    <row r="8" ht="22" customHeight="1">
      <c r="A8" s="5" t="inlineStr">
        <is>
          <t>Bitcoin</t>
        </is>
      </c>
      <c r="B8" s="5" t="inlineStr">
        <is>
          <t>BTC</t>
        </is>
      </c>
      <c r="C8" s="5" t="inlineStr">
        <is>
          <t>0.5</t>
        </is>
      </c>
      <c r="D8" s="5" t="inlineStr">
        <is>
          <t>35000</t>
        </is>
      </c>
      <c r="E8" s="5" t="inlineStr">
        <is>
          <t>42000</t>
        </is>
      </c>
      <c r="F8" s="6">
        <f>C8*E8</f>
        <v/>
      </c>
      <c r="G8" s="6">
        <f>(E8-D8)*C8</f>
        <v/>
      </c>
    </row>
    <row r="9" ht="22" customHeight="1">
      <c r="A9" s="5" t="inlineStr">
        <is>
          <t>Bitcoin</t>
        </is>
      </c>
      <c r="B9" s="5" t="inlineStr">
        <is>
          <t>BTC</t>
        </is>
      </c>
      <c r="C9" s="5" t="inlineStr">
        <is>
          <t>0.5</t>
        </is>
      </c>
      <c r="D9" s="5" t="inlineStr">
        <is>
          <t>35000</t>
        </is>
      </c>
      <c r="E9" s="5" t="inlineStr">
        <is>
          <t>42000</t>
        </is>
      </c>
      <c r="F9" s="6">
        <f>C9*E9</f>
        <v/>
      </c>
      <c r="G9" s="6">
        <f>(E9-D9)*C9</f>
        <v/>
      </c>
    </row>
    <row r="10" ht="22" customHeight="1">
      <c r="A10" s="5" t="inlineStr">
        <is>
          <t>Bitcoin</t>
        </is>
      </c>
      <c r="B10" s="5" t="inlineStr">
        <is>
          <t>BTC</t>
        </is>
      </c>
      <c r="C10" s="5" t="inlineStr">
        <is>
          <t>0.5</t>
        </is>
      </c>
      <c r="D10" s="5" t="inlineStr">
        <is>
          <t>35000</t>
        </is>
      </c>
      <c r="E10" s="5" t="inlineStr">
        <is>
          <t>42000</t>
        </is>
      </c>
      <c r="F10" s="6">
        <f>C10*E10</f>
        <v/>
      </c>
      <c r="G10" s="6">
        <f>(E10-D10)*C10</f>
        <v/>
      </c>
    </row>
    <row r="11" ht="22" customHeight="1">
      <c r="A11" s="5" t="inlineStr">
        <is>
          <t>Bitcoin</t>
        </is>
      </c>
      <c r="B11" s="5" t="inlineStr">
        <is>
          <t>BTC</t>
        </is>
      </c>
      <c r="C11" s="5" t="inlineStr">
        <is>
          <t>0.5</t>
        </is>
      </c>
      <c r="D11" s="5" t="inlineStr">
        <is>
          <t>35000</t>
        </is>
      </c>
      <c r="E11" s="5" t="inlineStr">
        <is>
          <t>42000</t>
        </is>
      </c>
      <c r="F11" s="6">
        <f>C11*E11</f>
        <v/>
      </c>
      <c r="G11" s="6">
        <f>(E11-D11)*C11</f>
        <v/>
      </c>
    </row>
    <row r="12" ht="22" customHeight="1">
      <c r="A12" s="5" t="inlineStr">
        <is>
          <t>Bitcoin</t>
        </is>
      </c>
      <c r="B12" s="5" t="inlineStr">
        <is>
          <t>BTC</t>
        </is>
      </c>
      <c r="C12" s="5" t="inlineStr">
        <is>
          <t>0.5</t>
        </is>
      </c>
      <c r="D12" s="5" t="inlineStr">
        <is>
          <t>35000</t>
        </is>
      </c>
      <c r="E12" s="5" t="inlineStr">
        <is>
          <t>42000</t>
        </is>
      </c>
      <c r="F12" s="6">
        <f>C12*E12</f>
        <v/>
      </c>
      <c r="G12" s="6">
        <f>(E12-D12)*C12</f>
        <v/>
      </c>
    </row>
    <row r="13" ht="22" customHeight="1">
      <c r="A13" s="5" t="inlineStr">
        <is>
          <t>Bitcoin</t>
        </is>
      </c>
      <c r="B13" s="5" t="inlineStr">
        <is>
          <t>BTC</t>
        </is>
      </c>
      <c r="C13" s="5" t="inlineStr">
        <is>
          <t>0.5</t>
        </is>
      </c>
      <c r="D13" s="5" t="inlineStr">
        <is>
          <t>35000</t>
        </is>
      </c>
      <c r="E13" s="5" t="inlineStr">
        <is>
          <t>42000</t>
        </is>
      </c>
      <c r="F13" s="6">
        <f>C13*E13</f>
        <v/>
      </c>
      <c r="G13" s="6">
        <f>(E13-D13)*C13</f>
        <v/>
      </c>
    </row>
    <row r="14" ht="22" customHeight="1">
      <c r="A14" s="5" t="inlineStr">
        <is>
          <t>Bitcoin</t>
        </is>
      </c>
      <c r="B14" s="5" t="inlineStr">
        <is>
          <t>BTC</t>
        </is>
      </c>
      <c r="C14" s="5" t="inlineStr">
        <is>
          <t>0.5</t>
        </is>
      </c>
      <c r="D14" s="5" t="inlineStr">
        <is>
          <t>35000</t>
        </is>
      </c>
      <c r="E14" s="5" t="inlineStr">
        <is>
          <t>42000</t>
        </is>
      </c>
      <c r="F14" s="6">
        <f>C14*E14</f>
        <v/>
      </c>
      <c r="G14" s="6">
        <f>(E14-D14)*C14</f>
        <v/>
      </c>
    </row>
    <row r="15" ht="22" customHeight="1">
      <c r="A15" s="5" t="inlineStr">
        <is>
          <t>Bitcoin</t>
        </is>
      </c>
      <c r="B15" s="5" t="inlineStr">
        <is>
          <t>BTC</t>
        </is>
      </c>
      <c r="C15" s="5" t="inlineStr">
        <is>
          <t>0.5</t>
        </is>
      </c>
      <c r="D15" s="5" t="inlineStr">
        <is>
          <t>35000</t>
        </is>
      </c>
      <c r="E15" s="5" t="inlineStr">
        <is>
          <t>42000</t>
        </is>
      </c>
      <c r="F15" s="6">
        <f>C15*E15</f>
        <v/>
      </c>
      <c r="G15" s="6">
        <f>(E15-D15)*C15</f>
        <v/>
      </c>
    </row>
    <row r="16" ht="22" customHeight="1">
      <c r="A16" s="5" t="inlineStr">
        <is>
          <t>Bitcoin</t>
        </is>
      </c>
      <c r="B16" s="5" t="inlineStr">
        <is>
          <t>BTC</t>
        </is>
      </c>
      <c r="C16" s="5" t="inlineStr">
        <is>
          <t>0.5</t>
        </is>
      </c>
      <c r="D16" s="5" t="inlineStr">
        <is>
          <t>35000</t>
        </is>
      </c>
      <c r="E16" s="5" t="inlineStr">
        <is>
          <t>42000</t>
        </is>
      </c>
      <c r="F16" s="6">
        <f>C16*E16</f>
        <v/>
      </c>
      <c r="G16" s="6">
        <f>(E16-D16)*C16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B82F6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</cols>
  <sheetData>
    <row r="1">
      <c r="A1" s="4" t="inlineStr">
        <is>
          <t>Date</t>
        </is>
      </c>
      <c r="B1" s="4" t="inlineStr">
        <is>
          <t>Coin</t>
        </is>
      </c>
      <c r="C1" s="4" t="inlineStr">
        <is>
          <t>Type</t>
        </is>
      </c>
      <c r="D1" s="4" t="inlineStr">
        <is>
          <t>Quantity</t>
        </is>
      </c>
      <c r="E1" s="4" t="inlineStr">
        <is>
          <t>Price $</t>
        </is>
      </c>
      <c r="F1" s="4" t="inlineStr">
        <is>
          <t>Total $</t>
        </is>
      </c>
      <c r="G1" s="4" t="inlineStr">
        <is>
          <t>Fee $</t>
        </is>
      </c>
      <c r="H1" s="4" t="inlineStr">
        <is>
          <t>Exchange</t>
        </is>
      </c>
    </row>
    <row r="2" ht="22" customHeight="1">
      <c r="A2" s="5" t="inlineStr">
        <is>
          <t>2024-01-10</t>
        </is>
      </c>
      <c r="B2" s="5" t="inlineStr">
        <is>
          <t>ETH</t>
        </is>
      </c>
      <c r="C2" s="5" t="inlineStr"/>
      <c r="D2" s="5" t="inlineStr">
        <is>
          <t>1.5</t>
        </is>
      </c>
      <c r="E2" s="5" t="inlineStr">
        <is>
          <t>2200</t>
        </is>
      </c>
      <c r="F2" s="6">
        <f>D2*E2</f>
        <v/>
      </c>
      <c r="G2" s="5" t="inlineStr">
        <is>
          <t>3.50</t>
        </is>
      </c>
      <c r="H2" s="5" t="inlineStr"/>
    </row>
    <row r="3" ht="22" customHeight="1">
      <c r="A3" s="5" t="inlineStr">
        <is>
          <t>2024-01-10</t>
        </is>
      </c>
      <c r="B3" s="5" t="inlineStr">
        <is>
          <t>ETH</t>
        </is>
      </c>
      <c r="C3" s="5" t="inlineStr"/>
      <c r="D3" s="5" t="inlineStr">
        <is>
          <t>1.5</t>
        </is>
      </c>
      <c r="E3" s="5" t="inlineStr">
        <is>
          <t>2200</t>
        </is>
      </c>
      <c r="F3" s="6">
        <f>D3*E3</f>
        <v/>
      </c>
      <c r="G3" s="5" t="inlineStr">
        <is>
          <t>3.50</t>
        </is>
      </c>
      <c r="H3" s="5" t="inlineStr"/>
    </row>
    <row r="4" ht="22" customHeight="1">
      <c r="A4" s="5" t="inlineStr">
        <is>
          <t>2024-01-10</t>
        </is>
      </c>
      <c r="B4" s="5" t="inlineStr">
        <is>
          <t>ETH</t>
        </is>
      </c>
      <c r="C4" s="5" t="inlineStr"/>
      <c r="D4" s="5" t="inlineStr">
        <is>
          <t>1.5</t>
        </is>
      </c>
      <c r="E4" s="5" t="inlineStr">
        <is>
          <t>2200</t>
        </is>
      </c>
      <c r="F4" s="6">
        <f>D4*E4</f>
        <v/>
      </c>
      <c r="G4" s="5" t="inlineStr">
        <is>
          <t>3.50</t>
        </is>
      </c>
      <c r="H4" s="5" t="inlineStr"/>
    </row>
    <row r="5" ht="22" customHeight="1">
      <c r="A5" s="5" t="inlineStr">
        <is>
          <t>2024-01-10</t>
        </is>
      </c>
      <c r="B5" s="5" t="inlineStr">
        <is>
          <t>ETH</t>
        </is>
      </c>
      <c r="C5" s="5" t="inlineStr"/>
      <c r="D5" s="5" t="inlineStr">
        <is>
          <t>1.5</t>
        </is>
      </c>
      <c r="E5" s="5" t="inlineStr">
        <is>
          <t>2200</t>
        </is>
      </c>
      <c r="F5" s="6">
        <f>D5*E5</f>
        <v/>
      </c>
      <c r="G5" s="5" t="inlineStr">
        <is>
          <t>3.50</t>
        </is>
      </c>
      <c r="H5" s="5" t="inlineStr"/>
    </row>
    <row r="6" ht="22" customHeight="1">
      <c r="A6" s="5" t="inlineStr">
        <is>
          <t>2024-01-10</t>
        </is>
      </c>
      <c r="B6" s="5" t="inlineStr">
        <is>
          <t>ETH</t>
        </is>
      </c>
      <c r="C6" s="5" t="inlineStr"/>
      <c r="D6" s="5" t="inlineStr">
        <is>
          <t>1.5</t>
        </is>
      </c>
      <c r="E6" s="5" t="inlineStr">
        <is>
          <t>2200</t>
        </is>
      </c>
      <c r="F6" s="6">
        <f>D6*E6</f>
        <v/>
      </c>
      <c r="G6" s="5" t="inlineStr">
        <is>
          <t>3.50</t>
        </is>
      </c>
      <c r="H6" s="5" t="inlineStr"/>
    </row>
    <row r="7" ht="22" customHeight="1">
      <c r="A7" s="5" t="inlineStr">
        <is>
          <t>2024-01-10</t>
        </is>
      </c>
      <c r="B7" s="5" t="inlineStr">
        <is>
          <t>ETH</t>
        </is>
      </c>
      <c r="C7" s="5" t="inlineStr"/>
      <c r="D7" s="5" t="inlineStr">
        <is>
          <t>1.5</t>
        </is>
      </c>
      <c r="E7" s="5" t="inlineStr">
        <is>
          <t>2200</t>
        </is>
      </c>
      <c r="F7" s="6">
        <f>D7*E7</f>
        <v/>
      </c>
      <c r="G7" s="5" t="inlineStr">
        <is>
          <t>3.50</t>
        </is>
      </c>
      <c r="H7" s="5" t="inlineStr"/>
    </row>
    <row r="8" ht="22" customHeight="1">
      <c r="A8" s="5" t="inlineStr">
        <is>
          <t>2024-01-10</t>
        </is>
      </c>
      <c r="B8" s="5" t="inlineStr">
        <is>
          <t>ETH</t>
        </is>
      </c>
      <c r="C8" s="5" t="inlineStr"/>
      <c r="D8" s="5" t="inlineStr">
        <is>
          <t>1.5</t>
        </is>
      </c>
      <c r="E8" s="5" t="inlineStr">
        <is>
          <t>2200</t>
        </is>
      </c>
      <c r="F8" s="6">
        <f>D8*E8</f>
        <v/>
      </c>
      <c r="G8" s="5" t="inlineStr">
        <is>
          <t>3.50</t>
        </is>
      </c>
      <c r="H8" s="5" t="inlineStr"/>
    </row>
    <row r="9" ht="22" customHeight="1">
      <c r="A9" s="5" t="inlineStr">
        <is>
          <t>2024-01-10</t>
        </is>
      </c>
      <c r="B9" s="5" t="inlineStr">
        <is>
          <t>ETH</t>
        </is>
      </c>
      <c r="C9" s="5" t="inlineStr"/>
      <c r="D9" s="5" t="inlineStr">
        <is>
          <t>1.5</t>
        </is>
      </c>
      <c r="E9" s="5" t="inlineStr">
        <is>
          <t>2200</t>
        </is>
      </c>
      <c r="F9" s="6">
        <f>D9*E9</f>
        <v/>
      </c>
      <c r="G9" s="5" t="inlineStr">
        <is>
          <t>3.50</t>
        </is>
      </c>
      <c r="H9" s="5" t="inlineStr"/>
    </row>
    <row r="10" ht="22" customHeight="1">
      <c r="A10" s="5" t="inlineStr">
        <is>
          <t>2024-01-10</t>
        </is>
      </c>
      <c r="B10" s="5" t="inlineStr">
        <is>
          <t>ETH</t>
        </is>
      </c>
      <c r="C10" s="5" t="inlineStr"/>
      <c r="D10" s="5" t="inlineStr">
        <is>
          <t>1.5</t>
        </is>
      </c>
      <c r="E10" s="5" t="inlineStr">
        <is>
          <t>2200</t>
        </is>
      </c>
      <c r="F10" s="6">
        <f>D10*E10</f>
        <v/>
      </c>
      <c r="G10" s="5" t="inlineStr">
        <is>
          <t>3.50</t>
        </is>
      </c>
      <c r="H10" s="5" t="inlineStr"/>
    </row>
    <row r="11" ht="22" customHeight="1">
      <c r="A11" s="5" t="inlineStr">
        <is>
          <t>2024-01-10</t>
        </is>
      </c>
      <c r="B11" s="5" t="inlineStr">
        <is>
          <t>ETH</t>
        </is>
      </c>
      <c r="C11" s="5" t="inlineStr"/>
      <c r="D11" s="5" t="inlineStr">
        <is>
          <t>1.5</t>
        </is>
      </c>
      <c r="E11" s="5" t="inlineStr">
        <is>
          <t>2200</t>
        </is>
      </c>
      <c r="F11" s="6">
        <f>D11*E11</f>
        <v/>
      </c>
      <c r="G11" s="5" t="inlineStr">
        <is>
          <t>3.50</t>
        </is>
      </c>
      <c r="H11" s="5" t="inlineStr"/>
    </row>
    <row r="12" ht="22" customHeight="1">
      <c r="A12" s="5" t="inlineStr">
        <is>
          <t>2024-01-10</t>
        </is>
      </c>
      <c r="B12" s="5" t="inlineStr">
        <is>
          <t>ETH</t>
        </is>
      </c>
      <c r="C12" s="5" t="inlineStr"/>
      <c r="D12" s="5" t="inlineStr">
        <is>
          <t>1.5</t>
        </is>
      </c>
      <c r="E12" s="5" t="inlineStr">
        <is>
          <t>2200</t>
        </is>
      </c>
      <c r="F12" s="6">
        <f>D12*E12</f>
        <v/>
      </c>
      <c r="G12" s="5" t="inlineStr">
        <is>
          <t>3.50</t>
        </is>
      </c>
      <c r="H12" s="5" t="inlineStr"/>
    </row>
    <row r="13" ht="22" customHeight="1">
      <c r="A13" s="5" t="inlineStr">
        <is>
          <t>2024-01-10</t>
        </is>
      </c>
      <c r="B13" s="5" t="inlineStr">
        <is>
          <t>ETH</t>
        </is>
      </c>
      <c r="C13" s="5" t="inlineStr"/>
      <c r="D13" s="5" t="inlineStr">
        <is>
          <t>1.5</t>
        </is>
      </c>
      <c r="E13" s="5" t="inlineStr">
        <is>
          <t>2200</t>
        </is>
      </c>
      <c r="F13" s="6">
        <f>D13*E13</f>
        <v/>
      </c>
      <c r="G13" s="5" t="inlineStr">
        <is>
          <t>3.50</t>
        </is>
      </c>
      <c r="H13" s="5" t="inlineStr"/>
    </row>
    <row r="14" ht="22" customHeight="1">
      <c r="A14" s="5" t="inlineStr">
        <is>
          <t>2024-01-10</t>
        </is>
      </c>
      <c r="B14" s="5" t="inlineStr">
        <is>
          <t>ETH</t>
        </is>
      </c>
      <c r="C14" s="5" t="inlineStr"/>
      <c r="D14" s="5" t="inlineStr">
        <is>
          <t>1.5</t>
        </is>
      </c>
      <c r="E14" s="5" t="inlineStr">
        <is>
          <t>2200</t>
        </is>
      </c>
      <c r="F14" s="6">
        <f>D14*E14</f>
        <v/>
      </c>
      <c r="G14" s="5" t="inlineStr">
        <is>
          <t>3.50</t>
        </is>
      </c>
      <c r="H14" s="5" t="inlineStr"/>
    </row>
    <row r="15" ht="22" customHeight="1">
      <c r="A15" s="5" t="inlineStr">
        <is>
          <t>2024-01-10</t>
        </is>
      </c>
      <c r="B15" s="5" t="inlineStr">
        <is>
          <t>ETH</t>
        </is>
      </c>
      <c r="C15" s="5" t="inlineStr"/>
      <c r="D15" s="5" t="inlineStr">
        <is>
          <t>1.5</t>
        </is>
      </c>
      <c r="E15" s="5" t="inlineStr">
        <is>
          <t>2200</t>
        </is>
      </c>
      <c r="F15" s="6">
        <f>D15*E15</f>
        <v/>
      </c>
      <c r="G15" s="5" t="inlineStr">
        <is>
          <t>3.50</t>
        </is>
      </c>
      <c r="H15" s="5" t="inlineStr"/>
    </row>
    <row r="16" ht="22" customHeight="1">
      <c r="A16" s="5" t="inlineStr">
        <is>
          <t>2024-01-10</t>
        </is>
      </c>
      <c r="B16" s="5" t="inlineStr">
        <is>
          <t>ETH</t>
        </is>
      </c>
      <c r="C16" s="5" t="inlineStr"/>
      <c r="D16" s="5" t="inlineStr">
        <is>
          <t>1.5</t>
        </is>
      </c>
      <c r="E16" s="5" t="inlineStr">
        <is>
          <t>2200</t>
        </is>
      </c>
      <c r="F16" s="6">
        <f>D16*E16</f>
        <v/>
      </c>
      <c r="G16" s="5" t="inlineStr">
        <is>
          <t>3.50</t>
        </is>
      </c>
      <c r="H16" s="5" t="inlineStr"/>
    </row>
    <row r="17" ht="22" customHeight="1">
      <c r="A17" s="5" t="inlineStr">
        <is>
          <t>2024-01-10</t>
        </is>
      </c>
      <c r="B17" s="5" t="inlineStr">
        <is>
          <t>ETH</t>
        </is>
      </c>
      <c r="C17" s="5" t="inlineStr"/>
      <c r="D17" s="5" t="inlineStr">
        <is>
          <t>1.5</t>
        </is>
      </c>
      <c r="E17" s="5" t="inlineStr">
        <is>
          <t>2200</t>
        </is>
      </c>
      <c r="F17" s="6">
        <f>D17*E17</f>
        <v/>
      </c>
      <c r="G17" s="5" t="inlineStr">
        <is>
          <t>3.50</t>
        </is>
      </c>
      <c r="H17" s="5" t="inlineStr"/>
    </row>
    <row r="18" ht="22" customHeight="1">
      <c r="A18" s="5" t="inlineStr">
        <is>
          <t>2024-01-10</t>
        </is>
      </c>
      <c r="B18" s="5" t="inlineStr">
        <is>
          <t>ETH</t>
        </is>
      </c>
      <c r="C18" s="5" t="inlineStr"/>
      <c r="D18" s="5" t="inlineStr">
        <is>
          <t>1.5</t>
        </is>
      </c>
      <c r="E18" s="5" t="inlineStr">
        <is>
          <t>2200</t>
        </is>
      </c>
      <c r="F18" s="6">
        <f>D18*E18</f>
        <v/>
      </c>
      <c r="G18" s="5" t="inlineStr">
        <is>
          <t>3.50</t>
        </is>
      </c>
      <c r="H18" s="5" t="inlineStr"/>
    </row>
    <row r="19" ht="22" customHeight="1">
      <c r="A19" s="5" t="inlineStr">
        <is>
          <t>2024-01-10</t>
        </is>
      </c>
      <c r="B19" s="5" t="inlineStr">
        <is>
          <t>ETH</t>
        </is>
      </c>
      <c r="C19" s="5" t="inlineStr"/>
      <c r="D19" s="5" t="inlineStr">
        <is>
          <t>1.5</t>
        </is>
      </c>
      <c r="E19" s="5" t="inlineStr">
        <is>
          <t>2200</t>
        </is>
      </c>
      <c r="F19" s="6">
        <f>D19*E19</f>
        <v/>
      </c>
      <c r="G19" s="5" t="inlineStr">
        <is>
          <t>3.50</t>
        </is>
      </c>
      <c r="H19" s="5" t="inlineStr"/>
    </row>
    <row r="20" ht="22" customHeight="1">
      <c r="A20" s="5" t="inlineStr">
        <is>
          <t>2024-01-10</t>
        </is>
      </c>
      <c r="B20" s="5" t="inlineStr">
        <is>
          <t>ETH</t>
        </is>
      </c>
      <c r="C20" s="5" t="inlineStr"/>
      <c r="D20" s="5" t="inlineStr">
        <is>
          <t>1.5</t>
        </is>
      </c>
      <c r="E20" s="5" t="inlineStr">
        <is>
          <t>2200</t>
        </is>
      </c>
      <c r="F20" s="6">
        <f>D20*E20</f>
        <v/>
      </c>
      <c r="G20" s="5" t="inlineStr">
        <is>
          <t>3.50</t>
        </is>
      </c>
      <c r="H20" s="5" t="inlineStr"/>
    </row>
    <row r="21" ht="22" customHeight="1">
      <c r="A21" s="5" t="inlineStr">
        <is>
          <t>2024-01-10</t>
        </is>
      </c>
      <c r="B21" s="5" t="inlineStr">
        <is>
          <t>ETH</t>
        </is>
      </c>
      <c r="C21" s="5" t="inlineStr"/>
      <c r="D21" s="5" t="inlineStr">
        <is>
          <t>1.5</t>
        </is>
      </c>
      <c r="E21" s="5" t="inlineStr">
        <is>
          <t>2200</t>
        </is>
      </c>
      <c r="F21" s="6">
        <f>D21*E21</f>
        <v/>
      </c>
      <c r="G21" s="5" t="inlineStr">
        <is>
          <t>3.50</t>
        </is>
      </c>
      <c r="H21" s="5" t="inlineStr"/>
    </row>
  </sheetData>
  <dataValidations count="2">
    <dataValidation sqref="C2 C3 C4 C5 C6 C7 C8 C9 C10 C11 C12 C13 C14 C15 C16 C17 C18 C19 C20 C21" showDropDown="0" showInputMessage="0" showErrorMessage="0" allowBlank="1" type="list">
      <formula1>"Buy","Sell","Swap","Stake","Unstake","Receive","Send"</formula1>
    </dataValidation>
    <dataValidation sqref="H2 H3 H4 H5 H6 H7 H8 H9 H10 H11 H12 H13 H14 H15 H16 H17 H18 H19 H20 H21" showDropDown="0" showInputMessage="0" showErrorMessage="0" allowBlank="1" type="list">
      <formula1>"Coinbase","Binance","Kraken","Bybit","Ledger","Other"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C3AED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0" customWidth="1" min="4" max="4"/>
  </cols>
  <sheetData>
    <row r="1">
      <c r="A1" s="4" t="inlineStr">
        <is>
          <t>Coin</t>
        </is>
      </c>
      <c r="B1" s="4" t="inlineStr">
        <is>
          <t>Value $</t>
        </is>
      </c>
      <c r="C1" s="4" t="inlineStr">
        <is>
          <t>Allocation %</t>
        </is>
      </c>
      <c r="D1" s="4" t="inlineStr">
        <is>
          <t>Category</t>
        </is>
      </c>
    </row>
    <row r="2" ht="22" customHeight="1">
      <c r="A2" s="5" t="inlineStr">
        <is>
          <t>Bitcoin</t>
        </is>
      </c>
      <c r="B2" s="5" t="inlineStr">
        <is>
          <t>21000</t>
        </is>
      </c>
      <c r="C2" s="5" t="inlineStr">
        <is>
          <t>45</t>
        </is>
      </c>
      <c r="D2" s="5" t="inlineStr"/>
    </row>
    <row r="3" ht="22" customHeight="1">
      <c r="A3" s="5" t="inlineStr">
        <is>
          <t>Bitcoin</t>
        </is>
      </c>
      <c r="B3" s="5" t="inlineStr">
        <is>
          <t>21000</t>
        </is>
      </c>
      <c r="C3" s="5" t="inlineStr">
        <is>
          <t>45</t>
        </is>
      </c>
      <c r="D3" s="5" t="inlineStr"/>
    </row>
    <row r="4" ht="22" customHeight="1">
      <c r="A4" s="5" t="inlineStr">
        <is>
          <t>Bitcoin</t>
        </is>
      </c>
      <c r="B4" s="5" t="inlineStr">
        <is>
          <t>21000</t>
        </is>
      </c>
      <c r="C4" s="5" t="inlineStr">
        <is>
          <t>45</t>
        </is>
      </c>
      <c r="D4" s="5" t="inlineStr"/>
    </row>
    <row r="5" ht="22" customHeight="1">
      <c r="A5" s="5" t="inlineStr">
        <is>
          <t>Bitcoin</t>
        </is>
      </c>
      <c r="B5" s="5" t="inlineStr">
        <is>
          <t>21000</t>
        </is>
      </c>
      <c r="C5" s="5" t="inlineStr">
        <is>
          <t>45</t>
        </is>
      </c>
      <c r="D5" s="5" t="inlineStr"/>
    </row>
    <row r="6" ht="22" customHeight="1">
      <c r="A6" s="5" t="inlineStr">
        <is>
          <t>Bitcoin</t>
        </is>
      </c>
      <c r="B6" s="5" t="inlineStr">
        <is>
          <t>21000</t>
        </is>
      </c>
      <c r="C6" s="5" t="inlineStr">
        <is>
          <t>45</t>
        </is>
      </c>
      <c r="D6" s="5" t="inlineStr"/>
    </row>
    <row r="7" ht="22" customHeight="1">
      <c r="A7" s="5" t="inlineStr">
        <is>
          <t>Bitcoin</t>
        </is>
      </c>
      <c r="B7" s="5" t="inlineStr">
        <is>
          <t>21000</t>
        </is>
      </c>
      <c r="C7" s="5" t="inlineStr">
        <is>
          <t>45</t>
        </is>
      </c>
      <c r="D7" s="5" t="inlineStr"/>
    </row>
    <row r="8" ht="22" customHeight="1">
      <c r="A8" s="5" t="inlineStr">
        <is>
          <t>Bitcoin</t>
        </is>
      </c>
      <c r="B8" s="5" t="inlineStr">
        <is>
          <t>21000</t>
        </is>
      </c>
      <c r="C8" s="5" t="inlineStr">
        <is>
          <t>45</t>
        </is>
      </c>
      <c r="D8" s="5" t="inlineStr"/>
    </row>
    <row r="9" ht="22" customHeight="1">
      <c r="A9" s="5" t="inlineStr">
        <is>
          <t>Bitcoin</t>
        </is>
      </c>
      <c r="B9" s="5" t="inlineStr">
        <is>
          <t>21000</t>
        </is>
      </c>
      <c r="C9" s="5" t="inlineStr">
        <is>
          <t>45</t>
        </is>
      </c>
      <c r="D9" s="5" t="inlineStr"/>
    </row>
    <row r="10" ht="22" customHeight="1">
      <c r="A10" s="5" t="inlineStr">
        <is>
          <t>Bitcoin</t>
        </is>
      </c>
      <c r="B10" s="5" t="inlineStr">
        <is>
          <t>21000</t>
        </is>
      </c>
      <c r="C10" s="5" t="inlineStr">
        <is>
          <t>45</t>
        </is>
      </c>
      <c r="D10" s="5" t="inlineStr"/>
    </row>
    <row r="11" ht="22" customHeight="1">
      <c r="A11" s="5" t="inlineStr">
        <is>
          <t>Bitcoin</t>
        </is>
      </c>
      <c r="B11" s="5" t="inlineStr">
        <is>
          <t>21000</t>
        </is>
      </c>
      <c r="C11" s="5" t="inlineStr">
        <is>
          <t>45</t>
        </is>
      </c>
      <c r="D11" s="5" t="inlineStr"/>
    </row>
  </sheetData>
  <dataValidations count="1">
    <dataValidation sqref="D2 D3 D4 D5 D6 D7 D8 D9 D10 D11" showDropDown="0" showInputMessage="0" showErrorMessage="0" allowBlank="1" type="list">
      <formula1>"Large Cap","Mid Cap","Small Cap","DeFi","NFT","Stablecoin","Other"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A8A04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Portfolio Summary</t>
        </is>
      </c>
    </row>
    <row r="4">
      <c r="A4" s="9" t="inlineStr">
        <is>
          <t>Total Invested</t>
        </is>
      </c>
      <c r="B4" s="6">
        <f>SUM(Holdings!D:D)</f>
        <v/>
      </c>
    </row>
    <row r="5">
      <c r="A5" s="9" t="inlineStr">
        <is>
          <t>Current Value</t>
        </is>
      </c>
      <c r="B5" s="6">
        <f>SUMPRODUCT(Holdings!C:C,Holdings!E:E)</f>
        <v/>
      </c>
    </row>
    <row r="6">
      <c r="A6" s="9" t="inlineStr">
        <is>
          <t>Total P&amp;L</t>
        </is>
      </c>
      <c r="B6" s="6">
        <f>SUMPRODUCT(Holdings!C:C,Holdings!E:E)-SUM(Holdings!D:D)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2026-06-16T07:19:21Z</dcterms:created>
  <dcterms:modified xsi:type="dcterms:W3CDTF">2026-06-16T07:19:21Z</dcterms:modified>
</cp:coreProperties>
</file>