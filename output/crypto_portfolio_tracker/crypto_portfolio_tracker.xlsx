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Holdings" sheetId="2" state="visible" r:id="rId2"/>
    <sheet name="Dashboard" sheetId="3" state="visible" r:id="rId3"/>
    <sheet name="Transactions" sheetId="4" state="visible" r:id="rId4"/>
    <sheet name="Allocation" sheetId="5" state="visible" r:id="rId5"/>
    <sheet name="Repor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€&quot;#,##0.00"/>
    <numFmt numFmtId="165" formatCode="yyyy-mm-dd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F7931A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1C1412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1C1412"/>
      </patternFill>
    </fill>
    <fill>
      <patternFill patternType="solid">
        <fgColor rgb="00FFF7F0"/>
      </patternFill>
    </fill>
    <fill>
      <patternFill patternType="solid">
        <fgColor rgb="00F7931A"/>
      </patternFill>
    </fill>
    <fill>
      <patternFill patternType="solid">
        <fgColor rgb="0016A34A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165" fontId="2" fillId="3" borderId="1" pivotButton="0" quotePrefix="0" xfId="0"/>
    <xf numFmtId="165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164" fontId="5" fillId="0" borderId="1" pivotButton="0" quotePrefix="0" xfId="0"/>
    <xf numFmtId="164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₿  CRYPTO PORTFOLIO TRACKER</t>
        </is>
      </c>
    </row>
    <row r="3"/>
    <row r="4">
      <c r="B4" s="2" t="inlineStr">
        <is>
          <t>Bitcoin &amp; Altcoin Investment Tracker Google Sheets</t>
        </is>
      </c>
    </row>
    <row r="6">
      <c r="B6" s="3" t="inlineStr">
        <is>
          <t>STEP 1 — Fill in “Holdings”</t>
        </is>
      </c>
    </row>
    <row r="7" ht="28" customHeight="1">
      <c r="B7" s="4" t="inlineStr">
        <is>
          <t>All crypto holdings: coin, quantity, buy price, current price.</t>
        </is>
      </c>
    </row>
    <row r="9">
      <c r="B9" s="3" t="inlineStr">
        <is>
          <t>STEP 2 — Fill in “Transactions”</t>
        </is>
      </c>
    </row>
    <row r="10" ht="28" customHeight="1">
      <c r="B10" s="4" t="inlineStr">
        <is>
          <t>Full buy/sell transaction history with fees.</t>
        </is>
      </c>
    </row>
    <row r="12">
      <c r="B12" s="3" t="inlineStr">
        <is>
          <t>STEP 3 — Fill in “Allocation”</t>
        </is>
      </c>
    </row>
    <row r="13" ht="28" customHeight="1">
      <c r="B13" s="4" t="inlineStr">
        <is>
          <t>Portfolio allocation % by coin and category.</t>
        </is>
      </c>
    </row>
    <row r="15">
      <c r="B15" s="3" t="inlineStr">
        <is>
          <t>Then open the Dashboard — everything calculates automatically.</t>
        </is>
      </c>
    </row>
    <row r="17">
      <c r="B17" s="5" t="inlineStr">
        <is>
          <t>TIP: Delete the sample rows once you've seen how it works.</t>
        </is>
      </c>
    </row>
    <row r="19">
      <c r="B19" s="5" t="inlineStr">
        <is>
          <t>TIP: On Google Sheets? File → Make a copy first, then edit your copy.</t>
        </is>
      </c>
    </row>
    <row r="21">
      <c r="B21" s="5" t="inlineStr">
        <is>
          <t>TIP: Columns with dropdowns keep your data clean — use them.</t>
        </is>
      </c>
    </row>
    <row r="23">
      <c r="B23" s="5" t="inlineStr">
        <is>
          <t>Need help? Message NasriTools on Etsy — I reply fast. 🧡</t>
        </is>
      </c>
    </row>
  </sheetData>
  <mergeCells count="13">
    <mergeCell ref="B4:F4"/>
    <mergeCell ref="B21:F21"/>
    <mergeCell ref="B12:F12"/>
    <mergeCell ref="B7:F7"/>
    <mergeCell ref="B6:F6"/>
    <mergeCell ref="B15:F15"/>
    <mergeCell ref="B2:F3"/>
    <mergeCell ref="B10:F10"/>
    <mergeCell ref="B19:F19"/>
    <mergeCell ref="B23:F23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6" customWidth="1" min="4" max="4"/>
    <col width="16" customWidth="1" min="5" max="5"/>
    <col width="14" customWidth="1" min="6" max="6"/>
    <col width="14" customWidth="1" min="7" max="7"/>
  </cols>
  <sheetData>
    <row r="1">
      <c r="A1" s="6" t="inlineStr">
        <is>
          <t>Coin</t>
        </is>
      </c>
      <c r="B1" s="6" t="inlineStr">
        <is>
          <t>Symbol</t>
        </is>
      </c>
      <c r="C1" s="6" t="inlineStr">
        <is>
          <t>Quantity</t>
        </is>
      </c>
      <c r="D1" s="6" t="inlineStr">
        <is>
          <t>Avg Buy Price</t>
        </is>
      </c>
      <c r="E1" s="6" t="inlineStr">
        <is>
          <t>Current Price</t>
        </is>
      </c>
      <c r="F1" s="6" t="inlineStr">
        <is>
          <t>Value $</t>
        </is>
      </c>
      <c r="G1" s="6" t="inlineStr">
        <is>
          <t>P&amp;L $</t>
        </is>
      </c>
    </row>
    <row r="2">
      <c r="A2" s="7" t="inlineStr">
        <is>
          <t>Bitcoin</t>
        </is>
      </c>
      <c r="B2" s="7" t="inlineStr">
        <is>
          <t>BTC</t>
        </is>
      </c>
      <c r="C2" s="7" t="n">
        <v>0.5</v>
      </c>
      <c r="D2" s="8" t="n">
        <v>35000</v>
      </c>
      <c r="E2" s="8" t="n">
        <v>42000</v>
      </c>
      <c r="F2" s="7">
        <f>C2*E2</f>
        <v/>
      </c>
      <c r="G2" s="7">
        <f>(E2-D2)*C2</f>
        <v/>
      </c>
    </row>
    <row r="3">
      <c r="A3" s="9" t="inlineStr">
        <is>
          <t>Bitcoin</t>
        </is>
      </c>
      <c r="B3" s="9" t="inlineStr">
        <is>
          <t>BTC</t>
        </is>
      </c>
      <c r="C3" s="9" t="n">
        <v>0.35</v>
      </c>
      <c r="D3" s="10" t="n">
        <v>24500</v>
      </c>
      <c r="E3" s="10" t="n">
        <v>29400</v>
      </c>
      <c r="F3" s="9">
        <f>C3*E3</f>
        <v/>
      </c>
      <c r="G3" s="9">
        <f>(E3-D3)*C3</f>
        <v/>
      </c>
    </row>
    <row r="4">
      <c r="A4" s="7" t="inlineStr"/>
      <c r="B4" s="7" t="inlineStr"/>
      <c r="C4" s="7" t="n">
        <v>0.65</v>
      </c>
      <c r="D4" s="8" t="n">
        <v>45500</v>
      </c>
      <c r="E4" s="8" t="n">
        <v>54600</v>
      </c>
      <c r="F4" s="7">
        <f>C4*E4</f>
        <v/>
      </c>
      <c r="G4" s="7">
        <f>(E4-D4)*C4</f>
        <v/>
      </c>
    </row>
    <row r="5">
      <c r="A5" s="9" t="inlineStr">
        <is>
          <t>Bitcoin</t>
        </is>
      </c>
      <c r="B5" s="9" t="inlineStr">
        <is>
          <t>BTC</t>
        </is>
      </c>
      <c r="C5" s="9" t="n">
        <v>0.42</v>
      </c>
      <c r="D5" s="10" t="n">
        <v>29750</v>
      </c>
      <c r="E5" s="10" t="n">
        <v>35700</v>
      </c>
      <c r="F5" s="9">
        <f>C5*E5</f>
        <v/>
      </c>
      <c r="G5" s="9">
        <f>(E5-D5)*C5</f>
        <v/>
      </c>
    </row>
    <row r="6">
      <c r="A6" s="7" t="inlineStr">
        <is>
          <t>Bitcoin</t>
        </is>
      </c>
      <c r="B6" s="7" t="inlineStr">
        <is>
          <t>BTC</t>
        </is>
      </c>
      <c r="C6" s="7" t="n">
        <v>0.57</v>
      </c>
      <c r="D6" s="8" t="n">
        <v>40250</v>
      </c>
      <c r="E6" s="8" t="n">
        <v>48300</v>
      </c>
      <c r="F6" s="7">
        <f>C6*E6</f>
        <v/>
      </c>
      <c r="G6" s="7">
        <f>(E6-D6)*C6</f>
        <v/>
      </c>
    </row>
    <row r="7">
      <c r="A7" s="9" t="inlineStr"/>
      <c r="B7" s="9" t="inlineStr"/>
      <c r="C7" s="9" t="n">
        <v>0.3</v>
      </c>
      <c r="D7" s="10" t="n">
        <v>21000</v>
      </c>
      <c r="E7" s="10" t="n">
        <v>25200</v>
      </c>
      <c r="F7" s="9">
        <f>C7*E7</f>
        <v/>
      </c>
      <c r="G7" s="9">
        <f>(E7-D7)*C7</f>
        <v/>
      </c>
    </row>
    <row r="8">
      <c r="A8" s="7" t="inlineStr">
        <is>
          <t>Bitcoin</t>
        </is>
      </c>
      <c r="B8" s="7" t="inlineStr">
        <is>
          <t>BTC</t>
        </is>
      </c>
      <c r="C8" s="7" t="n">
        <v>0.72</v>
      </c>
      <c r="D8" s="8" t="n">
        <v>50750</v>
      </c>
      <c r="E8" s="8" t="n">
        <v>60900</v>
      </c>
      <c r="F8" s="7">
        <f>C8*E8</f>
        <v/>
      </c>
      <c r="G8" s="7">
        <f>(E8-D8)*C8</f>
        <v/>
      </c>
    </row>
    <row r="9">
      <c r="A9" s="9" t="inlineStr">
        <is>
          <t>Bitcoin</t>
        </is>
      </c>
      <c r="B9" s="9" t="inlineStr">
        <is>
          <t>BTC</t>
        </is>
      </c>
      <c r="C9" s="9" t="n">
        <v>0.47</v>
      </c>
      <c r="D9" s="10" t="n">
        <v>33250</v>
      </c>
      <c r="E9" s="10" t="n">
        <v>39900</v>
      </c>
      <c r="F9" s="9">
        <f>C9*E9</f>
        <v/>
      </c>
      <c r="G9" s="9">
        <f>(E9-D9)*C9</f>
        <v/>
      </c>
    </row>
    <row r="10">
      <c r="A10" s="7" t="inlineStr"/>
      <c r="B10" s="7" t="inlineStr"/>
      <c r="C10" s="7" t="n">
        <v>0.62</v>
      </c>
      <c r="D10" s="8" t="n">
        <v>43750</v>
      </c>
      <c r="E10" s="8" t="n">
        <v>52500</v>
      </c>
      <c r="F10" s="7">
        <f>C10*E10</f>
        <v/>
      </c>
      <c r="G10" s="7">
        <f>(E10-D10)*C10</f>
        <v/>
      </c>
    </row>
    <row r="11">
      <c r="A11" s="9" t="inlineStr">
        <is>
          <t>Bitcoin</t>
        </is>
      </c>
      <c r="B11" s="9" t="inlineStr">
        <is>
          <t>BTC</t>
        </is>
      </c>
      <c r="C11" s="9" t="n">
        <v>0.4</v>
      </c>
      <c r="D11" s="10" t="n">
        <v>28000</v>
      </c>
      <c r="E11" s="10" t="n">
        <v>33600</v>
      </c>
      <c r="F11" s="9">
        <f>C11*E11</f>
        <v/>
      </c>
      <c r="G11" s="9">
        <f>(E11-D11)*C11</f>
        <v/>
      </c>
    </row>
    <row r="12">
      <c r="A12" s="7" t="inlineStr">
        <is>
          <t>Bitcoin</t>
        </is>
      </c>
      <c r="B12" s="7" t="inlineStr">
        <is>
          <t>BTC</t>
        </is>
      </c>
      <c r="C12" s="7" t="n">
        <v>0.55</v>
      </c>
      <c r="D12" s="8" t="n">
        <v>38500</v>
      </c>
      <c r="E12" s="8" t="n">
        <v>46200</v>
      </c>
      <c r="F12" s="7">
        <f>C12*E12</f>
        <v/>
      </c>
      <c r="G12" s="7">
        <f>(E12-D12)*C12</f>
        <v/>
      </c>
    </row>
    <row r="13">
      <c r="A13" s="9" t="inlineStr"/>
      <c r="B13" s="9" t="inlineStr"/>
      <c r="C13" s="9" t="n">
        <v>0.38</v>
      </c>
      <c r="D13" s="10" t="n">
        <v>26250</v>
      </c>
      <c r="E13" s="10" t="n">
        <v>31500</v>
      </c>
      <c r="F13" s="9">
        <f>C13*E13</f>
        <v/>
      </c>
      <c r="G13" s="9">
        <f>(E13-D13)*C13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CRYPTO PORTFOLIO TRACKER — DASHBOARD</t>
        </is>
      </c>
    </row>
    <row r="4">
      <c r="B4" s="12" t="inlineStr">
        <is>
          <t>TOTAL VALUE $</t>
        </is>
      </c>
      <c r="D4" s="13" t="inlineStr">
        <is>
          <t>TOTAL INVESTED $</t>
        </is>
      </c>
      <c r="F4" s="14" t="inlineStr">
        <is>
          <t>TOTAL P&amp;L $</t>
        </is>
      </c>
      <c r="H4" s="15" t="inlineStr">
        <is>
          <t>ROI %</t>
        </is>
      </c>
    </row>
    <row r="5" ht="26" customHeight="1">
      <c r="B5" s="16">
        <f>SUMPRODUCT(Holdings!C:C,Holdings!E:E)</f>
        <v/>
      </c>
      <c r="D5" s="17">
        <f>SUM(Holdings!D:D)</f>
        <v/>
      </c>
      <c r="F5" s="18">
        <f>B4-C4</f>
        <v/>
      </c>
      <c r="H5" s="19">
        <f>TEXT((B4-C4)/C4,"0.0%")</f>
        <v/>
      </c>
    </row>
    <row r="8">
      <c r="B8" s="20" t="inlineStr">
        <is>
          <t>WHAT'S INSIDE</t>
        </is>
      </c>
    </row>
    <row r="9">
      <c r="B9" s="21" t="inlineStr">
        <is>
          <t>💰  Holdings — All crypto holdings: coin, quantity, buy price, current price.</t>
        </is>
      </c>
    </row>
    <row r="10">
      <c r="B10" s="21" t="inlineStr">
        <is>
          <t>📋  Transactions — Full buy/sell transaction history with fees.</t>
        </is>
      </c>
    </row>
    <row r="11">
      <c r="B11" s="21" t="inlineStr">
        <is>
          <t>🥧  Allocation — Portfolio allocation % by coin and category.</t>
        </is>
      </c>
    </row>
    <row r="12">
      <c r="B12" s="21" t="inlineStr">
        <is>
          <t>📊  Reports — Portfolio performance summary and tax year gains/losses.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  <col width="10" customWidth="1" min="7" max="7"/>
    <col width="18" customWidth="1" min="8" max="8"/>
  </cols>
  <sheetData>
    <row r="1">
      <c r="A1" s="6" t="inlineStr">
        <is>
          <t>Date</t>
        </is>
      </c>
      <c r="B1" s="6" t="inlineStr">
        <is>
          <t>Coin</t>
        </is>
      </c>
      <c r="C1" s="6" t="inlineStr">
        <is>
          <t>Type</t>
        </is>
      </c>
      <c r="D1" s="6" t="inlineStr">
        <is>
          <t>Quantity</t>
        </is>
      </c>
      <c r="E1" s="6" t="inlineStr">
        <is>
          <t>Price $</t>
        </is>
      </c>
      <c r="F1" s="6" t="inlineStr">
        <is>
          <t>Total $</t>
        </is>
      </c>
      <c r="G1" s="6" t="inlineStr">
        <is>
          <t>Fee $</t>
        </is>
      </c>
      <c r="H1" s="6" t="inlineStr">
        <is>
          <t>Exchange</t>
        </is>
      </c>
    </row>
    <row r="2">
      <c r="A2" s="22" t="n">
        <v>46174</v>
      </c>
      <c r="B2" s="7" t="inlineStr">
        <is>
          <t>ETH</t>
        </is>
      </c>
      <c r="C2" s="7" t="inlineStr">
        <is>
          <t>Buy</t>
        </is>
      </c>
      <c r="D2" s="7" t="n">
        <v>1.5</v>
      </c>
      <c r="E2" s="8" t="n">
        <v>2200</v>
      </c>
      <c r="F2" s="7">
        <f>D2*E2</f>
        <v/>
      </c>
      <c r="G2" s="8" t="n">
        <v>3.5</v>
      </c>
      <c r="H2" s="7" t="inlineStr">
        <is>
          <t>Coinbase</t>
        </is>
      </c>
    </row>
    <row r="3">
      <c r="A3" s="23" t="n">
        <v>46180</v>
      </c>
      <c r="B3" s="9" t="inlineStr">
        <is>
          <t>ETH</t>
        </is>
      </c>
      <c r="C3" s="9" t="inlineStr">
        <is>
          <t>Sell</t>
        </is>
      </c>
      <c r="D3" s="9" t="n">
        <v>1.05</v>
      </c>
      <c r="E3" s="10" t="n">
        <v>1540</v>
      </c>
      <c r="F3" s="9">
        <f>D3*E3</f>
        <v/>
      </c>
      <c r="G3" s="10" t="n">
        <v>2.45</v>
      </c>
      <c r="H3" s="9" t="inlineStr">
        <is>
          <t>Binance</t>
        </is>
      </c>
    </row>
    <row r="4">
      <c r="A4" s="22" t="n">
        <v>46186</v>
      </c>
      <c r="B4" s="7" t="inlineStr"/>
      <c r="C4" s="7" t="inlineStr">
        <is>
          <t>Swap</t>
        </is>
      </c>
      <c r="D4" s="7" t="n">
        <v>1.95</v>
      </c>
      <c r="E4" s="8" t="n">
        <v>2860</v>
      </c>
      <c r="F4" s="7">
        <f>D4*E4</f>
        <v/>
      </c>
      <c r="G4" s="8" t="n">
        <v>4.55</v>
      </c>
      <c r="H4" s="7" t="inlineStr">
        <is>
          <t>Kraken</t>
        </is>
      </c>
    </row>
    <row r="5">
      <c r="A5" s="23" t="n">
        <v>46189</v>
      </c>
      <c r="B5" s="9" t="inlineStr">
        <is>
          <t>ETH</t>
        </is>
      </c>
      <c r="C5" s="9" t="inlineStr">
        <is>
          <t>Stake</t>
        </is>
      </c>
      <c r="D5" s="9" t="n">
        <v>1.27</v>
      </c>
      <c r="E5" s="10" t="n">
        <v>1870</v>
      </c>
      <c r="F5" s="9">
        <f>D5*E5</f>
        <v/>
      </c>
      <c r="G5" s="10" t="n">
        <v>2.98</v>
      </c>
      <c r="H5" s="9" t="inlineStr">
        <is>
          <t>Bybit</t>
        </is>
      </c>
    </row>
    <row r="6">
      <c r="A6" s="22" t="n">
        <v>46195</v>
      </c>
      <c r="B6" s="7" t="inlineStr">
        <is>
          <t>ETH</t>
        </is>
      </c>
      <c r="C6" s="7" t="inlineStr">
        <is>
          <t>Unstake</t>
        </is>
      </c>
      <c r="D6" s="7" t="n">
        <v>1.72</v>
      </c>
      <c r="E6" s="8" t="n">
        <v>2530</v>
      </c>
      <c r="F6" s="7">
        <f>D6*E6</f>
        <v/>
      </c>
      <c r="G6" s="8" t="n">
        <v>4.02</v>
      </c>
      <c r="H6" s="7" t="inlineStr">
        <is>
          <t>Ledger</t>
        </is>
      </c>
    </row>
    <row r="7">
      <c r="A7" s="23" t="n">
        <v>46201</v>
      </c>
      <c r="B7" s="9" t="inlineStr"/>
      <c r="C7" s="9" t="inlineStr">
        <is>
          <t>Receive</t>
        </is>
      </c>
      <c r="D7" s="9" t="n">
        <v>0.9</v>
      </c>
      <c r="E7" s="10" t="n">
        <v>1320</v>
      </c>
      <c r="F7" s="9">
        <f>D7*E7</f>
        <v/>
      </c>
      <c r="G7" s="10" t="n">
        <v>2.1</v>
      </c>
      <c r="H7" s="9" t="inlineStr">
        <is>
          <t>Other</t>
        </is>
      </c>
    </row>
    <row r="8">
      <c r="A8" s="22" t="n">
        <v>46176</v>
      </c>
      <c r="B8" s="7" t="inlineStr">
        <is>
          <t>ETH</t>
        </is>
      </c>
      <c r="C8" s="7" t="inlineStr">
        <is>
          <t>Send</t>
        </is>
      </c>
      <c r="D8" s="7" t="n">
        <v>2.17</v>
      </c>
      <c r="E8" s="8" t="n">
        <v>3190</v>
      </c>
      <c r="F8" s="7">
        <f>D8*E8</f>
        <v/>
      </c>
      <c r="G8" s="8" t="n">
        <v>5.08</v>
      </c>
      <c r="H8" s="7" t="inlineStr">
        <is>
          <t>Coinbase</t>
        </is>
      </c>
    </row>
    <row r="9">
      <c r="A9" s="23" t="n">
        <v>46182</v>
      </c>
      <c r="B9" s="9" t="inlineStr">
        <is>
          <t>ETH</t>
        </is>
      </c>
      <c r="C9" s="9" t="inlineStr">
        <is>
          <t>Buy</t>
        </is>
      </c>
      <c r="D9" s="9" t="n">
        <v>1.42</v>
      </c>
      <c r="E9" s="10" t="n">
        <v>2090</v>
      </c>
      <c r="F9" s="9">
        <f>D9*E9</f>
        <v/>
      </c>
      <c r="G9" s="10" t="n">
        <v>3.32</v>
      </c>
      <c r="H9" s="9" t="inlineStr">
        <is>
          <t>Binance</t>
        </is>
      </c>
    </row>
    <row r="10">
      <c r="A10" s="22" t="n">
        <v>46188</v>
      </c>
      <c r="B10" s="7" t="inlineStr"/>
      <c r="C10" s="7" t="inlineStr">
        <is>
          <t>Sell</t>
        </is>
      </c>
      <c r="D10" s="7" t="n">
        <v>1.88</v>
      </c>
      <c r="E10" s="8" t="n">
        <v>2750</v>
      </c>
      <c r="F10" s="7">
        <f>D10*E10</f>
        <v/>
      </c>
      <c r="G10" s="8" t="n">
        <v>4.38</v>
      </c>
      <c r="H10" s="7" t="inlineStr">
        <is>
          <t>Kraken</t>
        </is>
      </c>
    </row>
    <row r="11">
      <c r="A11" s="23" t="n">
        <v>46191</v>
      </c>
      <c r="B11" s="9" t="inlineStr">
        <is>
          <t>ETH</t>
        </is>
      </c>
      <c r="C11" s="9" t="inlineStr">
        <is>
          <t>Swap</t>
        </is>
      </c>
      <c r="D11" s="9" t="n">
        <v>1.2</v>
      </c>
      <c r="E11" s="10" t="n">
        <v>1760</v>
      </c>
      <c r="F11" s="9">
        <f>D11*E11</f>
        <v/>
      </c>
      <c r="G11" s="10" t="n">
        <v>2.8</v>
      </c>
      <c r="H11" s="9" t="inlineStr">
        <is>
          <t>Bybit</t>
        </is>
      </c>
    </row>
    <row r="12">
      <c r="A12" s="22" t="n">
        <v>46197</v>
      </c>
      <c r="B12" s="7" t="inlineStr">
        <is>
          <t>ETH</t>
        </is>
      </c>
      <c r="C12" s="7" t="inlineStr">
        <is>
          <t>Stake</t>
        </is>
      </c>
      <c r="D12" s="7" t="n">
        <v>1.65</v>
      </c>
      <c r="E12" s="8" t="n">
        <v>2420</v>
      </c>
      <c r="F12" s="7">
        <f>D12*E12</f>
        <v/>
      </c>
      <c r="G12" s="8" t="n">
        <v>3.85</v>
      </c>
      <c r="H12" s="7" t="inlineStr">
        <is>
          <t>Ledger</t>
        </is>
      </c>
    </row>
    <row r="13">
      <c r="A13" s="23" t="n">
        <v>46175</v>
      </c>
      <c r="B13" s="9" t="inlineStr"/>
      <c r="C13" s="9" t="inlineStr">
        <is>
          <t>Unstake</t>
        </is>
      </c>
      <c r="D13" s="9" t="n">
        <v>1.12</v>
      </c>
      <c r="E13" s="10" t="n">
        <v>1650</v>
      </c>
      <c r="F13" s="9">
        <f>D13*E13</f>
        <v/>
      </c>
      <c r="G13" s="10" t="n">
        <v>2.62</v>
      </c>
      <c r="H13" s="9" t="inlineStr">
        <is>
          <t>Other</t>
        </is>
      </c>
    </row>
  </sheetData>
  <dataValidations count="2">
    <dataValidation sqref="C2:C500" showDropDown="0" showInputMessage="0" showErrorMessage="0" allowBlank="1" type="list">
      <formula1>"Buy,Sell,Swap,Stake,Unstake,Receive,Send"</formula1>
    </dataValidation>
    <dataValidation sqref="H2:H500" showDropDown="0" showInputMessage="0" showErrorMessage="0" allowBlank="1" type="list">
      <formula1>"Coinbase,Binance,Kraken,Bybit,Ledger,Other"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20" customWidth="1" min="4" max="4"/>
  </cols>
  <sheetData>
    <row r="1">
      <c r="A1" s="6" t="inlineStr">
        <is>
          <t>Coin</t>
        </is>
      </c>
      <c r="B1" s="6" t="inlineStr">
        <is>
          <t>Value $</t>
        </is>
      </c>
      <c r="C1" s="6" t="inlineStr">
        <is>
          <t>Allocation %</t>
        </is>
      </c>
      <c r="D1" s="6" t="inlineStr">
        <is>
          <t>Category</t>
        </is>
      </c>
    </row>
    <row r="2">
      <c r="A2" s="7" t="inlineStr">
        <is>
          <t>Bitcoin</t>
        </is>
      </c>
      <c r="B2" s="8" t="n">
        <v>21000</v>
      </c>
      <c r="C2" s="7" t="n">
        <v>45</v>
      </c>
      <c r="D2" s="7" t="inlineStr">
        <is>
          <t>Large Cap</t>
        </is>
      </c>
    </row>
    <row r="3">
      <c r="A3" s="9" t="inlineStr">
        <is>
          <t>Bitcoin</t>
        </is>
      </c>
      <c r="B3" s="10" t="n">
        <v>14700</v>
      </c>
      <c r="C3" s="9" t="n">
        <v>31.5</v>
      </c>
      <c r="D3" s="9" t="inlineStr">
        <is>
          <t>Mid Cap</t>
        </is>
      </c>
    </row>
    <row r="4">
      <c r="A4" s="7" t="inlineStr"/>
      <c r="B4" s="8" t="n">
        <v>27300</v>
      </c>
      <c r="C4" s="7" t="n">
        <v>58.5</v>
      </c>
      <c r="D4" s="7" t="inlineStr">
        <is>
          <t>Small Cap</t>
        </is>
      </c>
    </row>
    <row r="5">
      <c r="A5" s="9" t="inlineStr">
        <is>
          <t>Bitcoin</t>
        </is>
      </c>
      <c r="B5" s="10" t="n">
        <v>17850</v>
      </c>
      <c r="C5" s="9" t="n">
        <v>38.25</v>
      </c>
      <c r="D5" s="9" t="inlineStr">
        <is>
          <t>DeFi</t>
        </is>
      </c>
    </row>
    <row r="6">
      <c r="A6" s="7" t="inlineStr">
        <is>
          <t>Bitcoin</t>
        </is>
      </c>
      <c r="B6" s="8" t="n">
        <v>24150</v>
      </c>
      <c r="C6" s="7" t="n">
        <v>51.75</v>
      </c>
      <c r="D6" s="7" t="inlineStr">
        <is>
          <t>NFT</t>
        </is>
      </c>
    </row>
    <row r="7">
      <c r="A7" s="9" t="inlineStr"/>
      <c r="B7" s="10" t="n">
        <v>12600</v>
      </c>
      <c r="C7" s="9" t="n">
        <v>27</v>
      </c>
      <c r="D7" s="9" t="inlineStr">
        <is>
          <t>Stablecoin</t>
        </is>
      </c>
    </row>
    <row r="8">
      <c r="A8" s="7" t="inlineStr">
        <is>
          <t>Bitcoin</t>
        </is>
      </c>
      <c r="B8" s="8" t="n">
        <v>30450</v>
      </c>
      <c r="C8" s="7" t="n">
        <v>65.25</v>
      </c>
      <c r="D8" s="7" t="inlineStr">
        <is>
          <t>Other</t>
        </is>
      </c>
    </row>
    <row r="9">
      <c r="A9" s="9" t="inlineStr">
        <is>
          <t>Bitcoin</t>
        </is>
      </c>
      <c r="B9" s="10" t="n">
        <v>19950</v>
      </c>
      <c r="C9" s="9" t="n">
        <v>42.75</v>
      </c>
      <c r="D9" s="9" t="inlineStr">
        <is>
          <t>Large Cap</t>
        </is>
      </c>
    </row>
    <row r="10">
      <c r="A10" s="7" t="inlineStr"/>
      <c r="B10" s="8" t="n">
        <v>26250</v>
      </c>
      <c r="C10" s="7" t="n">
        <v>56.25</v>
      </c>
      <c r="D10" s="7" t="inlineStr">
        <is>
          <t>Mid Cap</t>
        </is>
      </c>
    </row>
    <row r="11">
      <c r="A11" s="9" t="inlineStr">
        <is>
          <t>Bitcoin</t>
        </is>
      </c>
      <c r="B11" s="10" t="n">
        <v>16800</v>
      </c>
      <c r="C11" s="9" t="n">
        <v>36</v>
      </c>
      <c r="D11" s="9" t="inlineStr">
        <is>
          <t>Small Cap</t>
        </is>
      </c>
    </row>
    <row r="12">
      <c r="A12" s="7" t="inlineStr">
        <is>
          <t>Bitcoin</t>
        </is>
      </c>
      <c r="B12" s="8" t="n">
        <v>23100</v>
      </c>
      <c r="C12" s="7" t="n">
        <v>49.5</v>
      </c>
      <c r="D12" s="7" t="inlineStr">
        <is>
          <t>DeFi</t>
        </is>
      </c>
    </row>
    <row r="13">
      <c r="A13" s="9" t="inlineStr"/>
      <c r="B13" s="10" t="n">
        <v>15750</v>
      </c>
      <c r="C13" s="9" t="n">
        <v>33.75</v>
      </c>
      <c r="D13" s="9" t="inlineStr">
        <is>
          <t>NFT</t>
        </is>
      </c>
    </row>
  </sheetData>
  <dataValidations count="1">
    <dataValidation sqref="D2:D500" showDropDown="0" showInputMessage="0" showErrorMessage="0" allowBlank="1" type="list">
      <formula1>"Large Cap,Mid Cap,Small Cap,DeFi,NFT,Stablecoin,Other"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4" t="inlineStr">
        <is>
          <t>📈  REPORTS</t>
        </is>
      </c>
    </row>
    <row r="4">
      <c r="B4" s="3" t="inlineStr">
        <is>
          <t>Portfolio Summary</t>
        </is>
      </c>
    </row>
    <row r="5">
      <c r="B5" s="9" t="inlineStr">
        <is>
          <t>Total Invested</t>
        </is>
      </c>
      <c r="C5" s="25">
        <f>SUM(Holdings!D:D)</f>
        <v/>
      </c>
    </row>
    <row r="6">
      <c r="B6" s="7" t="inlineStr">
        <is>
          <t>Current Value</t>
        </is>
      </c>
      <c r="C6" s="26">
        <f>SUMPRODUCT(Holdings!C:C,Holdings!E:E)</f>
        <v/>
      </c>
    </row>
    <row r="7">
      <c r="B7" s="9" t="inlineStr">
        <is>
          <t>Total P&amp;L</t>
        </is>
      </c>
      <c r="C7" s="25">
        <f>SUMPRODUCT(Holdings!C:C,Holdings!E:E)-SUM(Holdings!D:D)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2026-07-16T21:44:37Z</dcterms:created>
  <dcterms:modified xsi:type="dcterms:W3CDTF">2026-07-16T21:44:37Z</dcterms:modified>
</cp:coreProperties>
</file>