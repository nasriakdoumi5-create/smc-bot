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tudents" sheetId="2" state="visible" r:id="rId2"/>
    <sheet name="Dashboard" sheetId="3" state="visible" r:id="rId3"/>
    <sheet name="Sessions" sheetId="4" state="visible" r:id="rId4"/>
    <sheet name="Progress" sheetId="5" state="visible" r:id="rId5"/>
    <sheet name="Mater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82F49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0EA5E9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82F49"/>
      </patternFill>
    </fill>
    <fill>
      <patternFill patternType="solid">
        <fgColor rgb="00FFF7F0"/>
      </patternFill>
    </fill>
    <fill>
      <patternFill patternType="solid">
        <fgColor rgb="000EA5E9"/>
      </patternFill>
    </fill>
    <fill>
      <patternFill patternType="solid">
        <fgColor rgb="004ADE80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📖  TUTOR CLIENT TRACKER</t>
        </is>
      </c>
    </row>
    <row r="3"/>
    <row r="4">
      <c r="B4" s="2" t="inlineStr">
        <is>
          <t>Sessions, Progress &amp; Income Manager Google Sheets</t>
        </is>
      </c>
    </row>
    <row r="6">
      <c r="B6" s="3" t="inlineStr">
        <is>
          <t>STEP 1 — Fill in “Students”</t>
        </is>
      </c>
    </row>
    <row r="7" ht="28" customHeight="1">
      <c r="B7" s="4" t="inlineStr">
        <is>
          <t>Student directory with subject, grade, and status.</t>
        </is>
      </c>
    </row>
    <row r="9">
      <c r="B9" s="3" t="inlineStr">
        <is>
          <t>STEP 2 — Fill in “Sessions”</t>
        </is>
      </c>
    </row>
    <row r="10" ht="28" customHeight="1">
      <c r="B10" s="4" t="inlineStr">
        <is>
          <t>All tutoring sessions with subject, duration, and payment.</t>
        </is>
      </c>
    </row>
    <row r="12">
      <c r="B12" s="3" t="inlineStr">
        <is>
          <t>STEP 3 — Fill in “Progress”</t>
        </is>
      </c>
    </row>
    <row r="13" ht="28" customHeight="1">
      <c r="B13" s="4" t="inlineStr">
        <is>
          <t>Student progress assessments over time.</t>
        </is>
      </c>
    </row>
    <row r="15">
      <c r="B15" s="3" t="inlineStr">
        <is>
          <t>STEP 4 — Fill in “Materials”</t>
        </is>
      </c>
    </row>
    <row r="16" ht="28" customHeight="1">
      <c r="B16" s="4" t="inlineStr">
        <is>
          <t>Lesson materials and resources by subject.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2" customWidth="1" min="4" max="4"/>
    <col width="12" customWidth="1" min="5" max="5"/>
    <col width="12" customWidth="1" min="6" max="6"/>
    <col width="30" customWidth="1" min="7" max="7"/>
  </cols>
  <sheetData>
    <row r="1">
      <c r="A1" s="6" t="inlineStr">
        <is>
          <t>Name</t>
        </is>
      </c>
      <c r="B1" s="6" t="inlineStr">
        <is>
          <t>Grade/Level</t>
        </is>
      </c>
      <c r="C1" s="6" t="inlineStr">
        <is>
          <t>Subject</t>
        </is>
      </c>
      <c r="D1" s="6" t="inlineStr">
        <is>
          <t>Parent Contact</t>
        </is>
      </c>
      <c r="E1" s="6" t="inlineStr">
        <is>
          <t>Rate $/hr</t>
        </is>
      </c>
      <c r="F1" s="6" t="inlineStr">
        <is>
          <t>Status</t>
        </is>
      </c>
      <c r="G1" s="6" t="inlineStr">
        <is>
          <t>Notes</t>
        </is>
      </c>
    </row>
    <row r="2">
      <c r="A2" s="7" t="inlineStr">
        <is>
          <t>Alex Martin</t>
        </is>
      </c>
      <c r="B2" s="7" t="inlineStr">
        <is>
          <t>9th Grade</t>
        </is>
      </c>
      <c r="C2" s="7" t="inlineStr">
        <is>
          <t>Math</t>
        </is>
      </c>
      <c r="D2" s="7" t="inlineStr">
        <is>
          <t>Alex Martin</t>
        </is>
      </c>
      <c r="E2" s="7" t="n">
        <v>60</v>
      </c>
      <c r="F2" s="7" t="inlineStr">
        <is>
          <t>Active</t>
        </is>
      </c>
      <c r="G2" s="7" t="inlineStr"/>
    </row>
    <row r="3">
      <c r="A3" s="8" t="inlineStr">
        <is>
          <t>Sara Lopez</t>
        </is>
      </c>
      <c r="B3" s="8" t="inlineStr">
        <is>
          <t>9th Grade</t>
        </is>
      </c>
      <c r="C3" s="8" t="inlineStr">
        <is>
          <t>Reading</t>
        </is>
      </c>
      <c r="D3" s="8" t="inlineStr">
        <is>
          <t>Sara Lopez</t>
        </is>
      </c>
      <c r="E3" s="8" t="n">
        <v>42</v>
      </c>
      <c r="F3" s="8" t="inlineStr">
        <is>
          <t>On Hold</t>
        </is>
      </c>
      <c r="G3" s="8" t="inlineStr">
        <is>
          <t>Paid</t>
        </is>
      </c>
    </row>
    <row r="4">
      <c r="A4" s="7" t="inlineStr">
        <is>
          <t>Omar Haddad</t>
        </is>
      </c>
      <c r="B4" s="7" t="inlineStr"/>
      <c r="C4" s="7" t="inlineStr">
        <is>
          <t>Science</t>
        </is>
      </c>
      <c r="D4" s="7" t="inlineStr">
        <is>
          <t>Omar Haddad</t>
        </is>
      </c>
      <c r="E4" s="7" t="n">
        <v>78</v>
      </c>
      <c r="F4" s="7" t="inlineStr">
        <is>
          <t>Completed</t>
        </is>
      </c>
      <c r="G4" s="7" t="inlineStr">
        <is>
          <t>Urgent</t>
        </is>
      </c>
    </row>
    <row r="5">
      <c r="A5" s="8" t="inlineStr">
        <is>
          <t>Emma Fischer</t>
        </is>
      </c>
      <c r="B5" s="8" t="inlineStr">
        <is>
          <t>9th Grade</t>
        </is>
      </c>
      <c r="C5" s="8" t="inlineStr">
        <is>
          <t>Writing</t>
        </is>
      </c>
      <c r="D5" s="8" t="inlineStr">
        <is>
          <t>Emma Fischer</t>
        </is>
      </c>
      <c r="E5" s="8" t="n">
        <v>51</v>
      </c>
      <c r="F5" s="8" t="inlineStr">
        <is>
          <t>Paused</t>
        </is>
      </c>
      <c r="G5" s="8" t="inlineStr">
        <is>
          <t>Follow up Friday</t>
        </is>
      </c>
    </row>
    <row r="6">
      <c r="A6" s="7" t="inlineStr">
        <is>
          <t>Liam Carter</t>
        </is>
      </c>
      <c r="B6" s="7" t="inlineStr">
        <is>
          <t>9th Grade</t>
        </is>
      </c>
      <c r="C6" s="7" t="inlineStr">
        <is>
          <t>SAT Prep</t>
        </is>
      </c>
      <c r="D6" s="7" t="inlineStr">
        <is>
          <t>Liam Carter</t>
        </is>
      </c>
      <c r="E6" s="7" t="n">
        <v>69</v>
      </c>
      <c r="F6" s="7" t="inlineStr">
        <is>
          <t>Active</t>
        </is>
      </c>
      <c r="G6" s="7" t="inlineStr"/>
    </row>
    <row r="7">
      <c r="A7" s="8" t="inlineStr">
        <is>
          <t>Nadia Rahali</t>
        </is>
      </c>
      <c r="B7" s="8" t="inlineStr"/>
      <c r="C7" s="8" t="inlineStr">
        <is>
          <t>ESL</t>
        </is>
      </c>
      <c r="D7" s="8" t="inlineStr">
        <is>
          <t>Nadia Rahali</t>
        </is>
      </c>
      <c r="E7" s="8" t="n">
        <v>36</v>
      </c>
      <c r="F7" s="8" t="inlineStr">
        <is>
          <t>On Hold</t>
        </is>
      </c>
      <c r="G7" s="8" t="inlineStr">
        <is>
          <t>Monthly</t>
        </is>
      </c>
    </row>
    <row r="8">
      <c r="A8" s="7" t="inlineStr">
        <is>
          <t>Tom Becker</t>
        </is>
      </c>
      <c r="B8" s="7" t="inlineStr">
        <is>
          <t>9th Grade</t>
        </is>
      </c>
      <c r="C8" s="7" t="inlineStr">
        <is>
          <t>Other</t>
        </is>
      </c>
      <c r="D8" s="7" t="inlineStr">
        <is>
          <t>Tom Becker</t>
        </is>
      </c>
      <c r="E8" s="7" t="n">
        <v>87</v>
      </c>
      <c r="F8" s="7" t="inlineStr">
        <is>
          <t>Completed</t>
        </is>
      </c>
      <c r="G8" s="7" t="inlineStr">
        <is>
          <t>Confirmed</t>
        </is>
      </c>
    </row>
    <row r="9">
      <c r="A9" s="8" t="inlineStr">
        <is>
          <t>Julia Romero</t>
        </is>
      </c>
      <c r="B9" s="8" t="inlineStr">
        <is>
          <t>9th Grade</t>
        </is>
      </c>
      <c r="C9" s="8" t="inlineStr">
        <is>
          <t>Math</t>
        </is>
      </c>
      <c r="D9" s="8" t="inlineStr">
        <is>
          <t>Julia Romero</t>
        </is>
      </c>
      <c r="E9" s="8" t="n">
        <v>57</v>
      </c>
      <c r="F9" s="8" t="inlineStr">
        <is>
          <t>Paused</t>
        </is>
      </c>
      <c r="G9" s="8" t="inlineStr"/>
    </row>
    <row r="10">
      <c r="A10" s="7" t="inlineStr">
        <is>
          <t>Karim Ziani</t>
        </is>
      </c>
      <c r="B10" s="7" t="inlineStr"/>
      <c r="C10" s="7" t="inlineStr">
        <is>
          <t>Reading</t>
        </is>
      </c>
      <c r="D10" s="7" t="inlineStr">
        <is>
          <t>Karim Ziani</t>
        </is>
      </c>
      <c r="E10" s="7" t="n">
        <v>75</v>
      </c>
      <c r="F10" s="7" t="inlineStr">
        <is>
          <t>Active</t>
        </is>
      </c>
      <c r="G10" s="7" t="inlineStr">
        <is>
          <t>Waiting reply</t>
        </is>
      </c>
    </row>
    <row r="11">
      <c r="A11" s="8" t="inlineStr">
        <is>
          <t>Anna Kowalska</t>
        </is>
      </c>
      <c r="B11" s="8" t="inlineStr">
        <is>
          <t>9th Grade</t>
        </is>
      </c>
      <c r="C11" s="8" t="inlineStr">
        <is>
          <t>Science</t>
        </is>
      </c>
      <c r="D11" s="8" t="inlineStr">
        <is>
          <t>Anna Kowalska</t>
        </is>
      </c>
      <c r="E11" s="8" t="n">
        <v>48</v>
      </c>
      <c r="F11" s="8" t="inlineStr">
        <is>
          <t>On Hold</t>
        </is>
      </c>
      <c r="G11" s="8" t="inlineStr">
        <is>
          <t>Done early</t>
        </is>
      </c>
    </row>
    <row r="12">
      <c r="A12" s="7" t="inlineStr">
        <is>
          <t>David Chen</t>
        </is>
      </c>
      <c r="B12" s="7" t="inlineStr">
        <is>
          <t>9th Grade</t>
        </is>
      </c>
      <c r="C12" s="7" t="inlineStr">
        <is>
          <t>Writing</t>
        </is>
      </c>
      <c r="D12" s="7" t="inlineStr">
        <is>
          <t>David Chen</t>
        </is>
      </c>
      <c r="E12" s="7" t="n">
        <v>66</v>
      </c>
      <c r="F12" s="7" t="inlineStr">
        <is>
          <t>Completed</t>
        </is>
      </c>
      <c r="G12" s="7" t="inlineStr"/>
    </row>
    <row r="13">
      <c r="A13" s="8" t="inlineStr">
        <is>
          <t>Lea Moreau</t>
        </is>
      </c>
      <c r="B13" s="8" t="inlineStr"/>
      <c r="C13" s="8" t="inlineStr">
        <is>
          <t>SAT Prep</t>
        </is>
      </c>
      <c r="D13" s="8" t="inlineStr">
        <is>
          <t>Lea Moreau</t>
        </is>
      </c>
      <c r="E13" s="8" t="n">
        <v>45</v>
      </c>
      <c r="F13" s="8" t="inlineStr">
        <is>
          <t>Paused</t>
        </is>
      </c>
      <c r="G13" s="8" t="inlineStr">
        <is>
          <t>Recheck</t>
        </is>
      </c>
    </row>
  </sheetData>
  <dataValidations count="2">
    <dataValidation sqref="C2:C500" showDropDown="0" showInputMessage="0" showErrorMessage="0" allowBlank="1" type="list">
      <formula1>"Math,Reading,Science,Writing,SAT Prep,ESL,Other"</formula1>
    </dataValidation>
    <dataValidation sqref="F2:F500" showDropDown="0" showInputMessage="0" showErrorMessage="0" allowBlank="1" type="list">
      <formula1>"Active,On Hold,Completed,Paused"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9" t="inlineStr">
        <is>
          <t>📊  TUTOR CLIENT TRACKER — DASHBOARD</t>
        </is>
      </c>
    </row>
    <row r="4">
      <c r="B4" s="10" t="inlineStr">
        <is>
          <t>ACTIVE STUDENTS</t>
        </is>
      </c>
      <c r="D4" s="11" t="inlineStr">
        <is>
          <t>SESSIONS THIS MONTH</t>
        </is>
      </c>
      <c r="F4" s="12" t="inlineStr">
        <is>
          <t>MONTHLY INCOME $</t>
        </is>
      </c>
      <c r="H4" s="13" t="inlineStr">
        <is>
          <t>TOTAL EARNED YTD</t>
        </is>
      </c>
    </row>
    <row r="5" ht="26" customHeight="1">
      <c r="B5" s="14">
        <f>COUNTIF(Students!F:F,"Active")</f>
        <v/>
      </c>
      <c r="D5" s="15">
        <f>COUNTIF(Sessions!A:A,"&gt;="&amp;DATE(YEAR(TODAY()),MONTH(TODAY()),1))</f>
        <v/>
      </c>
      <c r="F5" s="16">
        <f>SUMIF(Sessions!A:A,"&gt;="&amp;DATE(YEAR(TODAY()),MONTH(TODAY()),1),Sessions!F:F)</f>
        <v/>
      </c>
      <c r="H5" s="17">
        <f>SUMIF(Sessions!A:A,"&gt;="&amp;DATE(YEAR(TODAY()),1,1),Sessions!F:F)</f>
        <v/>
      </c>
    </row>
    <row r="8">
      <c r="B8" s="18" t="inlineStr">
        <is>
          <t>WHAT'S INSIDE</t>
        </is>
      </c>
    </row>
    <row r="9">
      <c r="B9" s="19" t="inlineStr">
        <is>
          <t>👦  Students — Student directory with subject, grade, and status.</t>
        </is>
      </c>
    </row>
    <row r="10">
      <c r="B10" s="19" t="inlineStr">
        <is>
          <t>📅  Sessions — All tutoring sessions with subject, duration, and payment.</t>
        </is>
      </c>
    </row>
    <row r="11">
      <c r="B11" s="19" t="inlineStr">
        <is>
          <t>📊  Progress — Student progress assessments over time.</t>
        </is>
      </c>
    </row>
    <row r="12">
      <c r="B12" s="19" t="inlineStr">
        <is>
          <t>📚  Materials — Lesson materials and resources by subject.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34" customWidth="1" min="5" max="5"/>
    <col width="10" customWidth="1" min="6" max="6"/>
    <col width="14" customWidth="1" min="7" max="7"/>
  </cols>
  <sheetData>
    <row r="1">
      <c r="A1" s="6" t="inlineStr">
        <is>
          <t>Date</t>
        </is>
      </c>
      <c r="B1" s="6" t="inlineStr">
        <is>
          <t>Student</t>
        </is>
      </c>
      <c r="C1" s="6" t="inlineStr">
        <is>
          <t>Subject</t>
        </is>
      </c>
      <c r="D1" s="6" t="inlineStr">
        <is>
          <t>Duration (hr)</t>
        </is>
      </c>
      <c r="E1" s="6" t="inlineStr">
        <is>
          <t>Topics Covered</t>
        </is>
      </c>
      <c r="F1" s="6" t="inlineStr">
        <is>
          <t>Fee $</t>
        </is>
      </c>
      <c r="G1" s="6" t="inlineStr">
        <is>
          <t>Payment</t>
        </is>
      </c>
    </row>
    <row r="2">
      <c r="A2" s="20" t="n">
        <v>46174</v>
      </c>
      <c r="B2" s="7" t="inlineStr">
        <is>
          <t>Alex Martin</t>
        </is>
      </c>
      <c r="C2" s="7" t="inlineStr">
        <is>
          <t>Math</t>
        </is>
      </c>
      <c r="D2" s="7" t="n">
        <v>1.5</v>
      </c>
      <c r="E2" s="7" t="inlineStr">
        <is>
          <t>Kickoff meeting</t>
        </is>
      </c>
      <c r="F2" s="21" t="n">
        <v>90</v>
      </c>
      <c r="G2" s="7" t="inlineStr">
        <is>
          <t>Paid</t>
        </is>
      </c>
    </row>
    <row r="3">
      <c r="A3" s="22" t="n">
        <v>46180</v>
      </c>
      <c r="B3" s="8" t="inlineStr">
        <is>
          <t>Sara Lopez</t>
        </is>
      </c>
      <c r="C3" s="8" t="inlineStr">
        <is>
          <t>Math</t>
        </is>
      </c>
      <c r="D3" s="8" t="n">
        <v>1.05</v>
      </c>
      <c r="E3" s="8" t="inlineStr">
        <is>
          <t>Send proposal</t>
        </is>
      </c>
      <c r="F3" s="23" t="n">
        <v>63</v>
      </c>
      <c r="G3" s="8" t="inlineStr">
        <is>
          <t>Pending</t>
        </is>
      </c>
    </row>
    <row r="4">
      <c r="A4" s="20" t="n">
        <v>46186</v>
      </c>
      <c r="B4" s="7" t="inlineStr">
        <is>
          <t>Omar Haddad</t>
        </is>
      </c>
      <c r="C4" s="7" t="inlineStr"/>
      <c r="D4" s="7" t="n">
        <v>1.95</v>
      </c>
      <c r="E4" s="7" t="inlineStr">
        <is>
          <t>Review feedback</t>
        </is>
      </c>
      <c r="F4" s="21" t="n">
        <v>117</v>
      </c>
      <c r="G4" s="7" t="inlineStr">
        <is>
          <t>Waived</t>
        </is>
      </c>
    </row>
    <row r="5">
      <c r="A5" s="22" t="n">
        <v>46189</v>
      </c>
      <c r="B5" s="8" t="inlineStr">
        <is>
          <t>Emma Fischer</t>
        </is>
      </c>
      <c r="C5" s="8" t="inlineStr">
        <is>
          <t>Math</t>
        </is>
      </c>
      <c r="D5" s="8" t="n">
        <v>1.27</v>
      </c>
      <c r="E5" s="8" t="inlineStr">
        <is>
          <t>Update website copy</t>
        </is>
      </c>
      <c r="F5" s="23" t="n">
        <v>76.5</v>
      </c>
      <c r="G5" s="8" t="inlineStr">
        <is>
          <t>Paid</t>
        </is>
      </c>
    </row>
    <row r="6">
      <c r="A6" s="20" t="n">
        <v>46195</v>
      </c>
      <c r="B6" s="7" t="inlineStr">
        <is>
          <t>Liam Carter</t>
        </is>
      </c>
      <c r="C6" s="7" t="inlineStr">
        <is>
          <t>Math</t>
        </is>
      </c>
      <c r="D6" s="7" t="n">
        <v>1.72</v>
      </c>
      <c r="E6" s="7" t="inlineStr">
        <is>
          <t>Prepare invoice</t>
        </is>
      </c>
      <c r="F6" s="21" t="n">
        <v>103.5</v>
      </c>
      <c r="G6" s="7" t="inlineStr">
        <is>
          <t>Pending</t>
        </is>
      </c>
    </row>
    <row r="7">
      <c r="A7" s="22" t="n">
        <v>46201</v>
      </c>
      <c r="B7" s="8" t="inlineStr">
        <is>
          <t>Nadia Rahali</t>
        </is>
      </c>
      <c r="C7" s="8" t="inlineStr"/>
      <c r="D7" s="8" t="n">
        <v>0.9</v>
      </c>
      <c r="E7" s="8" t="inlineStr">
        <is>
          <t>Client call</t>
        </is>
      </c>
      <c r="F7" s="23" t="n">
        <v>54</v>
      </c>
      <c r="G7" s="8" t="inlineStr">
        <is>
          <t>Waived</t>
        </is>
      </c>
    </row>
    <row r="8">
      <c r="A8" s="20" t="n">
        <v>46176</v>
      </c>
      <c r="B8" s="7" t="inlineStr">
        <is>
          <t>Tom Becker</t>
        </is>
      </c>
      <c r="C8" s="7" t="inlineStr">
        <is>
          <t>Math</t>
        </is>
      </c>
      <c r="D8" s="7" t="n">
        <v>2.17</v>
      </c>
      <c r="E8" s="7" t="inlineStr">
        <is>
          <t>Design first draft</t>
        </is>
      </c>
      <c r="F8" s="21" t="n">
        <v>130.5</v>
      </c>
      <c r="G8" s="7" t="inlineStr">
        <is>
          <t>Paid</t>
        </is>
      </c>
    </row>
    <row r="9">
      <c r="A9" s="22" t="n">
        <v>46182</v>
      </c>
      <c r="B9" s="8" t="inlineStr">
        <is>
          <t>Julia Romero</t>
        </is>
      </c>
      <c r="C9" s="8" t="inlineStr">
        <is>
          <t>Math</t>
        </is>
      </c>
      <c r="D9" s="8" t="n">
        <v>1.42</v>
      </c>
      <c r="E9" s="8" t="inlineStr">
        <is>
          <t>Fix reported bug</t>
        </is>
      </c>
      <c r="F9" s="23" t="n">
        <v>85.5</v>
      </c>
      <c r="G9" s="8" t="inlineStr">
        <is>
          <t>Pending</t>
        </is>
      </c>
    </row>
    <row r="10">
      <c r="A10" s="20" t="n">
        <v>46188</v>
      </c>
      <c r="B10" s="7" t="inlineStr">
        <is>
          <t>Karim Ziani</t>
        </is>
      </c>
      <c r="C10" s="7" t="inlineStr"/>
      <c r="D10" s="7" t="n">
        <v>1.88</v>
      </c>
      <c r="E10" s="7" t="inlineStr">
        <is>
          <t>Weekly report</t>
        </is>
      </c>
      <c r="F10" s="21" t="n">
        <v>112.5</v>
      </c>
      <c r="G10" s="7" t="inlineStr">
        <is>
          <t>Waived</t>
        </is>
      </c>
    </row>
    <row r="11">
      <c r="A11" s="22" t="n">
        <v>46191</v>
      </c>
      <c r="B11" s="8" t="inlineStr">
        <is>
          <t>Anna Kowalska</t>
        </is>
      </c>
      <c r="C11" s="8" t="inlineStr">
        <is>
          <t>Math</t>
        </is>
      </c>
      <c r="D11" s="8" t="n">
        <v>1.2</v>
      </c>
      <c r="E11" s="8" t="inlineStr">
        <is>
          <t>Plan next sprint</t>
        </is>
      </c>
      <c r="F11" s="23" t="n">
        <v>72</v>
      </c>
      <c r="G11" s="8" t="inlineStr">
        <is>
          <t>Paid</t>
        </is>
      </c>
    </row>
    <row r="12">
      <c r="A12" s="20" t="n">
        <v>46197</v>
      </c>
      <c r="B12" s="7" t="inlineStr">
        <is>
          <t>David Chen</t>
        </is>
      </c>
      <c r="C12" s="7" t="inlineStr">
        <is>
          <t>Math</t>
        </is>
      </c>
      <c r="D12" s="7" t="n">
        <v>1.65</v>
      </c>
      <c r="E12" s="7" t="inlineStr">
        <is>
          <t>Publish blog post</t>
        </is>
      </c>
      <c r="F12" s="21" t="n">
        <v>99</v>
      </c>
      <c r="G12" s="7" t="inlineStr">
        <is>
          <t>Pending</t>
        </is>
      </c>
    </row>
    <row r="13">
      <c r="A13" s="22" t="n">
        <v>46175</v>
      </c>
      <c r="B13" s="8" t="inlineStr">
        <is>
          <t>Lea Moreau</t>
        </is>
      </c>
      <c r="C13" s="8" t="inlineStr"/>
      <c r="D13" s="8" t="n">
        <v>1.12</v>
      </c>
      <c r="E13" s="8" t="inlineStr">
        <is>
          <t>Team sync</t>
        </is>
      </c>
      <c r="F13" s="23" t="n">
        <v>67.5</v>
      </c>
      <c r="G13" s="8" t="inlineStr">
        <is>
          <t>Waived</t>
        </is>
      </c>
    </row>
  </sheetData>
  <dataValidations count="1">
    <dataValidation sqref="G2:G500" showDropDown="0" showInputMessage="0" showErrorMessage="0" allowBlank="1" type="list">
      <formula1>"Paid,Pending,Waived"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>
      <c r="A1" s="6" t="inlineStr">
        <is>
          <t>Date</t>
        </is>
      </c>
      <c r="B1" s="6" t="inlineStr">
        <is>
          <t>Student</t>
        </is>
      </c>
      <c r="C1" s="6" t="inlineStr">
        <is>
          <t>Assessment</t>
        </is>
      </c>
      <c r="D1" s="6" t="inlineStr">
        <is>
          <t>Score Before</t>
        </is>
      </c>
      <c r="E1" s="6" t="inlineStr">
        <is>
          <t>Score After</t>
        </is>
      </c>
      <c r="F1" s="6" t="inlineStr">
        <is>
          <t>Improvement</t>
        </is>
      </c>
      <c r="G1" s="6" t="inlineStr">
        <is>
          <t>Notes</t>
        </is>
      </c>
    </row>
    <row r="2">
      <c r="A2" s="20" t="n">
        <v>46174</v>
      </c>
      <c r="B2" s="7" t="inlineStr">
        <is>
          <t>Alex Martin</t>
        </is>
      </c>
      <c r="C2" s="7" t="inlineStr">
        <is>
          <t>Chapter 4 Quiz</t>
        </is>
      </c>
      <c r="D2" s="7" t="inlineStr">
        <is>
          <t>58%</t>
        </is>
      </c>
      <c r="E2" s="7" t="inlineStr">
        <is>
          <t>78%</t>
        </is>
      </c>
      <c r="F2" s="7">
        <f>E2-D2</f>
        <v/>
      </c>
      <c r="G2" s="7" t="inlineStr"/>
    </row>
    <row r="3">
      <c r="A3" s="22" t="n">
        <v>46180</v>
      </c>
      <c r="B3" s="8" t="inlineStr">
        <is>
          <t>Sara Lopez</t>
        </is>
      </c>
      <c r="C3" s="8" t="inlineStr">
        <is>
          <t>Chapter 4 Quiz</t>
        </is>
      </c>
      <c r="D3" s="8" t="inlineStr">
        <is>
          <t>58%</t>
        </is>
      </c>
      <c r="E3" s="8" t="inlineStr">
        <is>
          <t>78%</t>
        </is>
      </c>
      <c r="F3" s="8">
        <f>E3-D3</f>
        <v/>
      </c>
      <c r="G3" s="8" t="inlineStr">
        <is>
          <t>Paid</t>
        </is>
      </c>
    </row>
    <row r="4">
      <c r="A4" s="20" t="n">
        <v>46186</v>
      </c>
      <c r="B4" s="7" t="inlineStr">
        <is>
          <t>Omar Haddad</t>
        </is>
      </c>
      <c r="C4" s="7" t="inlineStr"/>
      <c r="D4" s="7" t="inlineStr"/>
      <c r="E4" s="7" t="inlineStr"/>
      <c r="F4" s="7">
        <f>E4-D4</f>
        <v/>
      </c>
      <c r="G4" s="7" t="inlineStr">
        <is>
          <t>Urgent</t>
        </is>
      </c>
    </row>
    <row r="5">
      <c r="A5" s="22" t="n">
        <v>46189</v>
      </c>
      <c r="B5" s="8" t="inlineStr">
        <is>
          <t>Emma Fischer</t>
        </is>
      </c>
      <c r="C5" s="8" t="inlineStr">
        <is>
          <t>Chapter 4 Quiz</t>
        </is>
      </c>
      <c r="D5" s="8" t="inlineStr">
        <is>
          <t>58%</t>
        </is>
      </c>
      <c r="E5" s="8" t="inlineStr">
        <is>
          <t>78%</t>
        </is>
      </c>
      <c r="F5" s="8">
        <f>E5-D5</f>
        <v/>
      </c>
      <c r="G5" s="8" t="inlineStr">
        <is>
          <t>Follow up Friday</t>
        </is>
      </c>
    </row>
    <row r="6">
      <c r="A6" s="20" t="n">
        <v>46195</v>
      </c>
      <c r="B6" s="7" t="inlineStr">
        <is>
          <t>Liam Carter</t>
        </is>
      </c>
      <c r="C6" s="7" t="inlineStr">
        <is>
          <t>Chapter 4 Quiz</t>
        </is>
      </c>
      <c r="D6" s="7" t="inlineStr">
        <is>
          <t>58%</t>
        </is>
      </c>
      <c r="E6" s="7" t="inlineStr">
        <is>
          <t>78%</t>
        </is>
      </c>
      <c r="F6" s="7">
        <f>E6-D6</f>
        <v/>
      </c>
      <c r="G6" s="7" t="inlineStr"/>
    </row>
    <row r="7">
      <c r="A7" s="22" t="n">
        <v>46201</v>
      </c>
      <c r="B7" s="8" t="inlineStr">
        <is>
          <t>Nadia Rahali</t>
        </is>
      </c>
      <c r="C7" s="8" t="inlineStr"/>
      <c r="D7" s="8" t="inlineStr"/>
      <c r="E7" s="8" t="inlineStr"/>
      <c r="F7" s="8">
        <f>E7-D7</f>
        <v/>
      </c>
      <c r="G7" s="8" t="inlineStr">
        <is>
          <t>Monthly</t>
        </is>
      </c>
    </row>
    <row r="8">
      <c r="A8" s="20" t="n">
        <v>46176</v>
      </c>
      <c r="B8" s="7" t="inlineStr">
        <is>
          <t>Tom Becker</t>
        </is>
      </c>
      <c r="C8" s="7" t="inlineStr">
        <is>
          <t>Chapter 4 Quiz</t>
        </is>
      </c>
      <c r="D8" s="7" t="inlineStr">
        <is>
          <t>58%</t>
        </is>
      </c>
      <c r="E8" s="7" t="inlineStr">
        <is>
          <t>78%</t>
        </is>
      </c>
      <c r="F8" s="7">
        <f>E8-D8</f>
        <v/>
      </c>
      <c r="G8" s="7" t="inlineStr">
        <is>
          <t>Confirmed</t>
        </is>
      </c>
    </row>
    <row r="9">
      <c r="A9" s="22" t="n">
        <v>46182</v>
      </c>
      <c r="B9" s="8" t="inlineStr">
        <is>
          <t>Julia Romero</t>
        </is>
      </c>
      <c r="C9" s="8" t="inlineStr">
        <is>
          <t>Chapter 4 Quiz</t>
        </is>
      </c>
      <c r="D9" s="8" t="inlineStr">
        <is>
          <t>58%</t>
        </is>
      </c>
      <c r="E9" s="8" t="inlineStr">
        <is>
          <t>78%</t>
        </is>
      </c>
      <c r="F9" s="8">
        <f>E9-D9</f>
        <v/>
      </c>
      <c r="G9" s="8" t="inlineStr"/>
    </row>
    <row r="10">
      <c r="A10" s="20" t="n">
        <v>46188</v>
      </c>
      <c r="B10" s="7" t="inlineStr">
        <is>
          <t>Karim Ziani</t>
        </is>
      </c>
      <c r="C10" s="7" t="inlineStr"/>
      <c r="D10" s="7" t="inlineStr"/>
      <c r="E10" s="7" t="inlineStr"/>
      <c r="F10" s="7">
        <f>E10-D10</f>
        <v/>
      </c>
      <c r="G10" s="7" t="inlineStr">
        <is>
          <t>Waiting reply</t>
        </is>
      </c>
    </row>
    <row r="11">
      <c r="A11" s="22" t="n">
        <v>46191</v>
      </c>
      <c r="B11" s="8" t="inlineStr">
        <is>
          <t>Anna Kowalska</t>
        </is>
      </c>
      <c r="C11" s="8" t="inlineStr">
        <is>
          <t>Chapter 4 Quiz</t>
        </is>
      </c>
      <c r="D11" s="8" t="inlineStr">
        <is>
          <t>58%</t>
        </is>
      </c>
      <c r="E11" s="8" t="inlineStr">
        <is>
          <t>78%</t>
        </is>
      </c>
      <c r="F11" s="8">
        <f>E11-D11</f>
        <v/>
      </c>
      <c r="G11" s="8" t="inlineStr">
        <is>
          <t>Done early</t>
        </is>
      </c>
    </row>
    <row r="12">
      <c r="A12" s="20" t="n">
        <v>46197</v>
      </c>
      <c r="B12" s="7" t="inlineStr">
        <is>
          <t>David Chen</t>
        </is>
      </c>
      <c r="C12" s="7" t="inlineStr">
        <is>
          <t>Chapter 4 Quiz</t>
        </is>
      </c>
      <c r="D12" s="7" t="inlineStr">
        <is>
          <t>58%</t>
        </is>
      </c>
      <c r="E12" s="7" t="inlineStr">
        <is>
          <t>78%</t>
        </is>
      </c>
      <c r="F12" s="7">
        <f>E12-D12</f>
        <v/>
      </c>
      <c r="G12" s="7" t="inlineStr"/>
    </row>
    <row r="13">
      <c r="A13" s="22" t="n">
        <v>46175</v>
      </c>
      <c r="B13" s="8" t="inlineStr">
        <is>
          <t>Lea Moreau</t>
        </is>
      </c>
      <c r="C13" s="8" t="inlineStr"/>
      <c r="D13" s="8" t="inlineStr"/>
      <c r="E13" s="8" t="inlineStr"/>
      <c r="F13" s="8">
        <f>E13-D13</f>
        <v/>
      </c>
      <c r="G13" s="8" t="inlineStr">
        <is>
          <t>Recheck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14" customWidth="1" min="4" max="4"/>
    <col width="36" customWidth="1" min="5" max="5"/>
    <col width="14" customWidth="1" min="6" max="6"/>
  </cols>
  <sheetData>
    <row r="1">
      <c r="A1" s="6" t="inlineStr">
        <is>
          <t>Subject</t>
        </is>
      </c>
      <c r="B1" s="6" t="inlineStr">
        <is>
          <t>Resource</t>
        </is>
      </c>
      <c r="C1" s="6" t="inlineStr">
        <is>
          <t>Type</t>
        </is>
      </c>
      <c r="D1" s="6" t="inlineStr">
        <is>
          <t>Grade Level</t>
        </is>
      </c>
      <c r="E1" s="6" t="inlineStr">
        <is>
          <t>URL/Notes</t>
        </is>
      </c>
      <c r="F1" s="6" t="inlineStr">
        <is>
          <t>Rating</t>
        </is>
      </c>
    </row>
    <row r="2">
      <c r="A2" s="7" t="inlineStr">
        <is>
          <t>Math</t>
        </is>
      </c>
      <c r="B2" s="7" t="inlineStr">
        <is>
          <t>Khan Academy Algebra Unit 3</t>
        </is>
      </c>
      <c r="C2" s="7" t="inlineStr">
        <is>
          <t>Worksheet</t>
        </is>
      </c>
      <c r="D2" s="7" t="inlineStr">
        <is>
          <t>9th Grade</t>
        </is>
      </c>
      <c r="E2" s="7" t="inlineStr"/>
      <c r="F2" s="7" t="inlineStr">
        <is>
          <t>Excellent</t>
        </is>
      </c>
    </row>
    <row r="3">
      <c r="A3" s="8" t="inlineStr">
        <is>
          <t>Math</t>
        </is>
      </c>
      <c r="B3" s="8" t="inlineStr">
        <is>
          <t>Khan Academy Algebra Unit 4</t>
        </is>
      </c>
      <c r="C3" s="8" t="inlineStr">
        <is>
          <t>Video</t>
        </is>
      </c>
      <c r="D3" s="8" t="inlineStr">
        <is>
          <t>9th Grade</t>
        </is>
      </c>
      <c r="E3" s="8" t="inlineStr">
        <is>
          <t>Paid</t>
        </is>
      </c>
      <c r="F3" s="8" t="inlineStr">
        <is>
          <t>Good</t>
        </is>
      </c>
    </row>
    <row r="4">
      <c r="A4" s="7" t="inlineStr"/>
      <c r="B4" s="7" t="inlineStr">
        <is>
          <t>Khan Academy Algebra Unit 5</t>
        </is>
      </c>
      <c r="C4" s="7" t="inlineStr">
        <is>
          <t>Textbook</t>
        </is>
      </c>
      <c r="D4" s="7" t="inlineStr"/>
      <c r="E4" s="7" t="inlineStr">
        <is>
          <t>Urgent</t>
        </is>
      </c>
      <c r="F4" s="7" t="inlineStr">
        <is>
          <t>Fair</t>
        </is>
      </c>
    </row>
    <row r="5">
      <c r="A5" s="8" t="inlineStr">
        <is>
          <t>Math</t>
        </is>
      </c>
      <c r="B5" s="8" t="inlineStr">
        <is>
          <t>Khan Academy Algebra Unit 6</t>
        </is>
      </c>
      <c r="C5" s="8" t="inlineStr">
        <is>
          <t>App</t>
        </is>
      </c>
      <c r="D5" s="8" t="inlineStr">
        <is>
          <t>9th Grade</t>
        </is>
      </c>
      <c r="E5" s="8" t="inlineStr">
        <is>
          <t>Follow up Friday</t>
        </is>
      </c>
      <c r="F5" s="8" t="inlineStr">
        <is>
          <t>Not Useful</t>
        </is>
      </c>
    </row>
    <row r="6">
      <c r="A6" s="7" t="inlineStr">
        <is>
          <t>Math</t>
        </is>
      </c>
      <c r="B6" s="7" t="inlineStr">
        <is>
          <t>Khan Academy Algebra Unit 7</t>
        </is>
      </c>
      <c r="C6" s="7" t="inlineStr">
        <is>
          <t>Quiz</t>
        </is>
      </c>
      <c r="D6" s="7" t="inlineStr">
        <is>
          <t>9th Grade</t>
        </is>
      </c>
      <c r="E6" s="7" t="inlineStr"/>
      <c r="F6" s="7" t="inlineStr">
        <is>
          <t>Excellent</t>
        </is>
      </c>
    </row>
    <row r="7">
      <c r="A7" s="8" t="inlineStr"/>
      <c r="B7" s="8" t="inlineStr">
        <is>
          <t>Khan Academy Algebra Unit 8</t>
        </is>
      </c>
      <c r="C7" s="8" t="inlineStr">
        <is>
          <t>Website</t>
        </is>
      </c>
      <c r="D7" s="8" t="inlineStr"/>
      <c r="E7" s="8" t="inlineStr">
        <is>
          <t>Monthly</t>
        </is>
      </c>
      <c r="F7" s="8" t="inlineStr">
        <is>
          <t>Good</t>
        </is>
      </c>
    </row>
    <row r="8">
      <c r="A8" s="7" t="inlineStr">
        <is>
          <t>Math</t>
        </is>
      </c>
      <c r="B8" s="7" t="inlineStr">
        <is>
          <t>Khan Academy Algebra Unit 9</t>
        </is>
      </c>
      <c r="C8" s="7" t="inlineStr">
        <is>
          <t>Other</t>
        </is>
      </c>
      <c r="D8" s="7" t="inlineStr">
        <is>
          <t>9th Grade</t>
        </is>
      </c>
      <c r="E8" s="7" t="inlineStr">
        <is>
          <t>Confirmed</t>
        </is>
      </c>
      <c r="F8" s="7" t="inlineStr">
        <is>
          <t>Fair</t>
        </is>
      </c>
    </row>
    <row r="9">
      <c r="A9" s="8" t="inlineStr">
        <is>
          <t>Math</t>
        </is>
      </c>
      <c r="B9" s="8" t="inlineStr">
        <is>
          <t>Khan Academy Algebra Unit 10</t>
        </is>
      </c>
      <c r="C9" s="8" t="inlineStr">
        <is>
          <t>Worksheet</t>
        </is>
      </c>
      <c r="D9" s="8" t="inlineStr">
        <is>
          <t>9th Grade</t>
        </is>
      </c>
      <c r="E9" s="8" t="inlineStr"/>
      <c r="F9" s="8" t="inlineStr">
        <is>
          <t>Not Useful</t>
        </is>
      </c>
    </row>
    <row r="10">
      <c r="A10" s="7" t="inlineStr"/>
      <c r="B10" s="7" t="inlineStr">
        <is>
          <t>Khan Academy Algebra Unit 11</t>
        </is>
      </c>
      <c r="C10" s="7" t="inlineStr">
        <is>
          <t>Video</t>
        </is>
      </c>
      <c r="D10" s="7" t="inlineStr"/>
      <c r="E10" s="7" t="inlineStr">
        <is>
          <t>Waiting reply</t>
        </is>
      </c>
      <c r="F10" s="7" t="inlineStr">
        <is>
          <t>Excellent</t>
        </is>
      </c>
    </row>
    <row r="11">
      <c r="A11" s="8" t="inlineStr">
        <is>
          <t>Math</t>
        </is>
      </c>
      <c r="B11" s="8" t="inlineStr">
        <is>
          <t>Khan Academy Algebra Unit 12</t>
        </is>
      </c>
      <c r="C11" s="8" t="inlineStr">
        <is>
          <t>Textbook</t>
        </is>
      </c>
      <c r="D11" s="8" t="inlineStr">
        <is>
          <t>9th Grade</t>
        </is>
      </c>
      <c r="E11" s="8" t="inlineStr">
        <is>
          <t>Done early</t>
        </is>
      </c>
      <c r="F11" s="8" t="inlineStr">
        <is>
          <t>Good</t>
        </is>
      </c>
    </row>
    <row r="12">
      <c r="A12" s="7" t="inlineStr">
        <is>
          <t>Math</t>
        </is>
      </c>
      <c r="B12" s="7" t="inlineStr">
        <is>
          <t>Khan Academy Algebra Unit 13</t>
        </is>
      </c>
      <c r="C12" s="7" t="inlineStr">
        <is>
          <t>App</t>
        </is>
      </c>
      <c r="D12" s="7" t="inlineStr">
        <is>
          <t>9th Grade</t>
        </is>
      </c>
      <c r="E12" s="7" t="inlineStr"/>
      <c r="F12" s="7" t="inlineStr">
        <is>
          <t>Fair</t>
        </is>
      </c>
    </row>
    <row r="13">
      <c r="A13" s="8" t="inlineStr"/>
      <c r="B13" s="8" t="inlineStr">
        <is>
          <t>Khan Academy Algebra Unit 14</t>
        </is>
      </c>
      <c r="C13" s="8" t="inlineStr">
        <is>
          <t>Quiz</t>
        </is>
      </c>
      <c r="D13" s="8" t="inlineStr"/>
      <c r="E13" s="8" t="inlineStr">
        <is>
          <t>Recheck</t>
        </is>
      </c>
      <c r="F13" s="8" t="inlineStr">
        <is>
          <t>Not Useful</t>
        </is>
      </c>
    </row>
  </sheetData>
  <dataValidations count="2">
    <dataValidation sqref="C2:C500" showDropDown="0" showInputMessage="0" showErrorMessage="0" allowBlank="1" type="list">
      <formula1>"Worksheet,Video,Textbook,App,Quiz,Website,Other"</formula1>
    </dataValidation>
    <dataValidation sqref="F2:F500" showDropDown="0" showInputMessage="0" showErrorMessage="0" allowBlank="1" type="list">
      <formula1>"Excellent,Good,Fair,Not Useful"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2026-07-16T21:44:40Z</dcterms:created>
  <dcterms:modified xsi:type="dcterms:W3CDTF">2026-07-16T21:44:40Z</dcterms:modified>
</cp:coreProperties>
</file>