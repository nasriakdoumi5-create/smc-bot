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Invoices" sheetId="2" state="visible" r:id="rId2"/>
    <sheet name="Dashboard" sheetId="3" state="visible" r:id="rId3"/>
    <sheet name="Clients" sheetId="4" state="visible" r:id="rId4"/>
    <sheet name="Expenses" sheetId="5" state="visible" r:id="rId5"/>
    <sheet name="Income 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€&quot;#,##0.00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10"/>
    </font>
    <font>
      <name val="Arial"/>
      <b val="1"/>
      <color rgb="00FFFFFF"/>
      <sz val="14"/>
    </font>
    <font>
      <name val="Arial"/>
      <b val="1"/>
      <color rgb="00F97316"/>
      <sz val="12"/>
    </font>
    <font>
      <name val="Arial"/>
      <b val="1"/>
      <color rgb="00222222"/>
      <sz val="11"/>
    </font>
    <font>
      <name val="Arial"/>
      <b val="1"/>
      <color rgb="00FFFFFF"/>
      <sz val="15"/>
    </font>
    <font>
      <name val="Arial"/>
      <b val="1"/>
      <color rgb="00FFFFFF"/>
      <sz val="16"/>
    </font>
    <font>
      <name val="Arial"/>
      <b val="1"/>
      <color rgb="001A1A2E"/>
      <sz val="12"/>
    </font>
    <font>
      <name val="Arial"/>
      <color rgb="00444444"/>
      <sz val="10"/>
    </font>
    <font>
      <name val="Arial"/>
      <i val="1"/>
      <color rgb="00777777"/>
      <sz val="10"/>
    </font>
    <font>
      <name val="Arial"/>
      <b val="1"/>
      <color rgb="00FFFFFF"/>
      <sz val="20"/>
    </font>
    <font>
      <name val="Arial"/>
      <color rgb="00DDDDDD"/>
      <sz val="11"/>
    </font>
    <font>
      <name val="Arial"/>
      <color rgb="00333333"/>
      <sz val="11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7F0"/>
      </patternFill>
    </fill>
    <fill>
      <patternFill patternType="solid">
        <fgColor rgb="00F97316"/>
      </patternFill>
    </fill>
    <fill>
      <patternFill patternType="solid">
        <fgColor rgb="0022C55E"/>
      </patternFill>
    </fill>
    <fill>
      <patternFill patternType="solid">
        <fgColor rgb="006366F1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13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6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165" fontId="5" fillId="0" borderId="1" pivotButton="0" quotePrefix="0" xfId="0"/>
    <xf numFmtId="165" fontId="5" fillId="3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🧾  FREELANCE BUSINESS MANAGER</t>
        </is>
      </c>
    </row>
    <row r="3"/>
    <row r="4">
      <c r="B4" s="2" t="inlineStr">
        <is>
          <t>Invoices, Clients, Expenses &amp; Profit — one system</t>
        </is>
      </c>
    </row>
    <row r="6">
      <c r="B6" s="3" t="inlineStr">
        <is>
          <t>STEP 1 — Fill in “Invoices”</t>
        </is>
      </c>
    </row>
    <row r="7" ht="28" customHeight="1">
      <c r="B7" s="4" t="inlineStr">
        <is>
          <t>Every invoice with status — nothing slips through.</t>
        </is>
      </c>
    </row>
    <row r="9">
      <c r="B9" s="3" t="inlineStr">
        <is>
          <t>STEP 2 — Fill in “Clients”</t>
        </is>
      </c>
    </row>
    <row r="10" ht="28" customHeight="1">
      <c r="B10" s="4" t="inlineStr">
        <is>
          <t>Your client base with contact info and status.</t>
        </is>
      </c>
    </row>
    <row r="12">
      <c r="B12" s="3" t="inlineStr">
        <is>
          <t>STEP 3 — Fill in “Expenses”</t>
        </is>
      </c>
    </row>
    <row r="13" ht="28" customHeight="1">
      <c r="B13" s="4" t="inlineStr">
        <is>
          <t>Business expenses — software, gear, subscriptions.</t>
        </is>
      </c>
    </row>
    <row r="15">
      <c r="B15" s="3" t="inlineStr">
        <is>
          <t>Then open the Dashboard — everything calculates automatically.</t>
        </is>
      </c>
    </row>
    <row r="17">
      <c r="B17" s="5" t="inlineStr">
        <is>
          <t>TIP: Delete the sample rows once you've seen how it works.</t>
        </is>
      </c>
    </row>
    <row r="19">
      <c r="B19" s="5" t="inlineStr">
        <is>
          <t>TIP: On Google Sheets? File → Make a copy first, then edit your copy.</t>
        </is>
      </c>
    </row>
    <row r="21">
      <c r="B21" s="5" t="inlineStr">
        <is>
          <t>TIP: Columns with dropdowns keep your data clean — use them.</t>
        </is>
      </c>
    </row>
    <row r="23">
      <c r="B23" s="5" t="inlineStr">
        <is>
          <t>Need help? Message NasriTools on Etsy — I reply fast. 🧡</t>
        </is>
      </c>
    </row>
  </sheetData>
  <mergeCells count="13">
    <mergeCell ref="B4:F4"/>
    <mergeCell ref="B21:F21"/>
    <mergeCell ref="B12:F12"/>
    <mergeCell ref="B7:F7"/>
    <mergeCell ref="B6:F6"/>
    <mergeCell ref="B15:F15"/>
    <mergeCell ref="B2:F3"/>
    <mergeCell ref="B10:F10"/>
    <mergeCell ref="B19:F19"/>
    <mergeCell ref="B23:F23"/>
    <mergeCell ref="B17:F17"/>
    <mergeCell ref="B9:F9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14" customWidth="1" min="4" max="4"/>
    <col width="14" customWidth="1" min="5" max="5"/>
    <col width="14" customWidth="1" min="6" max="6"/>
    <col width="13" customWidth="1" min="7" max="7"/>
  </cols>
  <sheetData>
    <row r="1">
      <c r="A1" s="6" t="inlineStr">
        <is>
          <t>Invoice #</t>
        </is>
      </c>
      <c r="B1" s="6" t="inlineStr">
        <is>
          <t>Client</t>
        </is>
      </c>
      <c r="C1" s="6" t="inlineStr">
        <is>
          <t>Project</t>
        </is>
      </c>
      <c r="D1" s="6" t="inlineStr">
        <is>
          <t>Issue Date</t>
        </is>
      </c>
      <c r="E1" s="6" t="inlineStr">
        <is>
          <t>Due Date</t>
        </is>
      </c>
      <c r="F1" s="6" t="inlineStr">
        <is>
          <t>Amount</t>
        </is>
      </c>
      <c r="G1" s="6" t="inlineStr">
        <is>
          <t>Status</t>
        </is>
      </c>
    </row>
    <row r="2">
      <c r="A2" s="7" t="inlineStr">
        <is>
          <t>INV-001</t>
        </is>
      </c>
      <c r="B2" s="7" t="inlineStr">
        <is>
          <t>Alex Martin</t>
        </is>
      </c>
      <c r="C2" s="7" t="inlineStr">
        <is>
          <t>Kickoff meeting</t>
        </is>
      </c>
      <c r="D2" s="8" t="n">
        <v>46174</v>
      </c>
      <c r="E2" s="8" t="n">
        <v>46174</v>
      </c>
      <c r="F2" s="9" t="n">
        <v>850</v>
      </c>
      <c r="G2" s="7" t="inlineStr">
        <is>
          <t>Draft</t>
        </is>
      </c>
    </row>
    <row r="3">
      <c r="A3" s="10" t="inlineStr">
        <is>
          <t>INV-002</t>
        </is>
      </c>
      <c r="B3" s="10" t="inlineStr">
        <is>
          <t>Sara Lopez</t>
        </is>
      </c>
      <c r="C3" s="10" t="inlineStr">
        <is>
          <t>Send proposal</t>
        </is>
      </c>
      <c r="D3" s="11" t="n">
        <v>46180</v>
      </c>
      <c r="E3" s="11" t="n">
        <v>46180</v>
      </c>
      <c r="F3" s="12" t="n">
        <v>595</v>
      </c>
      <c r="G3" s="10" t="inlineStr">
        <is>
          <t>Sent</t>
        </is>
      </c>
    </row>
    <row r="4">
      <c r="A4" s="7" t="inlineStr">
        <is>
          <t>INV-003</t>
        </is>
      </c>
      <c r="B4" s="7" t="inlineStr">
        <is>
          <t>Omar Haddad</t>
        </is>
      </c>
      <c r="C4" s="7" t="inlineStr">
        <is>
          <t>Review feedback</t>
        </is>
      </c>
      <c r="D4" s="8" t="n">
        <v>46186</v>
      </c>
      <c r="E4" s="8" t="n">
        <v>46186</v>
      </c>
      <c r="F4" s="9" t="n">
        <v>1105</v>
      </c>
      <c r="G4" s="7" t="inlineStr">
        <is>
          <t>Paid</t>
        </is>
      </c>
    </row>
    <row r="5">
      <c r="A5" s="10" t="inlineStr">
        <is>
          <t>INV-004</t>
        </is>
      </c>
      <c r="B5" s="10" t="inlineStr">
        <is>
          <t>Emma Fischer</t>
        </is>
      </c>
      <c r="C5" s="10" t="inlineStr">
        <is>
          <t>Update website copy</t>
        </is>
      </c>
      <c r="D5" s="11" t="n">
        <v>46189</v>
      </c>
      <c r="E5" s="11" t="n">
        <v>46189</v>
      </c>
      <c r="F5" s="12" t="n">
        <v>722</v>
      </c>
      <c r="G5" s="10" t="inlineStr">
        <is>
          <t>Overdue</t>
        </is>
      </c>
    </row>
    <row r="6">
      <c r="A6" s="7" t="inlineStr">
        <is>
          <t>INV-005</t>
        </is>
      </c>
      <c r="B6" s="7" t="inlineStr">
        <is>
          <t>Liam Carter</t>
        </is>
      </c>
      <c r="C6" s="7" t="inlineStr">
        <is>
          <t>Prepare invoice</t>
        </is>
      </c>
      <c r="D6" s="8" t="n">
        <v>46195</v>
      </c>
      <c r="E6" s="8" t="n">
        <v>46195</v>
      </c>
      <c r="F6" s="9" t="n">
        <v>977</v>
      </c>
      <c r="G6" s="7" t="inlineStr">
        <is>
          <t>Cancelled</t>
        </is>
      </c>
    </row>
    <row r="7">
      <c r="A7" s="10" t="inlineStr">
        <is>
          <t>INV-006</t>
        </is>
      </c>
      <c r="B7" s="10" t="inlineStr">
        <is>
          <t>Nadia Rahali</t>
        </is>
      </c>
      <c r="C7" s="10" t="inlineStr">
        <is>
          <t>Client call</t>
        </is>
      </c>
      <c r="D7" s="11" t="n">
        <v>46201</v>
      </c>
      <c r="E7" s="11" t="n">
        <v>46201</v>
      </c>
      <c r="F7" s="12" t="n">
        <v>510</v>
      </c>
      <c r="G7" s="10" t="inlineStr">
        <is>
          <t>Draft</t>
        </is>
      </c>
    </row>
    <row r="8">
      <c r="A8" s="7" t="inlineStr">
        <is>
          <t>INV-007</t>
        </is>
      </c>
      <c r="B8" s="7" t="inlineStr">
        <is>
          <t>Tom Becker</t>
        </is>
      </c>
      <c r="C8" s="7" t="inlineStr">
        <is>
          <t>Design first draft</t>
        </is>
      </c>
      <c r="D8" s="8" t="n">
        <v>46176</v>
      </c>
      <c r="E8" s="8" t="n">
        <v>46176</v>
      </c>
      <c r="F8" s="9" t="n">
        <v>1232</v>
      </c>
      <c r="G8" s="7" t="inlineStr">
        <is>
          <t>Sent</t>
        </is>
      </c>
    </row>
    <row r="9">
      <c r="A9" s="10" t="inlineStr">
        <is>
          <t>INV-008</t>
        </is>
      </c>
      <c r="B9" s="10" t="inlineStr">
        <is>
          <t>Julia Romero</t>
        </is>
      </c>
      <c r="C9" s="10" t="inlineStr">
        <is>
          <t>Fix reported bug</t>
        </is>
      </c>
      <c r="D9" s="11" t="n">
        <v>46182</v>
      </c>
      <c r="E9" s="11" t="n">
        <v>46182</v>
      </c>
      <c r="F9" s="12" t="n">
        <v>808</v>
      </c>
      <c r="G9" s="10" t="inlineStr">
        <is>
          <t>Paid</t>
        </is>
      </c>
    </row>
    <row r="10">
      <c r="A10" s="7" t="inlineStr">
        <is>
          <t>INV-009</t>
        </is>
      </c>
      <c r="B10" s="7" t="inlineStr">
        <is>
          <t>Karim Ziani</t>
        </is>
      </c>
      <c r="C10" s="7" t="inlineStr">
        <is>
          <t>Weekly report</t>
        </is>
      </c>
      <c r="D10" s="8" t="n">
        <v>46188</v>
      </c>
      <c r="E10" s="8" t="n">
        <v>46188</v>
      </c>
      <c r="F10" s="9" t="n">
        <v>1062</v>
      </c>
      <c r="G10" s="7" t="inlineStr">
        <is>
          <t>Overdue</t>
        </is>
      </c>
    </row>
    <row r="11">
      <c r="A11" s="10" t="inlineStr">
        <is>
          <t>INV-010</t>
        </is>
      </c>
      <c r="B11" s="10" t="inlineStr">
        <is>
          <t>Anna Kowalska</t>
        </is>
      </c>
      <c r="C11" s="10" t="inlineStr">
        <is>
          <t>Plan next sprint</t>
        </is>
      </c>
      <c r="D11" s="11" t="n">
        <v>46191</v>
      </c>
      <c r="E11" s="11" t="n">
        <v>46191</v>
      </c>
      <c r="F11" s="12" t="n">
        <v>680</v>
      </c>
      <c r="G11" s="10" t="inlineStr">
        <is>
          <t>Cancelled</t>
        </is>
      </c>
    </row>
    <row r="12">
      <c r="A12" s="7" t="inlineStr">
        <is>
          <t>INV-011</t>
        </is>
      </c>
      <c r="B12" s="7" t="inlineStr">
        <is>
          <t>David Chen</t>
        </is>
      </c>
      <c r="C12" s="7" t="inlineStr">
        <is>
          <t>Publish blog post</t>
        </is>
      </c>
      <c r="D12" s="8" t="n">
        <v>46197</v>
      </c>
      <c r="E12" s="8" t="n">
        <v>46197</v>
      </c>
      <c r="F12" s="9" t="n">
        <v>935</v>
      </c>
      <c r="G12" s="7" t="inlineStr">
        <is>
          <t>Draft</t>
        </is>
      </c>
    </row>
    <row r="13">
      <c r="A13" s="10" t="inlineStr">
        <is>
          <t>INV-012</t>
        </is>
      </c>
      <c r="B13" s="10" t="inlineStr">
        <is>
          <t>Lea Moreau</t>
        </is>
      </c>
      <c r="C13" s="10" t="inlineStr">
        <is>
          <t>Team sync</t>
        </is>
      </c>
      <c r="D13" s="11" t="n">
        <v>46175</v>
      </c>
      <c r="E13" s="11" t="n">
        <v>46175</v>
      </c>
      <c r="F13" s="12" t="n">
        <v>638</v>
      </c>
      <c r="G13" s="10" t="inlineStr">
        <is>
          <t>Sent</t>
        </is>
      </c>
    </row>
  </sheetData>
  <dataValidations count="1">
    <dataValidation sqref="G2:G500" showDropDown="0" showInputMessage="0" showErrorMessage="0" allowBlank="1" type="list">
      <formula1>"Draft,Sent,Paid,Overdue,Cancelled"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2" ht="28" customHeight="1">
      <c r="B2" s="13" t="inlineStr">
        <is>
          <t>📊  FREELANCE BUSINESS MANAGER — DASHBOARD</t>
        </is>
      </c>
    </row>
    <row r="4">
      <c r="B4" s="14" t="inlineStr">
        <is>
          <t>TOTAL BILLED</t>
        </is>
      </c>
      <c r="D4" s="15" t="inlineStr">
        <is>
          <t>PAID</t>
        </is>
      </c>
      <c r="F4" s="16" t="inlineStr">
        <is>
          <t>PENDING</t>
        </is>
      </c>
      <c r="H4" s="17" t="inlineStr">
        <is>
          <t>PROFIT</t>
        </is>
      </c>
    </row>
    <row r="5" ht="26" customHeight="1">
      <c r="B5" s="18">
        <f>SUM(Invoices!F:F)</f>
        <v/>
      </c>
      <c r="D5" s="19">
        <f>SUMIF(Invoices!G:G,"Paid",Invoices!F:F)</f>
        <v/>
      </c>
      <c r="F5" s="20">
        <f>SUMIF(Invoices!G:G,"Sent",Invoices!F:F)+SUMIF(Invoices!G:G,"Overdue",Invoices!F:F)</f>
        <v/>
      </c>
      <c r="H5" s="21">
        <f>SUM(Invoices!F:F)-SUM(Expenses!D:D)</f>
        <v/>
      </c>
    </row>
    <row r="8">
      <c r="B8" s="22" t="inlineStr">
        <is>
          <t>WHAT'S INSIDE</t>
        </is>
      </c>
    </row>
    <row r="9">
      <c r="B9" s="23" t="inlineStr">
        <is>
          <t>🧾  Invoices — Every invoice with status — nothing slips through.</t>
        </is>
      </c>
    </row>
    <row r="10">
      <c r="B10" s="23" t="inlineStr">
        <is>
          <t>👥  Clients — Your client base with contact info and status.</t>
        </is>
      </c>
    </row>
    <row r="11">
      <c r="B11" s="23" t="inlineStr">
        <is>
          <t>💳  Expenses — Business expenses — software, gear, subscriptions.</t>
        </is>
      </c>
    </row>
    <row r="12">
      <c r="B12" s="23" t="inlineStr">
        <is>
          <t xml:space="preserve">📈  Income Report — </t>
        </is>
      </c>
    </row>
    <row r="14">
      <c r="B14" s="5" t="inlineStr">
        <is>
          <t>Numbers update automatically as you fill the other tabs. Start with sample data deleted.</t>
        </is>
      </c>
    </row>
  </sheetData>
  <mergeCells count="14">
    <mergeCell ref="B9:I9"/>
    <mergeCell ref="F4:G4"/>
    <mergeCell ref="B12:I12"/>
    <mergeCell ref="B11:I11"/>
    <mergeCell ref="B5:C5"/>
    <mergeCell ref="B2:I2"/>
    <mergeCell ref="F5:G5"/>
    <mergeCell ref="D5:E5"/>
    <mergeCell ref="B10:I10"/>
    <mergeCell ref="H5:I5"/>
    <mergeCell ref="D4:E4"/>
    <mergeCell ref="B14:I14"/>
    <mergeCell ref="H4:I4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3" customWidth="1" min="5" max="5"/>
  </cols>
  <sheetData>
    <row r="1">
      <c r="A1" s="6" t="inlineStr">
        <is>
          <t>Client Name</t>
        </is>
      </c>
      <c r="B1" s="6" t="inlineStr">
        <is>
          <t>Contact</t>
        </is>
      </c>
      <c r="C1" s="6" t="inlineStr">
        <is>
          <t>Email</t>
        </is>
      </c>
      <c r="D1" s="6" t="inlineStr">
        <is>
          <t>Rate/hr</t>
        </is>
      </c>
      <c r="E1" s="6" t="inlineStr">
        <is>
          <t>Status</t>
        </is>
      </c>
    </row>
    <row r="2">
      <c r="A2" s="7" t="inlineStr">
        <is>
          <t>Alex Martin</t>
        </is>
      </c>
      <c r="B2" s="7" t="inlineStr">
        <is>
          <t>Alex Martin</t>
        </is>
      </c>
      <c r="C2" s="7" t="inlineStr">
        <is>
          <t>alex@mail.com</t>
        </is>
      </c>
      <c r="D2" s="9" t="n">
        <v>45</v>
      </c>
      <c r="E2" s="7" t="inlineStr">
        <is>
          <t>Lead</t>
        </is>
      </c>
    </row>
    <row r="3">
      <c r="A3" s="10" t="inlineStr">
        <is>
          <t>Sara Lopez</t>
        </is>
      </c>
      <c r="B3" s="10" t="inlineStr">
        <is>
          <t>Sara Lopez</t>
        </is>
      </c>
      <c r="C3" s="10" t="inlineStr">
        <is>
          <t>sara@mail.com</t>
        </is>
      </c>
      <c r="D3" s="12" t="n">
        <v>31.5</v>
      </c>
      <c r="E3" s="10" t="inlineStr">
        <is>
          <t>Active</t>
        </is>
      </c>
    </row>
    <row r="4">
      <c r="A4" s="7" t="inlineStr">
        <is>
          <t>Omar Haddad</t>
        </is>
      </c>
      <c r="B4" s="7" t="inlineStr">
        <is>
          <t>Omar Haddad</t>
        </is>
      </c>
      <c r="C4" s="7" t="inlineStr">
        <is>
          <t>omar@mail.com</t>
        </is>
      </c>
      <c r="D4" s="9" t="n">
        <v>58.5</v>
      </c>
      <c r="E4" s="7" t="inlineStr">
        <is>
          <t>VIP</t>
        </is>
      </c>
    </row>
    <row r="5">
      <c r="A5" s="10" t="inlineStr">
        <is>
          <t>Emma Fischer</t>
        </is>
      </c>
      <c r="B5" s="10" t="inlineStr">
        <is>
          <t>Emma Fischer</t>
        </is>
      </c>
      <c r="C5" s="10" t="inlineStr">
        <is>
          <t>emma@mail.com</t>
        </is>
      </c>
      <c r="D5" s="12" t="n">
        <v>38.25</v>
      </c>
      <c r="E5" s="10" t="inlineStr">
        <is>
          <t>Inactive</t>
        </is>
      </c>
    </row>
    <row r="6">
      <c r="A6" s="7" t="inlineStr">
        <is>
          <t>Liam Carter</t>
        </is>
      </c>
      <c r="B6" s="7" t="inlineStr">
        <is>
          <t>Liam Carter</t>
        </is>
      </c>
      <c r="C6" s="7" t="inlineStr">
        <is>
          <t>liam@mail.com</t>
        </is>
      </c>
      <c r="D6" s="9" t="n">
        <v>51.75</v>
      </c>
      <c r="E6" s="7" t="inlineStr">
        <is>
          <t>Lead</t>
        </is>
      </c>
    </row>
    <row r="7">
      <c r="A7" s="10" t="inlineStr">
        <is>
          <t>Nadia Rahali</t>
        </is>
      </c>
      <c r="B7" s="10" t="inlineStr">
        <is>
          <t>Nadia Rahali</t>
        </is>
      </c>
      <c r="C7" s="10" t="inlineStr">
        <is>
          <t>nadia@mail.com</t>
        </is>
      </c>
      <c r="D7" s="12" t="n">
        <v>27</v>
      </c>
      <c r="E7" s="10" t="inlineStr">
        <is>
          <t>Active</t>
        </is>
      </c>
    </row>
    <row r="8">
      <c r="A8" s="7" t="inlineStr">
        <is>
          <t>Tom Becker</t>
        </is>
      </c>
      <c r="B8" s="7" t="inlineStr">
        <is>
          <t>Tom Becker</t>
        </is>
      </c>
      <c r="C8" s="7" t="inlineStr">
        <is>
          <t>tom@mail.com</t>
        </is>
      </c>
      <c r="D8" s="9" t="n">
        <v>65.25</v>
      </c>
      <c r="E8" s="7" t="inlineStr">
        <is>
          <t>VIP</t>
        </is>
      </c>
    </row>
    <row r="9">
      <c r="A9" s="10" t="inlineStr">
        <is>
          <t>Julia Romero</t>
        </is>
      </c>
      <c r="B9" s="10" t="inlineStr">
        <is>
          <t>Julia Romero</t>
        </is>
      </c>
      <c r="C9" s="10" t="inlineStr">
        <is>
          <t>julia@mail.com</t>
        </is>
      </c>
      <c r="D9" s="12" t="n">
        <v>42.75</v>
      </c>
      <c r="E9" s="10" t="inlineStr">
        <is>
          <t>Inactive</t>
        </is>
      </c>
    </row>
    <row r="10">
      <c r="A10" s="7" t="inlineStr">
        <is>
          <t>Karim Ziani</t>
        </is>
      </c>
      <c r="B10" s="7" t="inlineStr">
        <is>
          <t>Karim Ziani</t>
        </is>
      </c>
      <c r="C10" s="7" t="inlineStr">
        <is>
          <t>karim@mail.com</t>
        </is>
      </c>
      <c r="D10" s="9" t="n">
        <v>56.25</v>
      </c>
      <c r="E10" s="7" t="inlineStr">
        <is>
          <t>Lead</t>
        </is>
      </c>
    </row>
    <row r="11">
      <c r="A11" s="10" t="inlineStr">
        <is>
          <t>Anna Kowalska</t>
        </is>
      </c>
      <c r="B11" s="10" t="inlineStr">
        <is>
          <t>Anna Kowalska</t>
        </is>
      </c>
      <c r="C11" s="10" t="inlineStr">
        <is>
          <t>anna@mail.com</t>
        </is>
      </c>
      <c r="D11" s="12" t="n">
        <v>36</v>
      </c>
      <c r="E11" s="10" t="inlineStr">
        <is>
          <t>Active</t>
        </is>
      </c>
    </row>
    <row r="12">
      <c r="A12" s="7" t="inlineStr">
        <is>
          <t>David Chen</t>
        </is>
      </c>
      <c r="B12" s="7" t="inlineStr">
        <is>
          <t>David Chen</t>
        </is>
      </c>
      <c r="C12" s="7" t="inlineStr">
        <is>
          <t>david@mail.com</t>
        </is>
      </c>
      <c r="D12" s="9" t="n">
        <v>49.5</v>
      </c>
      <c r="E12" s="7" t="inlineStr">
        <is>
          <t>VIP</t>
        </is>
      </c>
    </row>
    <row r="13">
      <c r="A13" s="10" t="inlineStr">
        <is>
          <t>Lea Moreau</t>
        </is>
      </c>
      <c r="B13" s="10" t="inlineStr">
        <is>
          <t>Lea Moreau</t>
        </is>
      </c>
      <c r="C13" s="10" t="inlineStr">
        <is>
          <t>lea@mail.com</t>
        </is>
      </c>
      <c r="D13" s="12" t="n">
        <v>33.75</v>
      </c>
      <c r="E13" s="10" t="inlineStr">
        <is>
          <t>Inactive</t>
        </is>
      </c>
    </row>
  </sheetData>
  <dataValidations count="1">
    <dataValidation sqref="E2:E500" showDropDown="0" showInputMessage="0" showErrorMessage="0" allowBlank="1" type="list">
      <formula1>"Lead,Active,VIP,Inactive"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24" customWidth="1" min="5" max="5"/>
  </cols>
  <sheetData>
    <row r="1">
      <c r="A1" s="6" t="inlineStr">
        <is>
          <t>Date</t>
        </is>
      </c>
      <c r="B1" s="6" t="inlineStr">
        <is>
          <t>Item</t>
        </is>
      </c>
      <c r="C1" s="6" t="inlineStr">
        <is>
          <t>Category</t>
        </is>
      </c>
      <c r="D1" s="6" t="inlineStr">
        <is>
          <t>Amount</t>
        </is>
      </c>
      <c r="E1" s="6" t="inlineStr">
        <is>
          <t>Notes</t>
        </is>
      </c>
    </row>
    <row r="2">
      <c r="A2" s="8" t="n">
        <v>46174</v>
      </c>
      <c r="B2" s="7" t="inlineStr">
        <is>
          <t>Kickoff meeting</t>
        </is>
      </c>
      <c r="C2" s="7" t="inlineStr">
        <is>
          <t>Software</t>
        </is>
      </c>
      <c r="D2" s="9" t="n">
        <v>25</v>
      </c>
      <c r="E2" s="7" t="inlineStr"/>
    </row>
    <row r="3">
      <c r="A3" s="11" t="n">
        <v>46180</v>
      </c>
      <c r="B3" s="10" t="inlineStr">
        <is>
          <t>Send proposal</t>
        </is>
      </c>
      <c r="C3" s="10" t="inlineStr">
        <is>
          <t>Hardware</t>
        </is>
      </c>
      <c r="D3" s="12" t="n">
        <v>17.5</v>
      </c>
      <c r="E3" s="10" t="inlineStr">
        <is>
          <t>Paid</t>
        </is>
      </c>
    </row>
    <row r="4">
      <c r="A4" s="8" t="n">
        <v>46186</v>
      </c>
      <c r="B4" s="7" t="inlineStr">
        <is>
          <t>Review feedback</t>
        </is>
      </c>
      <c r="C4" s="7" t="inlineStr">
        <is>
          <t>Marketing</t>
        </is>
      </c>
      <c r="D4" s="9" t="n">
        <v>32.5</v>
      </c>
      <c r="E4" s="7" t="inlineStr">
        <is>
          <t>Urgent</t>
        </is>
      </c>
    </row>
    <row r="5">
      <c r="A5" s="11" t="n">
        <v>46189</v>
      </c>
      <c r="B5" s="10" t="inlineStr">
        <is>
          <t>Update website copy</t>
        </is>
      </c>
      <c r="C5" s="10" t="inlineStr">
        <is>
          <t>Office</t>
        </is>
      </c>
      <c r="D5" s="12" t="n">
        <v>21.25</v>
      </c>
      <c r="E5" s="10" t="inlineStr">
        <is>
          <t>Follow up Friday</t>
        </is>
      </c>
    </row>
    <row r="6">
      <c r="A6" s="8" t="n">
        <v>46195</v>
      </c>
      <c r="B6" s="7" t="inlineStr">
        <is>
          <t>Prepare invoice</t>
        </is>
      </c>
      <c r="C6" s="7" t="inlineStr">
        <is>
          <t>Travel</t>
        </is>
      </c>
      <c r="D6" s="9" t="n">
        <v>28.75</v>
      </c>
      <c r="E6" s="7" t="inlineStr"/>
    </row>
    <row r="7">
      <c r="A7" s="11" t="n">
        <v>46201</v>
      </c>
      <c r="B7" s="10" t="inlineStr">
        <is>
          <t>Client call</t>
        </is>
      </c>
      <c r="C7" s="10" t="inlineStr">
        <is>
          <t>Other</t>
        </is>
      </c>
      <c r="D7" s="12" t="n">
        <v>15</v>
      </c>
      <c r="E7" s="10" t="inlineStr">
        <is>
          <t>Monthly</t>
        </is>
      </c>
    </row>
    <row r="8">
      <c r="A8" s="8" t="n">
        <v>46176</v>
      </c>
      <c r="B8" s="7" t="inlineStr">
        <is>
          <t>Design first draft</t>
        </is>
      </c>
      <c r="C8" s="7" t="inlineStr">
        <is>
          <t>Software</t>
        </is>
      </c>
      <c r="D8" s="9" t="n">
        <v>36.25</v>
      </c>
      <c r="E8" s="7" t="inlineStr">
        <is>
          <t>Confirmed</t>
        </is>
      </c>
    </row>
    <row r="9">
      <c r="A9" s="11" t="n">
        <v>46182</v>
      </c>
      <c r="B9" s="10" t="inlineStr">
        <is>
          <t>Fix reported bug</t>
        </is>
      </c>
      <c r="C9" s="10" t="inlineStr">
        <is>
          <t>Hardware</t>
        </is>
      </c>
      <c r="D9" s="12" t="n">
        <v>23.75</v>
      </c>
      <c r="E9" s="10" t="inlineStr"/>
    </row>
    <row r="10">
      <c r="A10" s="8" t="n">
        <v>46188</v>
      </c>
      <c r="B10" s="7" t="inlineStr">
        <is>
          <t>Weekly report</t>
        </is>
      </c>
      <c r="C10" s="7" t="inlineStr">
        <is>
          <t>Marketing</t>
        </is>
      </c>
      <c r="D10" s="9" t="n">
        <v>31.25</v>
      </c>
      <c r="E10" s="7" t="inlineStr">
        <is>
          <t>Waiting reply</t>
        </is>
      </c>
    </row>
    <row r="11">
      <c r="A11" s="11" t="n">
        <v>46191</v>
      </c>
      <c r="B11" s="10" t="inlineStr">
        <is>
          <t>Plan next sprint</t>
        </is>
      </c>
      <c r="C11" s="10" t="inlineStr">
        <is>
          <t>Office</t>
        </is>
      </c>
      <c r="D11" s="12" t="n">
        <v>20</v>
      </c>
      <c r="E11" s="10" t="inlineStr">
        <is>
          <t>Done early</t>
        </is>
      </c>
    </row>
    <row r="12">
      <c r="A12" s="8" t="n">
        <v>46197</v>
      </c>
      <c r="B12" s="7" t="inlineStr">
        <is>
          <t>Publish blog post</t>
        </is>
      </c>
      <c r="C12" s="7" t="inlineStr">
        <is>
          <t>Travel</t>
        </is>
      </c>
      <c r="D12" s="9" t="n">
        <v>27.5</v>
      </c>
      <c r="E12" s="7" t="inlineStr"/>
    </row>
    <row r="13">
      <c r="A13" s="11" t="n">
        <v>46175</v>
      </c>
      <c r="B13" s="10" t="inlineStr">
        <is>
          <t>Team sync</t>
        </is>
      </c>
      <c r="C13" s="10" t="inlineStr">
        <is>
          <t>Other</t>
        </is>
      </c>
      <c r="D13" s="12" t="n">
        <v>18.75</v>
      </c>
      <c r="E13" s="10" t="inlineStr">
        <is>
          <t>Recheck</t>
        </is>
      </c>
    </row>
  </sheetData>
  <dataValidations count="1">
    <dataValidation sqref="C2:C500" showDropDown="0" showInputMessage="0" showErrorMessage="0" allowBlank="1" type="list">
      <formula1>"Software,Hardware,Marketing,Office,Travel,Other"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</cols>
  <sheetData>
    <row r="2">
      <c r="B2" s="24" t="inlineStr">
        <is>
          <t>📈  INCOME REPORT</t>
        </is>
      </c>
    </row>
    <row r="4">
      <c r="B4" s="3" t="inlineStr">
        <is>
          <t>Business Summary</t>
        </is>
      </c>
    </row>
    <row r="5">
      <c r="B5" s="10" t="inlineStr">
        <is>
          <t>Total Revenue</t>
        </is>
      </c>
      <c r="C5" s="25">
        <f>SUM(Invoices!F:F)</f>
        <v/>
      </c>
    </row>
    <row r="6">
      <c r="B6" s="7" t="inlineStr">
        <is>
          <t>Total Expenses</t>
        </is>
      </c>
      <c r="C6" s="26">
        <f>SUM(Expenses!D:D)</f>
        <v/>
      </c>
    </row>
    <row r="7">
      <c r="B7" s="10" t="inlineStr">
        <is>
          <t>Net Profit</t>
        </is>
      </c>
      <c r="C7" s="25">
        <f>SUM(Invoices!F:F)-SUM(Expenses!D:D)</f>
        <v/>
      </c>
    </row>
    <row r="8">
      <c r="B8" s="7" t="inlineStr">
        <is>
          <t>Active Clients</t>
        </is>
      </c>
      <c r="C8" s="27">
        <f>COUNTIF(Clients!E:E,"Active")+COUNTIF(Clients!E:E,"VIP")</f>
        <v/>
      </c>
    </row>
  </sheetData>
  <mergeCells count="2">
    <mergeCell ref="B4:C4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2026-07-16T23:33:41Z</dcterms:created>
  <dcterms:modified xsi:type="dcterms:W3CDTF">2026-07-16T23:33:41Z</dcterms:modified>
</cp:coreProperties>
</file>