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esigns" sheetId="2" state="visible" r:id="rId2"/>
    <sheet name="Dashboard" sheetId="3" state="visible" r:id="rId3"/>
    <sheet name="Sales" sheetId="4" state="visible" r:id="rId4"/>
    <sheet name="Platforms" sheetId="5" state="visible" r:id="rId5"/>
    <sheet name="Annual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0891B2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64E63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FFF7F0"/>
      </patternFill>
    </fill>
    <fill>
      <patternFill patternType="solid">
        <fgColor rgb="000891B2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👕  PRINT ON DEMAND BUSINESS TRACKER</t>
        </is>
      </c>
    </row>
    <row r="3"/>
    <row r="4">
      <c r="B4" s="2" t="inlineStr">
        <is>
          <t>Merch, Redbubble &amp; Printify Sales Google Sheets</t>
        </is>
      </c>
    </row>
    <row r="6">
      <c r="B6" s="3" t="inlineStr">
        <is>
          <t>STEP 1 — Fill in “Designs”</t>
        </is>
      </c>
    </row>
    <row r="7" ht="28" customHeight="1">
      <c r="B7" s="4" t="inlineStr">
        <is>
          <t>All designs: niche, status, sales count, and revenue.</t>
        </is>
      </c>
    </row>
    <row r="9">
      <c r="B9" s="3" t="inlineStr">
        <is>
          <t>STEP 2 — Fill in “Sales”</t>
        </is>
      </c>
    </row>
    <row r="10" ht="28" customHeight="1">
      <c r="B10" s="4" t="inlineStr">
        <is>
          <t>Monthly sales data per platform.</t>
        </is>
      </c>
    </row>
    <row r="12">
      <c r="B12" s="3" t="inlineStr">
        <is>
          <t>STEP 3 — Fill in “Platforms”</t>
        </is>
      </c>
    </row>
    <row r="13" ht="28" customHeight="1">
      <c r="B13" s="4" t="inlineStr">
        <is>
          <t>Platform comparison: tier, approval status, and earnings.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28" customWidth="1" min="4" max="4"/>
    <col width="16" customWidth="1" min="5" max="5"/>
    <col width="14" customWidth="1" min="6" max="6"/>
  </cols>
  <sheetData>
    <row r="1">
      <c r="A1" s="6" t="inlineStr">
        <is>
          <t>Design Name</t>
        </is>
      </c>
      <c r="B1" s="6" t="inlineStr">
        <is>
          <t>Niche</t>
        </is>
      </c>
      <c r="C1" s="6" t="inlineStr">
        <is>
          <t>Created Date</t>
        </is>
      </c>
      <c r="D1" s="6" t="inlineStr">
        <is>
          <t>Platforms</t>
        </is>
      </c>
      <c r="E1" s="6" t="inlineStr">
        <is>
          <t>Status</t>
        </is>
      </c>
      <c r="F1" s="6" t="inlineStr">
        <is>
          <t>Total Sales</t>
        </is>
      </c>
    </row>
    <row r="2">
      <c r="A2" s="7" t="inlineStr">
        <is>
          <t>Alex Martin</t>
        </is>
      </c>
      <c r="B2" s="7" t="inlineStr">
        <is>
          <t>Outdoor Activities</t>
        </is>
      </c>
      <c r="C2" s="8" t="n">
        <v>46174</v>
      </c>
      <c r="D2" s="7" t="inlineStr">
        <is>
          <t>Merch, Redbubble, TeePublic</t>
        </is>
      </c>
      <c r="E2" s="7" t="inlineStr">
        <is>
          <t>Active</t>
        </is>
      </c>
      <c r="F2" s="9" t="n">
        <v>34</v>
      </c>
    </row>
    <row r="3">
      <c r="A3" s="10" t="inlineStr">
        <is>
          <t>Sara Lopez</t>
        </is>
      </c>
      <c r="B3" s="10" t="inlineStr">
        <is>
          <t>Outdoor Activities</t>
        </is>
      </c>
      <c r="C3" s="11" t="n">
        <v>46180</v>
      </c>
      <c r="D3" s="10" t="inlineStr">
        <is>
          <t>Merch, Redbubble, TeePublic</t>
        </is>
      </c>
      <c r="E3" s="10" t="inlineStr">
        <is>
          <t>Rejected</t>
        </is>
      </c>
      <c r="F3" s="12" t="n">
        <v>23.8</v>
      </c>
    </row>
    <row r="4">
      <c r="A4" s="7" t="inlineStr">
        <is>
          <t>Omar Haddad</t>
        </is>
      </c>
      <c r="B4" s="7" t="inlineStr"/>
      <c r="C4" s="8" t="n">
        <v>46186</v>
      </c>
      <c r="D4" s="7" t="inlineStr"/>
      <c r="E4" s="7" t="inlineStr">
        <is>
          <t>Pending</t>
        </is>
      </c>
      <c r="F4" s="9" t="n">
        <v>44.2</v>
      </c>
    </row>
    <row r="5">
      <c r="A5" s="10" t="inlineStr">
        <is>
          <t>Emma Fischer</t>
        </is>
      </c>
      <c r="B5" s="10" t="inlineStr">
        <is>
          <t>Outdoor Activities</t>
        </is>
      </c>
      <c r="C5" s="11" t="n">
        <v>46189</v>
      </c>
      <c r="D5" s="10" t="inlineStr">
        <is>
          <t>Merch, Redbubble, TeePublic</t>
        </is>
      </c>
      <c r="E5" s="10" t="inlineStr">
        <is>
          <t>Seasonal</t>
        </is>
      </c>
      <c r="F5" s="12" t="n">
        <v>28.9</v>
      </c>
    </row>
    <row r="6">
      <c r="A6" s="7" t="inlineStr">
        <is>
          <t>Liam Carter</t>
        </is>
      </c>
      <c r="B6" s="7" t="inlineStr">
        <is>
          <t>Outdoor Activities</t>
        </is>
      </c>
      <c r="C6" s="8" t="n">
        <v>46195</v>
      </c>
      <c r="D6" s="7" t="inlineStr">
        <is>
          <t>Merch, Redbubble, TeePublic</t>
        </is>
      </c>
      <c r="E6" s="7" t="inlineStr">
        <is>
          <t>Archived</t>
        </is>
      </c>
      <c r="F6" s="9" t="n">
        <v>39.1</v>
      </c>
    </row>
    <row r="7">
      <c r="A7" s="10" t="inlineStr">
        <is>
          <t>Nadia Rahali</t>
        </is>
      </c>
      <c r="B7" s="10" t="inlineStr"/>
      <c r="C7" s="11" t="n">
        <v>46201</v>
      </c>
      <c r="D7" s="10" t="inlineStr"/>
      <c r="E7" s="10" t="inlineStr">
        <is>
          <t>Active</t>
        </is>
      </c>
      <c r="F7" s="12" t="n">
        <v>20.4</v>
      </c>
    </row>
    <row r="8">
      <c r="A8" s="7" t="inlineStr">
        <is>
          <t>Tom Becker</t>
        </is>
      </c>
      <c r="B8" s="7" t="inlineStr">
        <is>
          <t>Outdoor Activities</t>
        </is>
      </c>
      <c r="C8" s="8" t="n">
        <v>46176</v>
      </c>
      <c r="D8" s="7" t="inlineStr">
        <is>
          <t>Merch, Redbubble, TeePublic</t>
        </is>
      </c>
      <c r="E8" s="7" t="inlineStr">
        <is>
          <t>Rejected</t>
        </is>
      </c>
      <c r="F8" s="9" t="n">
        <v>49.3</v>
      </c>
    </row>
    <row r="9">
      <c r="A9" s="10" t="inlineStr">
        <is>
          <t>Julia Romero</t>
        </is>
      </c>
      <c r="B9" s="10" t="inlineStr">
        <is>
          <t>Outdoor Activities</t>
        </is>
      </c>
      <c r="C9" s="11" t="n">
        <v>46182</v>
      </c>
      <c r="D9" s="10" t="inlineStr">
        <is>
          <t>Merch, Redbubble, TeePublic</t>
        </is>
      </c>
      <c r="E9" s="10" t="inlineStr">
        <is>
          <t>Pending</t>
        </is>
      </c>
      <c r="F9" s="12" t="n">
        <v>32.3</v>
      </c>
    </row>
    <row r="10">
      <c r="A10" s="7" t="inlineStr">
        <is>
          <t>Karim Ziani</t>
        </is>
      </c>
      <c r="B10" s="7" t="inlineStr"/>
      <c r="C10" s="8" t="n">
        <v>46188</v>
      </c>
      <c r="D10" s="7" t="inlineStr"/>
      <c r="E10" s="7" t="inlineStr">
        <is>
          <t>Seasonal</t>
        </is>
      </c>
      <c r="F10" s="9" t="n">
        <v>42.5</v>
      </c>
    </row>
    <row r="11">
      <c r="A11" s="10" t="inlineStr">
        <is>
          <t>Anna Kowalska</t>
        </is>
      </c>
      <c r="B11" s="10" t="inlineStr">
        <is>
          <t>Outdoor Activities</t>
        </is>
      </c>
      <c r="C11" s="11" t="n">
        <v>46191</v>
      </c>
      <c r="D11" s="10" t="inlineStr">
        <is>
          <t>Merch, Redbubble, TeePublic</t>
        </is>
      </c>
      <c r="E11" s="10" t="inlineStr">
        <is>
          <t>Archived</t>
        </is>
      </c>
      <c r="F11" s="12" t="n">
        <v>27.2</v>
      </c>
    </row>
    <row r="12">
      <c r="A12" s="7" t="inlineStr">
        <is>
          <t>David Chen</t>
        </is>
      </c>
      <c r="B12" s="7" t="inlineStr">
        <is>
          <t>Outdoor Activities</t>
        </is>
      </c>
      <c r="C12" s="8" t="n">
        <v>46197</v>
      </c>
      <c r="D12" s="7" t="inlineStr">
        <is>
          <t>Merch, Redbubble, TeePublic</t>
        </is>
      </c>
      <c r="E12" s="7" t="inlineStr">
        <is>
          <t>Active</t>
        </is>
      </c>
      <c r="F12" s="9" t="n">
        <v>37.4</v>
      </c>
    </row>
    <row r="13">
      <c r="A13" s="10" t="inlineStr">
        <is>
          <t>Lea Moreau</t>
        </is>
      </c>
      <c r="B13" s="10" t="inlineStr"/>
      <c r="C13" s="11" t="n">
        <v>46175</v>
      </c>
      <c r="D13" s="10" t="inlineStr"/>
      <c r="E13" s="10" t="inlineStr">
        <is>
          <t>Rejected</t>
        </is>
      </c>
      <c r="F13" s="12" t="n">
        <v>25.5</v>
      </c>
    </row>
  </sheetData>
  <dataValidations count="1">
    <dataValidation sqref="E2:E500" showDropDown="0" showInputMessage="0" showErrorMessage="0" allowBlank="1" type="list">
      <formula1>"Active,Rejected,Pending,Seasonal,Archived"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PRINT ON DEMAND BUSINESS TRACKER — DASHBOARD</t>
        </is>
      </c>
    </row>
    <row r="4">
      <c r="B4" s="14" t="inlineStr">
        <is>
          <t>TOTAL SALES</t>
        </is>
      </c>
      <c r="D4" s="15" t="inlineStr">
        <is>
          <t>TOTAL ROYALTIES $</t>
        </is>
      </c>
      <c r="F4" s="16" t="inlineStr">
        <is>
          <t>ACTIVE DESIGNS</t>
        </is>
      </c>
      <c r="H4" s="17" t="inlineStr">
        <is>
          <t>PLATFORMS</t>
        </is>
      </c>
    </row>
    <row r="5" ht="26" customHeight="1">
      <c r="B5" s="18">
        <f>SUM(Sales!D:D)</f>
        <v/>
      </c>
      <c r="D5" s="19">
        <f>SUM(Sales!F:F)</f>
        <v/>
      </c>
      <c r="F5" s="20">
        <f>COUNTIF(Designs!E:E,"Active")</f>
        <v/>
      </c>
      <c r="H5" s="21">
        <f>COUNTA(Platforms!A:A)-1</f>
        <v/>
      </c>
    </row>
    <row r="8">
      <c r="B8" s="22" t="inlineStr">
        <is>
          <t>WHAT'S INSIDE</t>
        </is>
      </c>
    </row>
    <row r="9">
      <c r="B9" s="23" t="inlineStr">
        <is>
          <t>🎨  Designs — All designs: niche, status, sales count, and revenue.</t>
        </is>
      </c>
    </row>
    <row r="10">
      <c r="B10" s="23" t="inlineStr">
        <is>
          <t>💰  Sales — Monthly sales data per platform.</t>
        </is>
      </c>
    </row>
    <row r="11">
      <c r="B11" s="23" t="inlineStr">
        <is>
          <t>📱  Platforms — Platform comparison: tier, approval status, and earnings.</t>
        </is>
      </c>
    </row>
    <row r="12">
      <c r="B12" s="23" t="inlineStr">
        <is>
          <t>📊  Annual Report — Annual POD income by platform for tax reporting.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6" t="inlineStr">
        <is>
          <t>Month</t>
        </is>
      </c>
      <c r="B1" s="6" t="inlineStr">
        <is>
          <t>Platform</t>
        </is>
      </c>
      <c r="C1" s="6" t="inlineStr">
        <is>
          <t>Units Sold</t>
        </is>
      </c>
      <c r="D1" s="6" t="inlineStr">
        <is>
          <t>Revenue $</t>
        </is>
      </c>
      <c r="E1" s="6" t="inlineStr">
        <is>
          <t>Platform Fee $</t>
        </is>
      </c>
      <c r="F1" s="6" t="inlineStr">
        <is>
          <t>Royalties $</t>
        </is>
      </c>
    </row>
    <row r="2">
      <c r="A2" s="7" t="inlineStr">
        <is>
          <t>January 2024</t>
        </is>
      </c>
      <c r="B2" s="7" t="inlineStr">
        <is>
          <t>Merch by Amazon</t>
        </is>
      </c>
      <c r="C2" s="7" t="n">
        <v>45</v>
      </c>
      <c r="D2" s="9" t="n">
        <v>450</v>
      </c>
      <c r="E2" s="9" t="n">
        <v>135</v>
      </c>
      <c r="F2" s="7">
        <f>D2-E2</f>
        <v/>
      </c>
    </row>
    <row r="3">
      <c r="A3" s="10" t="inlineStr">
        <is>
          <t>January 2025</t>
        </is>
      </c>
      <c r="B3" s="10" t="inlineStr">
        <is>
          <t>Redbubble</t>
        </is>
      </c>
      <c r="C3" s="10" t="n">
        <v>31.5</v>
      </c>
      <c r="D3" s="12" t="n">
        <v>315</v>
      </c>
      <c r="E3" s="12" t="n">
        <v>94</v>
      </c>
      <c r="F3" s="10">
        <f>D3-E3</f>
        <v/>
      </c>
    </row>
    <row r="4">
      <c r="A4" s="7" t="inlineStr">
        <is>
          <t>January 2026</t>
        </is>
      </c>
      <c r="B4" s="7" t="inlineStr">
        <is>
          <t>Printify</t>
        </is>
      </c>
      <c r="C4" s="7" t="n">
        <v>58.5</v>
      </c>
      <c r="D4" s="9" t="n">
        <v>585</v>
      </c>
      <c r="E4" s="9" t="n">
        <v>176</v>
      </c>
      <c r="F4" s="7">
        <f>D4-E4</f>
        <v/>
      </c>
    </row>
    <row r="5">
      <c r="A5" s="10" t="inlineStr">
        <is>
          <t>January 2027</t>
        </is>
      </c>
      <c r="B5" s="10" t="inlineStr">
        <is>
          <t>TeePublic</t>
        </is>
      </c>
      <c r="C5" s="10" t="n">
        <v>38.25</v>
      </c>
      <c r="D5" s="12" t="n">
        <v>382</v>
      </c>
      <c r="E5" s="12" t="n">
        <v>115</v>
      </c>
      <c r="F5" s="10">
        <f>D5-E5</f>
        <v/>
      </c>
    </row>
    <row r="6">
      <c r="A6" s="7" t="inlineStr">
        <is>
          <t>January 2028</t>
        </is>
      </c>
      <c r="B6" s="7" t="inlineStr">
        <is>
          <t>Zazzle</t>
        </is>
      </c>
      <c r="C6" s="7" t="n">
        <v>51.75</v>
      </c>
      <c r="D6" s="9" t="n">
        <v>518</v>
      </c>
      <c r="E6" s="9" t="n">
        <v>155</v>
      </c>
      <c r="F6" s="7">
        <f>D6-E6</f>
        <v/>
      </c>
    </row>
    <row r="7">
      <c r="A7" s="10" t="inlineStr">
        <is>
          <t>January 2029</t>
        </is>
      </c>
      <c r="B7" s="10" t="inlineStr">
        <is>
          <t>Society6</t>
        </is>
      </c>
      <c r="C7" s="10" t="n">
        <v>27</v>
      </c>
      <c r="D7" s="12" t="n">
        <v>270</v>
      </c>
      <c r="E7" s="12" t="n">
        <v>81</v>
      </c>
      <c r="F7" s="10">
        <f>D7-E7</f>
        <v/>
      </c>
    </row>
    <row r="8">
      <c r="A8" s="7" t="inlineStr">
        <is>
          <t>January 2030</t>
        </is>
      </c>
      <c r="B8" s="7" t="inlineStr">
        <is>
          <t>Other</t>
        </is>
      </c>
      <c r="C8" s="7" t="n">
        <v>65.25</v>
      </c>
      <c r="D8" s="9" t="n">
        <v>652</v>
      </c>
      <c r="E8" s="9" t="n">
        <v>196</v>
      </c>
      <c r="F8" s="7">
        <f>D8-E8</f>
        <v/>
      </c>
    </row>
    <row r="9">
      <c r="A9" s="10" t="inlineStr">
        <is>
          <t>January 2031</t>
        </is>
      </c>
      <c r="B9" s="10" t="inlineStr">
        <is>
          <t>Merch by Amazon</t>
        </is>
      </c>
      <c r="C9" s="10" t="n">
        <v>42.75</v>
      </c>
      <c r="D9" s="12" t="n">
        <v>428</v>
      </c>
      <c r="E9" s="12" t="n">
        <v>128</v>
      </c>
      <c r="F9" s="10">
        <f>D9-E9</f>
        <v/>
      </c>
    </row>
    <row r="10">
      <c r="A10" s="7" t="inlineStr">
        <is>
          <t>January 2032</t>
        </is>
      </c>
      <c r="B10" s="7" t="inlineStr">
        <is>
          <t>Redbubble</t>
        </is>
      </c>
      <c r="C10" s="7" t="n">
        <v>56.25</v>
      </c>
      <c r="D10" s="9" t="n">
        <v>562</v>
      </c>
      <c r="E10" s="9" t="n">
        <v>169</v>
      </c>
      <c r="F10" s="7">
        <f>D10-E10</f>
        <v/>
      </c>
    </row>
    <row r="11">
      <c r="A11" s="10" t="inlineStr">
        <is>
          <t>January 2033</t>
        </is>
      </c>
      <c r="B11" s="10" t="inlineStr">
        <is>
          <t>Printify</t>
        </is>
      </c>
      <c r="C11" s="10" t="n">
        <v>36</v>
      </c>
      <c r="D11" s="12" t="n">
        <v>360</v>
      </c>
      <c r="E11" s="12" t="n">
        <v>108</v>
      </c>
      <c r="F11" s="10">
        <f>D11-E11</f>
        <v/>
      </c>
    </row>
    <row r="12">
      <c r="A12" s="7" t="inlineStr">
        <is>
          <t>January 2034</t>
        </is>
      </c>
      <c r="B12" s="7" t="inlineStr">
        <is>
          <t>TeePublic</t>
        </is>
      </c>
      <c r="C12" s="7" t="n">
        <v>49.5</v>
      </c>
      <c r="D12" s="9" t="n">
        <v>495</v>
      </c>
      <c r="E12" s="9" t="n">
        <v>148</v>
      </c>
      <c r="F12" s="7">
        <f>D12-E12</f>
        <v/>
      </c>
    </row>
    <row r="13">
      <c r="A13" s="10" t="inlineStr">
        <is>
          <t>January 2035</t>
        </is>
      </c>
      <c r="B13" s="10" t="inlineStr">
        <is>
          <t>Zazzle</t>
        </is>
      </c>
      <c r="C13" s="10" t="n">
        <v>33.75</v>
      </c>
      <c r="D13" s="12" t="n">
        <v>338</v>
      </c>
      <c r="E13" s="12" t="n">
        <v>101</v>
      </c>
      <c r="F13" s="10">
        <f>D13-E13</f>
        <v/>
      </c>
    </row>
  </sheetData>
  <dataValidations count="1">
    <dataValidation sqref="B2:B500" showDropDown="0" showInputMessage="0" showErrorMessage="0" allowBlank="1" type="list">
      <formula1>"Merch by Amazon,Redbubble,Printify,TeePublic,Zazzle,Society6,Other"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6" t="inlineStr">
        <is>
          <t>Platform</t>
        </is>
      </c>
      <c r="B1" s="6" t="inlineStr">
        <is>
          <t>Tier</t>
        </is>
      </c>
      <c r="C1" s="6" t="inlineStr">
        <is>
          <t>Designs Live</t>
        </is>
      </c>
      <c r="D1" s="6" t="inlineStr">
        <is>
          <t>Monthly Rev $</t>
        </is>
      </c>
      <c r="E1" s="6" t="inlineStr">
        <is>
          <t>Status</t>
        </is>
      </c>
    </row>
    <row r="2">
      <c r="A2" s="7" t="inlineStr">
        <is>
          <t>Merch by Amazon</t>
        </is>
      </c>
      <c r="B2" s="7" t="inlineStr">
        <is>
          <t>Tier 10</t>
        </is>
      </c>
      <c r="C2" s="7" t="n">
        <v>10</v>
      </c>
      <c r="D2" s="7" t="n">
        <v>120</v>
      </c>
      <c r="E2" s="7" t="inlineStr">
        <is>
          <t>Active</t>
        </is>
      </c>
    </row>
    <row r="3">
      <c r="A3" s="10" t="inlineStr">
        <is>
          <t>Merch by Amazon</t>
        </is>
      </c>
      <c r="B3" s="10" t="inlineStr">
        <is>
          <t>Tier 11</t>
        </is>
      </c>
      <c r="C3" s="10" t="n">
        <v>7</v>
      </c>
      <c r="D3" s="10" t="n">
        <v>84</v>
      </c>
      <c r="E3" s="10" t="inlineStr">
        <is>
          <t>Applied</t>
        </is>
      </c>
    </row>
    <row r="4">
      <c r="A4" s="7" t="inlineStr"/>
      <c r="B4" s="7" t="inlineStr">
        <is>
          <t>Tier 12</t>
        </is>
      </c>
      <c r="C4" s="7" t="n">
        <v>13</v>
      </c>
      <c r="D4" s="7" t="n">
        <v>156</v>
      </c>
      <c r="E4" s="7" t="inlineStr">
        <is>
          <t>Pending</t>
        </is>
      </c>
    </row>
    <row r="5">
      <c r="A5" s="10" t="inlineStr">
        <is>
          <t>Merch by Amazon</t>
        </is>
      </c>
      <c r="B5" s="10" t="inlineStr">
        <is>
          <t>Tier 13</t>
        </is>
      </c>
      <c r="C5" s="10" t="n">
        <v>8.5</v>
      </c>
      <c r="D5" s="10" t="n">
        <v>102</v>
      </c>
      <c r="E5" s="10" t="inlineStr">
        <is>
          <t>Rejected</t>
        </is>
      </c>
    </row>
    <row r="6">
      <c r="A6" s="7" t="inlineStr">
        <is>
          <t>Merch by Amazon</t>
        </is>
      </c>
      <c r="B6" s="7" t="inlineStr">
        <is>
          <t>Tier 14</t>
        </is>
      </c>
      <c r="C6" s="7" t="n">
        <v>11.5</v>
      </c>
      <c r="D6" s="7" t="n">
        <v>138</v>
      </c>
      <c r="E6" s="7" t="inlineStr">
        <is>
          <t>Paused</t>
        </is>
      </c>
    </row>
    <row r="7">
      <c r="A7" s="10" t="inlineStr"/>
      <c r="B7" s="10" t="inlineStr">
        <is>
          <t>Tier 15</t>
        </is>
      </c>
      <c r="C7" s="10" t="n">
        <v>6</v>
      </c>
      <c r="D7" s="10" t="n">
        <v>72</v>
      </c>
      <c r="E7" s="10" t="inlineStr">
        <is>
          <t>Active</t>
        </is>
      </c>
    </row>
    <row r="8">
      <c r="A8" s="7" t="inlineStr">
        <is>
          <t>Merch by Amazon</t>
        </is>
      </c>
      <c r="B8" s="7" t="inlineStr">
        <is>
          <t>Tier 16</t>
        </is>
      </c>
      <c r="C8" s="7" t="n">
        <v>14.5</v>
      </c>
      <c r="D8" s="7" t="n">
        <v>174</v>
      </c>
      <c r="E8" s="7" t="inlineStr">
        <is>
          <t>Applied</t>
        </is>
      </c>
    </row>
    <row r="9">
      <c r="A9" s="10" t="inlineStr">
        <is>
          <t>Merch by Amazon</t>
        </is>
      </c>
      <c r="B9" s="10" t="inlineStr">
        <is>
          <t>Tier 17</t>
        </is>
      </c>
      <c r="C9" s="10" t="n">
        <v>9.5</v>
      </c>
      <c r="D9" s="10" t="n">
        <v>114</v>
      </c>
      <c r="E9" s="10" t="inlineStr">
        <is>
          <t>Pending</t>
        </is>
      </c>
    </row>
    <row r="10">
      <c r="A10" s="7" t="inlineStr"/>
      <c r="B10" s="7" t="inlineStr">
        <is>
          <t>Tier 18</t>
        </is>
      </c>
      <c r="C10" s="7" t="n">
        <v>12.5</v>
      </c>
      <c r="D10" s="7" t="n">
        <v>150</v>
      </c>
      <c r="E10" s="7" t="inlineStr">
        <is>
          <t>Rejected</t>
        </is>
      </c>
    </row>
    <row r="11">
      <c r="A11" s="10" t="inlineStr">
        <is>
          <t>Merch by Amazon</t>
        </is>
      </c>
      <c r="B11" s="10" t="inlineStr">
        <is>
          <t>Tier 19</t>
        </is>
      </c>
      <c r="C11" s="10" t="n">
        <v>8</v>
      </c>
      <c r="D11" s="10" t="n">
        <v>96</v>
      </c>
      <c r="E11" s="10" t="inlineStr">
        <is>
          <t>Paused</t>
        </is>
      </c>
    </row>
    <row r="12">
      <c r="A12" s="7" t="inlineStr">
        <is>
          <t>Merch by Amazon</t>
        </is>
      </c>
      <c r="B12" s="7" t="inlineStr">
        <is>
          <t>Tier 20</t>
        </is>
      </c>
      <c r="C12" s="7" t="n">
        <v>11</v>
      </c>
      <c r="D12" s="7" t="n">
        <v>132</v>
      </c>
      <c r="E12" s="7" t="inlineStr">
        <is>
          <t>Active</t>
        </is>
      </c>
    </row>
    <row r="13">
      <c r="A13" s="10" t="inlineStr"/>
      <c r="B13" s="10" t="inlineStr">
        <is>
          <t>Tier 21</t>
        </is>
      </c>
      <c r="C13" s="10" t="n">
        <v>7.5</v>
      </c>
      <c r="D13" s="10" t="n">
        <v>90</v>
      </c>
      <c r="E13" s="10" t="inlineStr">
        <is>
          <t>Applied</t>
        </is>
      </c>
    </row>
  </sheetData>
  <dataValidations count="1">
    <dataValidation sqref="E2:E500" showDropDown="0" showInputMessage="0" showErrorMessage="0" allowBlank="1" type="list">
      <formula1>"Active,Applied,Pending,Rejected,Paused"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ANNUAL REPORT</t>
        </is>
      </c>
    </row>
    <row r="4">
      <c r="B4" s="3" t="inlineStr">
        <is>
          <t>POD Business Summary</t>
        </is>
      </c>
    </row>
    <row r="5">
      <c r="B5" s="10" t="inlineStr">
        <is>
          <t>Total Sales</t>
        </is>
      </c>
      <c r="C5" s="25">
        <f>SUM(Sales!C:C)</f>
        <v/>
      </c>
    </row>
    <row r="6">
      <c r="B6" s="7" t="inlineStr">
        <is>
          <t>Gross Revenue</t>
        </is>
      </c>
      <c r="C6" s="26">
        <f>SUM(Sales!D:D)</f>
        <v/>
      </c>
    </row>
    <row r="7">
      <c r="B7" s="10" t="inlineStr">
        <is>
          <t>Net Royalties</t>
        </is>
      </c>
      <c r="C7" s="27">
        <f>SUM(Sales!F:F)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