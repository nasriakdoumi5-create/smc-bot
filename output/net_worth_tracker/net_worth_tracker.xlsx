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Assets" sheetId="2" state="visible" r:id="rId2"/>
    <sheet name="Dashboard" sheetId="3" state="visible" r:id="rId3"/>
    <sheet name="Liabilities" sheetId="4" state="visible" r:id="rId4"/>
    <sheet name="Monthly Trend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€&quot;#,##0.00"/>
    <numFmt numFmtId="165" formatCode="yyyy-mm-dd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0F766E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42F2E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42F2E"/>
      </patternFill>
    </fill>
    <fill>
      <patternFill patternType="solid">
        <fgColor rgb="00FFF7F0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164" fontId="5" fillId="0" borderId="1" pivotButton="0" quotePrefix="0" xfId="0"/>
    <xf numFmtId="164" fontId="5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💎  NET WORTH TRACKER</t>
        </is>
      </c>
    </row>
    <row r="3"/>
    <row r="4">
      <c r="B4" s="2" t="inlineStr">
        <is>
          <t>Assets, Liabilities &amp; Wealth Builder Google Sheets</t>
        </is>
      </c>
    </row>
    <row r="6">
      <c r="B6" s="3" t="inlineStr">
        <is>
          <t>STEP 1 — Fill in “Assets”</t>
        </is>
      </c>
    </row>
    <row r="7" ht="28" customHeight="1">
      <c r="B7" s="4" t="inlineStr">
        <is>
          <t>All assets: cash, investments, real estate, vehicles.</t>
        </is>
      </c>
    </row>
    <row r="9">
      <c r="B9" s="3" t="inlineStr">
        <is>
          <t>STEP 2 — Fill in “Liabilities”</t>
        </is>
      </c>
    </row>
    <row r="10" ht="28" customHeight="1">
      <c r="B10" s="4" t="inlineStr">
        <is>
          <t>All debts: mortgage, car loans, credit cards, student loans.</t>
        </is>
      </c>
    </row>
    <row r="12">
      <c r="B12" s="3" t="inlineStr">
        <is>
          <t>STEP 3 — Fill in “Monthly Trend”</t>
        </is>
      </c>
    </row>
    <row r="13" ht="28" customHeight="1">
      <c r="B13" s="4" t="inlineStr">
        <is>
          <t>Track net worth growth month by month.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14" customWidth="1" min="4" max="4"/>
    <col width="28" customWidth="1" min="5" max="5"/>
  </cols>
  <sheetData>
    <row r="1">
      <c r="A1" s="6" t="inlineStr">
        <is>
          <t>Asset</t>
        </is>
      </c>
      <c r="B1" s="6" t="inlineStr">
        <is>
          <t>Category</t>
        </is>
      </c>
      <c r="C1" s="6" t="inlineStr">
        <is>
          <t>Value $</t>
        </is>
      </c>
      <c r="D1" s="6" t="inlineStr">
        <is>
          <t>Last Updated</t>
        </is>
      </c>
      <c r="E1" s="6" t="inlineStr">
        <is>
          <t>Notes</t>
        </is>
      </c>
    </row>
    <row r="2">
      <c r="A2" s="7" t="inlineStr">
        <is>
          <t>Savings Account</t>
        </is>
      </c>
      <c r="B2" s="7" t="inlineStr">
        <is>
          <t>Cash</t>
        </is>
      </c>
      <c r="C2" s="8" t="n">
        <v>15000</v>
      </c>
      <c r="D2" s="9" t="n">
        <v>46174</v>
      </c>
      <c r="E2" s="7" t="inlineStr"/>
    </row>
    <row r="3">
      <c r="A3" s="10" t="inlineStr">
        <is>
          <t>Savings Account</t>
        </is>
      </c>
      <c r="B3" s="10" t="inlineStr">
        <is>
          <t>Investments</t>
        </is>
      </c>
      <c r="C3" s="11" t="n">
        <v>10500</v>
      </c>
      <c r="D3" s="12" t="n">
        <v>46180</v>
      </c>
      <c r="E3" s="10" t="inlineStr">
        <is>
          <t>Paid</t>
        </is>
      </c>
    </row>
    <row r="4">
      <c r="A4" s="7" t="inlineStr"/>
      <c r="B4" s="7" t="inlineStr">
        <is>
          <t>Real Estate</t>
        </is>
      </c>
      <c r="C4" s="8" t="n">
        <v>19500</v>
      </c>
      <c r="D4" s="9" t="n">
        <v>46186</v>
      </c>
      <c r="E4" s="7" t="inlineStr">
        <is>
          <t>Urgent</t>
        </is>
      </c>
    </row>
    <row r="5">
      <c r="A5" s="10" t="inlineStr">
        <is>
          <t>Savings Account</t>
        </is>
      </c>
      <c r="B5" s="10" t="inlineStr">
        <is>
          <t>Vehicle</t>
        </is>
      </c>
      <c r="C5" s="11" t="n">
        <v>12750</v>
      </c>
      <c r="D5" s="12" t="n">
        <v>46189</v>
      </c>
      <c r="E5" s="10" t="inlineStr">
        <is>
          <t>Follow up Friday</t>
        </is>
      </c>
    </row>
    <row r="6">
      <c r="A6" s="7" t="inlineStr">
        <is>
          <t>Savings Account</t>
        </is>
      </c>
      <c r="B6" s="7" t="inlineStr">
        <is>
          <t>Retirement</t>
        </is>
      </c>
      <c r="C6" s="8" t="n">
        <v>17250</v>
      </c>
      <c r="D6" s="9" t="n">
        <v>46195</v>
      </c>
      <c r="E6" s="7" t="inlineStr"/>
    </row>
    <row r="7">
      <c r="A7" s="10" t="inlineStr"/>
      <c r="B7" s="10" t="inlineStr">
        <is>
          <t>Business</t>
        </is>
      </c>
      <c r="C7" s="11" t="n">
        <v>9000</v>
      </c>
      <c r="D7" s="12" t="n">
        <v>46201</v>
      </c>
      <c r="E7" s="10" t="inlineStr">
        <is>
          <t>Monthly</t>
        </is>
      </c>
    </row>
    <row r="8">
      <c r="A8" s="7" t="inlineStr">
        <is>
          <t>Savings Account</t>
        </is>
      </c>
      <c r="B8" s="7" t="inlineStr">
        <is>
          <t>Crypto</t>
        </is>
      </c>
      <c r="C8" s="8" t="n">
        <v>21750</v>
      </c>
      <c r="D8" s="9" t="n">
        <v>46176</v>
      </c>
      <c r="E8" s="7" t="inlineStr">
        <is>
          <t>Confirmed</t>
        </is>
      </c>
    </row>
    <row r="9">
      <c r="A9" s="10" t="inlineStr">
        <is>
          <t>Savings Account</t>
        </is>
      </c>
      <c r="B9" s="10" t="inlineStr">
        <is>
          <t>Other</t>
        </is>
      </c>
      <c r="C9" s="11" t="n">
        <v>14250</v>
      </c>
      <c r="D9" s="12" t="n">
        <v>46182</v>
      </c>
      <c r="E9" s="10" t="inlineStr"/>
    </row>
    <row r="10">
      <c r="A10" s="7" t="inlineStr"/>
      <c r="B10" s="7" t="inlineStr">
        <is>
          <t>Cash</t>
        </is>
      </c>
      <c r="C10" s="8" t="n">
        <v>18750</v>
      </c>
      <c r="D10" s="9" t="n">
        <v>46188</v>
      </c>
      <c r="E10" s="7" t="inlineStr">
        <is>
          <t>Waiting reply</t>
        </is>
      </c>
    </row>
    <row r="11">
      <c r="A11" s="10" t="inlineStr">
        <is>
          <t>Savings Account</t>
        </is>
      </c>
      <c r="B11" s="10" t="inlineStr">
        <is>
          <t>Investments</t>
        </is>
      </c>
      <c r="C11" s="11" t="n">
        <v>12000</v>
      </c>
      <c r="D11" s="12" t="n">
        <v>46191</v>
      </c>
      <c r="E11" s="10" t="inlineStr">
        <is>
          <t>Done early</t>
        </is>
      </c>
    </row>
    <row r="12">
      <c r="A12" s="7" t="inlineStr">
        <is>
          <t>Savings Account</t>
        </is>
      </c>
      <c r="B12" s="7" t="inlineStr">
        <is>
          <t>Real Estate</t>
        </is>
      </c>
      <c r="C12" s="8" t="n">
        <v>16500</v>
      </c>
      <c r="D12" s="9" t="n">
        <v>46197</v>
      </c>
      <c r="E12" s="7" t="inlineStr"/>
    </row>
    <row r="13">
      <c r="A13" s="10" t="inlineStr"/>
      <c r="B13" s="10" t="inlineStr">
        <is>
          <t>Vehicle</t>
        </is>
      </c>
      <c r="C13" s="11" t="n">
        <v>11250</v>
      </c>
      <c r="D13" s="12" t="n">
        <v>46175</v>
      </c>
      <c r="E13" s="10" t="inlineStr">
        <is>
          <t>Recheck</t>
        </is>
      </c>
    </row>
  </sheetData>
  <dataValidations count="1">
    <dataValidation sqref="B2:B500" showDropDown="0" showInputMessage="0" showErrorMessage="0" allowBlank="1" type="list">
      <formula1>"Cash,Investments,Real Estate,Vehicle,Retirement,Business,Crypto,Other"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NET WORTH TRACKER — DASHBOARD</t>
        </is>
      </c>
    </row>
    <row r="4">
      <c r="B4" s="14" t="inlineStr">
        <is>
          <t>TOTAL ASSETS</t>
        </is>
      </c>
      <c r="D4" s="15" t="inlineStr">
        <is>
          <t>TOTAL LIABILITIES</t>
        </is>
      </c>
      <c r="F4" s="16" t="inlineStr">
        <is>
          <t>NET WORTH</t>
        </is>
      </c>
      <c r="H4" s="17" t="inlineStr">
        <is>
          <t>DEBT RATIO</t>
        </is>
      </c>
    </row>
    <row r="5" ht="26" customHeight="1">
      <c r="B5" s="18">
        <f>SUM(Assets!C:C)</f>
        <v/>
      </c>
      <c r="D5" s="19">
        <f>SUM(Liabilities!C:C)</f>
        <v/>
      </c>
      <c r="F5" s="20">
        <f>SUM(Assets!C:C)-SUM(Liabilities!C:C)</f>
        <v/>
      </c>
      <c r="H5" s="21">
        <f>TEXT(SUM(Liabilities!C:C)/SUM(Assets!C:C),"0%")</f>
        <v/>
      </c>
    </row>
    <row r="8">
      <c r="B8" s="22" t="inlineStr">
        <is>
          <t>WHAT'S INSIDE</t>
        </is>
      </c>
    </row>
    <row r="9">
      <c r="B9" s="23" t="inlineStr">
        <is>
          <t>🏦  Assets — All assets: cash, investments, real estate, vehicles.</t>
        </is>
      </c>
    </row>
    <row r="10">
      <c r="B10" s="23" t="inlineStr">
        <is>
          <t>💳  Liabilities — All debts: mortgage, car loans, credit cards, student loans.</t>
        </is>
      </c>
    </row>
    <row r="11">
      <c r="B11" s="23" t="inlineStr">
        <is>
          <t>📈  Monthly Trend — Track net worth growth month by month.</t>
        </is>
      </c>
    </row>
    <row r="12">
      <c r="B12" s="23" t="inlineStr">
        <is>
          <t>📊  Summary — Wealth breakdown by asset class and debt category.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14" customWidth="1" min="4" max="4"/>
    <col width="28" customWidth="1" min="5" max="5"/>
  </cols>
  <sheetData>
    <row r="1">
      <c r="A1" s="6" t="inlineStr">
        <is>
          <t>Liability</t>
        </is>
      </c>
      <c r="B1" s="6" t="inlineStr">
        <is>
          <t>Category</t>
        </is>
      </c>
      <c r="C1" s="6" t="inlineStr">
        <is>
          <t>Balance $</t>
        </is>
      </c>
      <c r="D1" s="6" t="inlineStr">
        <is>
          <t>Interest %</t>
        </is>
      </c>
      <c r="E1" s="6" t="inlineStr">
        <is>
          <t>Notes</t>
        </is>
      </c>
    </row>
    <row r="2">
      <c r="A2" s="7" t="inlineStr">
        <is>
          <t>Mortgage</t>
        </is>
      </c>
      <c r="B2" s="7" t="inlineStr">
        <is>
          <t>Mortgage</t>
        </is>
      </c>
      <c r="C2" s="8" t="n">
        <v>185000</v>
      </c>
      <c r="D2" s="7" t="n">
        <v>6.5</v>
      </c>
      <c r="E2" s="7" t="inlineStr"/>
    </row>
    <row r="3">
      <c r="A3" s="10" t="inlineStr">
        <is>
          <t>Mortgage</t>
        </is>
      </c>
      <c r="B3" s="10" t="inlineStr">
        <is>
          <t>Car Loan</t>
        </is>
      </c>
      <c r="C3" s="11" t="n">
        <v>129500</v>
      </c>
      <c r="D3" s="10" t="n">
        <v>4.55</v>
      </c>
      <c r="E3" s="10" t="inlineStr">
        <is>
          <t>Paid</t>
        </is>
      </c>
    </row>
    <row r="4">
      <c r="A4" s="7" t="inlineStr"/>
      <c r="B4" s="7" t="inlineStr">
        <is>
          <t>Student Loan</t>
        </is>
      </c>
      <c r="C4" s="8" t="n">
        <v>240500</v>
      </c>
      <c r="D4" s="7" t="n">
        <v>8.449999999999999</v>
      </c>
      <c r="E4" s="7" t="inlineStr">
        <is>
          <t>Urgent</t>
        </is>
      </c>
    </row>
    <row r="5">
      <c r="A5" s="10" t="inlineStr">
        <is>
          <t>Mortgage</t>
        </is>
      </c>
      <c r="B5" s="10" t="inlineStr">
        <is>
          <t>Credit Card</t>
        </is>
      </c>
      <c r="C5" s="11" t="n">
        <v>157250</v>
      </c>
      <c r="D5" s="10" t="n">
        <v>5.52</v>
      </c>
      <c r="E5" s="10" t="inlineStr">
        <is>
          <t>Follow up Friday</t>
        </is>
      </c>
    </row>
    <row r="6">
      <c r="A6" s="7" t="inlineStr">
        <is>
          <t>Mortgage</t>
        </is>
      </c>
      <c r="B6" s="7" t="inlineStr">
        <is>
          <t>Personal Loan</t>
        </is>
      </c>
      <c r="C6" s="8" t="n">
        <v>212750</v>
      </c>
      <c r="D6" s="7" t="n">
        <v>7.47</v>
      </c>
      <c r="E6" s="7" t="inlineStr"/>
    </row>
    <row r="7">
      <c r="A7" s="10" t="inlineStr"/>
      <c r="B7" s="10" t="inlineStr">
        <is>
          <t>Business Debt</t>
        </is>
      </c>
      <c r="C7" s="11" t="n">
        <v>111000</v>
      </c>
      <c r="D7" s="10" t="n">
        <v>3.9</v>
      </c>
      <c r="E7" s="10" t="inlineStr">
        <is>
          <t>Monthly</t>
        </is>
      </c>
    </row>
    <row r="8">
      <c r="A8" s="7" t="inlineStr">
        <is>
          <t>Mortgage</t>
        </is>
      </c>
      <c r="B8" s="7" t="inlineStr">
        <is>
          <t>Other</t>
        </is>
      </c>
      <c r="C8" s="8" t="n">
        <v>268250</v>
      </c>
      <c r="D8" s="7" t="n">
        <v>9.42</v>
      </c>
      <c r="E8" s="7" t="inlineStr">
        <is>
          <t>Confirmed</t>
        </is>
      </c>
    </row>
    <row r="9">
      <c r="A9" s="10" t="inlineStr">
        <is>
          <t>Mortgage</t>
        </is>
      </c>
      <c r="B9" s="10" t="inlineStr">
        <is>
          <t>Mortgage</t>
        </is>
      </c>
      <c r="C9" s="11" t="n">
        <v>175750</v>
      </c>
      <c r="D9" s="10" t="n">
        <v>6.17</v>
      </c>
      <c r="E9" s="10" t="inlineStr"/>
    </row>
    <row r="10">
      <c r="A10" s="7" t="inlineStr"/>
      <c r="B10" s="7" t="inlineStr">
        <is>
          <t>Car Loan</t>
        </is>
      </c>
      <c r="C10" s="8" t="n">
        <v>231250</v>
      </c>
      <c r="D10" s="7" t="n">
        <v>8.119999999999999</v>
      </c>
      <c r="E10" s="7" t="inlineStr">
        <is>
          <t>Waiting reply</t>
        </is>
      </c>
    </row>
    <row r="11">
      <c r="A11" s="10" t="inlineStr">
        <is>
          <t>Mortgage</t>
        </is>
      </c>
      <c r="B11" s="10" t="inlineStr">
        <is>
          <t>Student Loan</t>
        </is>
      </c>
      <c r="C11" s="11" t="n">
        <v>148000</v>
      </c>
      <c r="D11" s="10" t="n">
        <v>5.2</v>
      </c>
      <c r="E11" s="10" t="inlineStr">
        <is>
          <t>Done early</t>
        </is>
      </c>
    </row>
    <row r="12">
      <c r="A12" s="7" t="inlineStr">
        <is>
          <t>Mortgage</t>
        </is>
      </c>
      <c r="B12" s="7" t="inlineStr">
        <is>
          <t>Credit Card</t>
        </is>
      </c>
      <c r="C12" s="8" t="n">
        <v>203500</v>
      </c>
      <c r="D12" s="7" t="n">
        <v>7.15</v>
      </c>
      <c r="E12" s="7" t="inlineStr"/>
    </row>
    <row r="13">
      <c r="A13" s="10" t="inlineStr"/>
      <c r="B13" s="10" t="inlineStr">
        <is>
          <t>Personal Loan</t>
        </is>
      </c>
      <c r="C13" s="11" t="n">
        <v>138750</v>
      </c>
      <c r="D13" s="10" t="n">
        <v>4.88</v>
      </c>
      <c r="E13" s="10" t="inlineStr">
        <is>
          <t>Recheck</t>
        </is>
      </c>
    </row>
  </sheetData>
  <dataValidations count="1">
    <dataValidation sqref="B2:B500" showDropDown="0" showInputMessage="0" showErrorMessage="0" allowBlank="1" type="list">
      <formula1>"Mortgage,Car Loan,Student Loan,Credit Card,Personal Loan,Business Debt,Other"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6" t="inlineStr">
        <is>
          <t>Month</t>
        </is>
      </c>
      <c r="B1" s="6" t="inlineStr">
        <is>
          <t>Assets $</t>
        </is>
      </c>
      <c r="C1" s="6" t="inlineStr">
        <is>
          <t>Liabilities $</t>
        </is>
      </c>
      <c r="D1" s="6" t="inlineStr">
        <is>
          <t>Net Worth $</t>
        </is>
      </c>
      <c r="E1" s="6" t="inlineStr">
        <is>
          <t>Change $</t>
        </is>
      </c>
    </row>
    <row r="2">
      <c r="A2" s="7" t="inlineStr">
        <is>
          <t>January 2024</t>
        </is>
      </c>
      <c r="B2" s="7" t="n">
        <v>250000</v>
      </c>
      <c r="C2" s="7" t="n">
        <v>195000</v>
      </c>
      <c r="D2" s="7">
        <f>C2-D2</f>
        <v/>
      </c>
      <c r="E2" s="7">
        <f>E2-E{ROW-1}</f>
        <v/>
      </c>
    </row>
    <row r="3">
      <c r="A3" s="10" t="inlineStr">
        <is>
          <t>January 2025</t>
        </is>
      </c>
      <c r="B3" s="10" t="n">
        <v>175000</v>
      </c>
      <c r="C3" s="10" t="n">
        <v>136500</v>
      </c>
      <c r="D3" s="10">
        <f>C3-D3</f>
        <v/>
      </c>
      <c r="E3" s="10">
        <f>E3-E{ROW-1}</f>
        <v/>
      </c>
    </row>
    <row r="4">
      <c r="A4" s="7" t="inlineStr">
        <is>
          <t>January 2026</t>
        </is>
      </c>
      <c r="B4" s="7" t="n">
        <v>325000</v>
      </c>
      <c r="C4" s="7" t="n">
        <v>253500</v>
      </c>
      <c r="D4" s="7">
        <f>C4-D4</f>
        <v/>
      </c>
      <c r="E4" s="7">
        <f>E4-E{ROW-1}</f>
        <v/>
      </c>
    </row>
    <row r="5">
      <c r="A5" s="10" t="inlineStr">
        <is>
          <t>January 2027</t>
        </is>
      </c>
      <c r="B5" s="10" t="n">
        <v>212500</v>
      </c>
      <c r="C5" s="10" t="n">
        <v>165750</v>
      </c>
      <c r="D5" s="10">
        <f>C5-D5</f>
        <v/>
      </c>
      <c r="E5" s="10">
        <f>E5-E{ROW-1}</f>
        <v/>
      </c>
    </row>
    <row r="6">
      <c r="A6" s="7" t="inlineStr">
        <is>
          <t>January 2028</t>
        </is>
      </c>
      <c r="B6" s="7" t="n">
        <v>287500</v>
      </c>
      <c r="C6" s="7" t="n">
        <v>224250</v>
      </c>
      <c r="D6" s="7">
        <f>C6-D6</f>
        <v/>
      </c>
      <c r="E6" s="7">
        <f>E6-E{ROW-1}</f>
        <v/>
      </c>
    </row>
    <row r="7">
      <c r="A7" s="10" t="inlineStr">
        <is>
          <t>January 2029</t>
        </is>
      </c>
      <c r="B7" s="10" t="n">
        <v>150000</v>
      </c>
      <c r="C7" s="10" t="n">
        <v>117000</v>
      </c>
      <c r="D7" s="10">
        <f>C7-D7</f>
        <v/>
      </c>
      <c r="E7" s="10">
        <f>E7-E{ROW-1}</f>
        <v/>
      </c>
    </row>
    <row r="8">
      <c r="A8" s="7" t="inlineStr">
        <is>
          <t>January 2030</t>
        </is>
      </c>
      <c r="B8" s="7" t="n">
        <v>362500</v>
      </c>
      <c r="C8" s="7" t="n">
        <v>282750</v>
      </c>
      <c r="D8" s="7">
        <f>C8-D8</f>
        <v/>
      </c>
      <c r="E8" s="7">
        <f>E8-E{ROW-1}</f>
        <v/>
      </c>
    </row>
    <row r="9">
      <c r="A9" s="10" t="inlineStr">
        <is>
          <t>January 2031</t>
        </is>
      </c>
      <c r="B9" s="10" t="n">
        <v>237500</v>
      </c>
      <c r="C9" s="10" t="n">
        <v>185250</v>
      </c>
      <c r="D9" s="10">
        <f>C9-D9</f>
        <v/>
      </c>
      <c r="E9" s="10">
        <f>E9-E{ROW-1}</f>
        <v/>
      </c>
    </row>
    <row r="10">
      <c r="A10" s="7" t="inlineStr">
        <is>
          <t>January 2032</t>
        </is>
      </c>
      <c r="B10" s="7" t="n">
        <v>312500</v>
      </c>
      <c r="C10" s="7" t="n">
        <v>243750</v>
      </c>
      <c r="D10" s="7">
        <f>C10-D10</f>
        <v/>
      </c>
      <c r="E10" s="7">
        <f>E10-E{ROW-1}</f>
        <v/>
      </c>
    </row>
    <row r="11">
      <c r="A11" s="10" t="inlineStr">
        <is>
          <t>January 2033</t>
        </is>
      </c>
      <c r="B11" s="10" t="n">
        <v>200000</v>
      </c>
      <c r="C11" s="10" t="n">
        <v>156000</v>
      </c>
      <c r="D11" s="10">
        <f>C11-D11</f>
        <v/>
      </c>
      <c r="E11" s="10">
        <f>E11-E{ROW-1}</f>
        <v/>
      </c>
    </row>
    <row r="12">
      <c r="A12" s="7" t="inlineStr">
        <is>
          <t>January 2034</t>
        </is>
      </c>
      <c r="B12" s="7" t="n">
        <v>275000</v>
      </c>
      <c r="C12" s="7" t="n">
        <v>214500</v>
      </c>
      <c r="D12" s="7">
        <f>C12-D12</f>
        <v/>
      </c>
      <c r="E12" s="7">
        <f>E12-E{ROW-1}</f>
        <v/>
      </c>
    </row>
    <row r="13">
      <c r="A13" s="10" t="inlineStr">
        <is>
          <t>January 2035</t>
        </is>
      </c>
      <c r="B13" s="10" t="n">
        <v>187500</v>
      </c>
      <c r="C13" s="10" t="n">
        <v>146250</v>
      </c>
      <c r="D13" s="10">
        <f>C13-D13</f>
        <v/>
      </c>
      <c r="E13" s="10">
        <f>E13-E{ROW-1}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4" t="inlineStr">
        <is>
          <t>📈  SUMMARY</t>
        </is>
      </c>
    </row>
    <row r="4">
      <c r="B4" s="3" t="inlineStr">
        <is>
          <t>Wealth Summary</t>
        </is>
      </c>
    </row>
    <row r="5">
      <c r="B5" s="10" t="inlineStr">
        <is>
          <t>Total Assets</t>
        </is>
      </c>
      <c r="C5" s="25">
        <f>SUM(Assets!C:C)</f>
        <v/>
      </c>
    </row>
    <row r="6">
      <c r="B6" s="7" t="inlineStr">
        <is>
          <t>Total Liabilities</t>
        </is>
      </c>
      <c r="C6" s="26">
        <f>SUM(Liabilities!C:C)</f>
        <v/>
      </c>
    </row>
    <row r="7">
      <c r="B7" s="10" t="inlineStr">
        <is>
          <t>Net Worth</t>
        </is>
      </c>
      <c r="C7" s="27">
        <f>SUM(Assets!C:C)-SUM(Liabilities!C:C)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