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Weigh In" sheetId="2" state="visible" r:id="rId2"/>
    <sheet name="Dashboard" sheetId="3" state="visible" r:id="rId3"/>
    <sheet name="Measurements" sheetId="4" state="visible" r:id="rId4"/>
    <sheet name="Calories" sheetId="5" state="visible" r:id="rId5"/>
    <sheet name="Progress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059669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052E16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052E16"/>
      </patternFill>
    </fill>
    <fill>
      <patternFill patternType="solid">
        <fgColor rgb="00FFF7F0"/>
      </patternFill>
    </fill>
    <fill>
      <patternFill patternType="solid">
        <fgColor rgb="00059669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pivotButton="0" quotePrefix="0" xfId="0"/>
    <xf numFmtId="0" fontId="2" fillId="3" borderId="1" pivotButton="0" quotePrefix="0" xfId="0"/>
    <xf numFmtId="164" fontId="2" fillId="0" borderId="1" pivotButton="0" quotePrefix="0" xfId="0"/>
    <xf numFmtId="0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3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⚖️  WEIGHT LOSS PROGRESS TRACKER</t>
        </is>
      </c>
    </row>
    <row r="3"/>
    <row r="4">
      <c r="B4" s="2" t="inlineStr">
        <is>
          <t>Body Measurements, Calories &amp; Goals Google Sheets</t>
        </is>
      </c>
    </row>
    <row r="6">
      <c r="B6" s="3" t="inlineStr">
        <is>
          <t>STEP 1 — Fill in “Weigh In”</t>
        </is>
      </c>
    </row>
    <row r="7" ht="28" customHeight="1">
      <c r="B7" s="4" t="inlineStr">
        <is>
          <t>Daily or weekly weigh-in log.</t>
        </is>
      </c>
    </row>
    <row r="9">
      <c r="B9" s="3" t="inlineStr">
        <is>
          <t>STEP 2 — Fill in “Measurements”</t>
        </is>
      </c>
    </row>
    <row r="10" ht="28" customHeight="1">
      <c r="B10" s="4" t="inlineStr">
        <is>
          <t>Monthly body measurements to track body composition.</t>
        </is>
      </c>
    </row>
    <row r="12">
      <c r="B12" s="3" t="inlineStr">
        <is>
          <t>STEP 3 — Fill in “Calories”</t>
        </is>
      </c>
    </row>
    <row r="13" ht="28" customHeight="1">
      <c r="B13" s="4" t="inlineStr">
        <is>
          <t>Daily calorie and macro tracking.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10" customWidth="1" min="5" max="5"/>
    <col width="26" customWidth="1" min="6" max="6"/>
  </cols>
  <sheetData>
    <row r="1">
      <c r="A1" s="6" t="inlineStr">
        <is>
          <t>Date</t>
        </is>
      </c>
      <c r="B1" s="6" t="inlineStr">
        <is>
          <t>Day</t>
        </is>
      </c>
      <c r="C1" s="6" t="inlineStr">
        <is>
          <t>Weight (lbs)</t>
        </is>
      </c>
      <c r="D1" s="6" t="inlineStr">
        <is>
          <t>Change</t>
        </is>
      </c>
      <c r="E1" s="6" t="inlineStr">
        <is>
          <t>BMI</t>
        </is>
      </c>
      <c r="F1" s="6" t="inlineStr">
        <is>
          <t>Notes</t>
        </is>
      </c>
    </row>
    <row r="2">
      <c r="A2" s="7" t="n">
        <v>46174</v>
      </c>
      <c r="B2" s="8" t="inlineStr">
        <is>
          <t>Monday</t>
        </is>
      </c>
      <c r="C2" s="8" t="n">
        <v>182</v>
      </c>
      <c r="D2" s="8">
        <f>C2-C{ROW-1}</f>
        <v/>
      </c>
      <c r="E2" s="8" t="n">
        <v>26.2</v>
      </c>
      <c r="F2" s="8" t="inlineStr"/>
    </row>
    <row r="3">
      <c r="A3" s="9" t="n">
        <v>46180</v>
      </c>
      <c r="B3" s="10" t="inlineStr">
        <is>
          <t>Monday</t>
        </is>
      </c>
      <c r="C3" s="10" t="n">
        <v>128</v>
      </c>
      <c r="D3" s="10">
        <f>C3-C{ROW-1}</f>
        <v/>
      </c>
      <c r="E3" s="10" t="n">
        <v>18.34</v>
      </c>
      <c r="F3" s="10" t="inlineStr">
        <is>
          <t>Paid</t>
        </is>
      </c>
    </row>
    <row r="4">
      <c r="A4" s="7" t="n">
        <v>46186</v>
      </c>
      <c r="B4" s="8" t="inlineStr"/>
      <c r="C4" s="8" t="n">
        <v>237</v>
      </c>
      <c r="D4" s="8">
        <f>C4-C{ROW-1}</f>
        <v/>
      </c>
      <c r="E4" s="8" t="n">
        <v>34.06</v>
      </c>
      <c r="F4" s="8" t="inlineStr">
        <is>
          <t>Urgent</t>
        </is>
      </c>
    </row>
    <row r="5">
      <c r="A5" s="9" t="n">
        <v>46189</v>
      </c>
      <c r="B5" s="10" t="inlineStr">
        <is>
          <t>Monday</t>
        </is>
      </c>
      <c r="C5" s="10" t="n">
        <v>155</v>
      </c>
      <c r="D5" s="10">
        <f>C5-C{ROW-1}</f>
        <v/>
      </c>
      <c r="E5" s="10" t="n">
        <v>22.27</v>
      </c>
      <c r="F5" s="10" t="inlineStr">
        <is>
          <t>Follow up Friday</t>
        </is>
      </c>
    </row>
    <row r="6">
      <c r="A6" s="7" t="n">
        <v>46195</v>
      </c>
      <c r="B6" s="8" t="inlineStr">
        <is>
          <t>Monday</t>
        </is>
      </c>
      <c r="C6" s="8" t="n">
        <v>210</v>
      </c>
      <c r="D6" s="8">
        <f>C6-C{ROW-1}</f>
        <v/>
      </c>
      <c r="E6" s="8" t="n">
        <v>30.13</v>
      </c>
      <c r="F6" s="8" t="inlineStr"/>
    </row>
    <row r="7">
      <c r="A7" s="9" t="n">
        <v>46201</v>
      </c>
      <c r="B7" s="10" t="inlineStr"/>
      <c r="C7" s="10" t="n">
        <v>110</v>
      </c>
      <c r="D7" s="10">
        <f>C7-C{ROW-1}</f>
        <v/>
      </c>
      <c r="E7" s="10" t="n">
        <v>15.72</v>
      </c>
      <c r="F7" s="10" t="inlineStr">
        <is>
          <t>Monthly</t>
        </is>
      </c>
    </row>
    <row r="8">
      <c r="A8" s="7" t="n">
        <v>46176</v>
      </c>
      <c r="B8" s="8" t="inlineStr">
        <is>
          <t>Monday</t>
        </is>
      </c>
      <c r="C8" s="8" t="n">
        <v>265</v>
      </c>
      <c r="D8" s="8">
        <f>C8-C{ROW-1}</f>
        <v/>
      </c>
      <c r="E8" s="8" t="n">
        <v>37.99</v>
      </c>
      <c r="F8" s="8" t="inlineStr">
        <is>
          <t>Confirmed</t>
        </is>
      </c>
    </row>
    <row r="9">
      <c r="A9" s="9" t="n">
        <v>46182</v>
      </c>
      <c r="B9" s="10" t="inlineStr">
        <is>
          <t>Monday</t>
        </is>
      </c>
      <c r="C9" s="10" t="n">
        <v>173</v>
      </c>
      <c r="D9" s="10">
        <f>C9-C{ROW-1}</f>
        <v/>
      </c>
      <c r="E9" s="10" t="n">
        <v>24.89</v>
      </c>
      <c r="F9" s="10" t="inlineStr"/>
    </row>
    <row r="10">
      <c r="A10" s="7" t="n">
        <v>46188</v>
      </c>
      <c r="B10" s="8" t="inlineStr"/>
      <c r="C10" s="8" t="n">
        <v>228</v>
      </c>
      <c r="D10" s="8">
        <f>C10-C{ROW-1}</f>
        <v/>
      </c>
      <c r="E10" s="8" t="n">
        <v>32.75</v>
      </c>
      <c r="F10" s="8" t="inlineStr">
        <is>
          <t>Waiting reply</t>
        </is>
      </c>
    </row>
    <row r="11">
      <c r="A11" s="9" t="n">
        <v>46191</v>
      </c>
      <c r="B11" s="10" t="inlineStr">
        <is>
          <t>Monday</t>
        </is>
      </c>
      <c r="C11" s="10" t="n">
        <v>146</v>
      </c>
      <c r="D11" s="10">
        <f>C11-C{ROW-1}</f>
        <v/>
      </c>
      <c r="E11" s="10" t="n">
        <v>20.96</v>
      </c>
      <c r="F11" s="10" t="inlineStr">
        <is>
          <t>Done early</t>
        </is>
      </c>
    </row>
    <row r="12">
      <c r="A12" s="7" t="n">
        <v>46197</v>
      </c>
      <c r="B12" s="8" t="inlineStr">
        <is>
          <t>Monday</t>
        </is>
      </c>
      <c r="C12" s="8" t="n">
        <v>201</v>
      </c>
      <c r="D12" s="8">
        <f>C12-C{ROW-1}</f>
        <v/>
      </c>
      <c r="E12" s="8" t="n">
        <v>28.82</v>
      </c>
      <c r="F12" s="8" t="inlineStr"/>
    </row>
    <row r="13">
      <c r="A13" s="9" t="n">
        <v>46175</v>
      </c>
      <c r="B13" s="10" t="inlineStr"/>
      <c r="C13" s="10" t="n">
        <v>137</v>
      </c>
      <c r="D13" s="10">
        <f>C13-C{ROW-1}</f>
        <v/>
      </c>
      <c r="E13" s="10" t="n">
        <v>19.65</v>
      </c>
      <c r="F13" s="10" t="inlineStr">
        <is>
          <t>Recheck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1" t="inlineStr">
        <is>
          <t>📊  WEIGHT LOSS PROGRESS TRACKER — DASHBOARD</t>
        </is>
      </c>
    </row>
    <row r="4">
      <c r="B4" s="12" t="inlineStr">
        <is>
          <t>CURRENT WEIGHT</t>
        </is>
      </c>
      <c r="D4" s="13" t="inlineStr">
        <is>
          <t>STARTING WEIGHT</t>
        </is>
      </c>
      <c r="F4" s="14" t="inlineStr">
        <is>
          <t>TOTAL LOST</t>
        </is>
      </c>
      <c r="H4" s="15" t="inlineStr">
        <is>
          <t>GOAL WEIGHT</t>
        </is>
      </c>
    </row>
    <row r="5" ht="26" customHeight="1">
      <c r="B5" s="16">
        <f>INDEX(Weigh_In!C:C,COUNTA(Weigh_In!C:C))</f>
        <v/>
      </c>
      <c r="D5" s="17">
        <f>Weigh_In!C2</f>
        <v/>
      </c>
      <c r="F5" s="18">
        <f>Weigh_In!C2-INDEX(Weigh_In!C:C,COUNTA(Weigh_In!C:C))</f>
        <v/>
      </c>
      <c r="H5" s="19">
        <f>Settings!B3</f>
        <v/>
      </c>
    </row>
    <row r="8">
      <c r="B8" s="20" t="inlineStr">
        <is>
          <t>WHAT'S INSIDE</t>
        </is>
      </c>
    </row>
    <row r="9">
      <c r="B9" s="21" t="inlineStr">
        <is>
          <t>📊  Weigh In — Daily or weekly weigh-in log.</t>
        </is>
      </c>
    </row>
    <row r="10">
      <c r="B10" s="21" t="inlineStr">
        <is>
          <t>📏  Measurements — Monthly body measurements to track body composition.</t>
        </is>
      </c>
    </row>
    <row r="11">
      <c r="B11" s="21" t="inlineStr">
        <is>
          <t>🍽️  Calories — Daily calorie and macro tracking.</t>
        </is>
      </c>
    </row>
    <row r="12">
      <c r="B12" s="21" t="inlineStr">
        <is>
          <t>📊  Progress Report — Monthly progress summary and rate of loss.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>
      <c r="A1" s="6" t="inlineStr">
        <is>
          <t>Date</t>
        </is>
      </c>
      <c r="B1" s="6" t="inlineStr">
        <is>
          <t>Chest (in)</t>
        </is>
      </c>
      <c r="C1" s="6" t="inlineStr">
        <is>
          <t>Waist (in)</t>
        </is>
      </c>
      <c r="D1" s="6" t="inlineStr">
        <is>
          <t>Hips (in)</t>
        </is>
      </c>
      <c r="E1" s="6" t="inlineStr">
        <is>
          <t>Thigh (in)</t>
        </is>
      </c>
      <c r="F1" s="6" t="inlineStr">
        <is>
          <t>Arms (in)</t>
        </is>
      </c>
      <c r="G1" s="6" t="inlineStr">
        <is>
          <t>Body Fat %</t>
        </is>
      </c>
    </row>
    <row r="2">
      <c r="A2" s="7" t="n">
        <v>46174</v>
      </c>
      <c r="B2" s="8" t="n">
        <v>38</v>
      </c>
      <c r="C2" s="8" t="n">
        <v>34</v>
      </c>
      <c r="D2" s="8" t="n">
        <v>42</v>
      </c>
      <c r="E2" s="8" t="n">
        <v>22</v>
      </c>
      <c r="F2" s="8" t="n">
        <v>13</v>
      </c>
      <c r="G2" s="8" t="n">
        <v>22</v>
      </c>
    </row>
    <row r="3">
      <c r="A3" s="9" t="n">
        <v>46180</v>
      </c>
      <c r="B3" s="10" t="n">
        <v>26.6</v>
      </c>
      <c r="C3" s="10" t="n">
        <v>23.8</v>
      </c>
      <c r="D3" s="10" t="n">
        <v>29.4</v>
      </c>
      <c r="E3" s="10" t="n">
        <v>15.4</v>
      </c>
      <c r="F3" s="10" t="n">
        <v>9.1</v>
      </c>
      <c r="G3" s="10" t="n">
        <v>15.4</v>
      </c>
    </row>
    <row r="4">
      <c r="A4" s="7" t="n">
        <v>46186</v>
      </c>
      <c r="B4" s="8" t="n">
        <v>49.4</v>
      </c>
      <c r="C4" s="8" t="n">
        <v>44.2</v>
      </c>
      <c r="D4" s="8" t="n">
        <v>54.6</v>
      </c>
      <c r="E4" s="8" t="n">
        <v>28.6</v>
      </c>
      <c r="F4" s="8" t="n">
        <v>16.9</v>
      </c>
      <c r="G4" s="8" t="n">
        <v>28.6</v>
      </c>
    </row>
    <row r="5">
      <c r="A5" s="9" t="n">
        <v>46189</v>
      </c>
      <c r="B5" s="10" t="n">
        <v>32.3</v>
      </c>
      <c r="C5" s="10" t="n">
        <v>28.9</v>
      </c>
      <c r="D5" s="10" t="n">
        <v>35.7</v>
      </c>
      <c r="E5" s="10" t="n">
        <v>18.7</v>
      </c>
      <c r="F5" s="10" t="n">
        <v>11.05</v>
      </c>
      <c r="G5" s="10" t="n">
        <v>18.7</v>
      </c>
    </row>
    <row r="6">
      <c r="A6" s="7" t="n">
        <v>46195</v>
      </c>
      <c r="B6" s="8" t="n">
        <v>43.7</v>
      </c>
      <c r="C6" s="8" t="n">
        <v>39.1</v>
      </c>
      <c r="D6" s="8" t="n">
        <v>48.3</v>
      </c>
      <c r="E6" s="8" t="n">
        <v>25.3</v>
      </c>
      <c r="F6" s="8" t="n">
        <v>14.95</v>
      </c>
      <c r="G6" s="8" t="n">
        <v>25.3</v>
      </c>
    </row>
    <row r="7">
      <c r="A7" s="9" t="n">
        <v>46201</v>
      </c>
      <c r="B7" s="10" t="n">
        <v>22.8</v>
      </c>
      <c r="C7" s="10" t="n">
        <v>20.4</v>
      </c>
      <c r="D7" s="10" t="n">
        <v>25.2</v>
      </c>
      <c r="E7" s="10" t="n">
        <v>13.2</v>
      </c>
      <c r="F7" s="10" t="n">
        <v>7.8</v>
      </c>
      <c r="G7" s="10" t="n">
        <v>13.2</v>
      </c>
    </row>
    <row r="8">
      <c r="A8" s="7" t="n">
        <v>46176</v>
      </c>
      <c r="B8" s="8" t="n">
        <v>55.1</v>
      </c>
      <c r="C8" s="8" t="n">
        <v>49.3</v>
      </c>
      <c r="D8" s="8" t="n">
        <v>60.9</v>
      </c>
      <c r="E8" s="8" t="n">
        <v>31.9</v>
      </c>
      <c r="F8" s="8" t="n">
        <v>18.85</v>
      </c>
      <c r="G8" s="8" t="n">
        <v>31.9</v>
      </c>
    </row>
    <row r="9">
      <c r="A9" s="9" t="n">
        <v>46182</v>
      </c>
      <c r="B9" s="10" t="n">
        <v>36.1</v>
      </c>
      <c r="C9" s="10" t="n">
        <v>32.3</v>
      </c>
      <c r="D9" s="10" t="n">
        <v>39.9</v>
      </c>
      <c r="E9" s="10" t="n">
        <v>20.9</v>
      </c>
      <c r="F9" s="10" t="n">
        <v>12.35</v>
      </c>
      <c r="G9" s="10" t="n">
        <v>20.9</v>
      </c>
    </row>
    <row r="10">
      <c r="A10" s="7" t="n">
        <v>46188</v>
      </c>
      <c r="B10" s="8" t="n">
        <v>47.5</v>
      </c>
      <c r="C10" s="8" t="n">
        <v>42.5</v>
      </c>
      <c r="D10" s="8" t="n">
        <v>52.5</v>
      </c>
      <c r="E10" s="8" t="n">
        <v>27.5</v>
      </c>
      <c r="F10" s="8" t="n">
        <v>16.25</v>
      </c>
      <c r="G10" s="8" t="n">
        <v>27.5</v>
      </c>
    </row>
    <row r="11">
      <c r="A11" s="9" t="n">
        <v>46191</v>
      </c>
      <c r="B11" s="10" t="n">
        <v>30.4</v>
      </c>
      <c r="C11" s="10" t="n">
        <v>27.2</v>
      </c>
      <c r="D11" s="10" t="n">
        <v>33.6</v>
      </c>
      <c r="E11" s="10" t="n">
        <v>17.6</v>
      </c>
      <c r="F11" s="10" t="n">
        <v>10.4</v>
      </c>
      <c r="G11" s="10" t="n">
        <v>17.6</v>
      </c>
    </row>
    <row r="12">
      <c r="A12" s="7" t="n">
        <v>46197</v>
      </c>
      <c r="B12" s="8" t="n">
        <v>41.8</v>
      </c>
      <c r="C12" s="8" t="n">
        <v>37.4</v>
      </c>
      <c r="D12" s="8" t="n">
        <v>46.2</v>
      </c>
      <c r="E12" s="8" t="n">
        <v>24.2</v>
      </c>
      <c r="F12" s="8" t="n">
        <v>14.3</v>
      </c>
      <c r="G12" s="8" t="n">
        <v>24.2</v>
      </c>
    </row>
    <row r="13">
      <c r="A13" s="9" t="n">
        <v>46175</v>
      </c>
      <c r="B13" s="10" t="n">
        <v>28.5</v>
      </c>
      <c r="C13" s="10" t="n">
        <v>25.5</v>
      </c>
      <c r="D13" s="10" t="n">
        <v>31.5</v>
      </c>
      <c r="E13" s="10" t="n">
        <v>16.5</v>
      </c>
      <c r="F13" s="10" t="n">
        <v>9.75</v>
      </c>
      <c r="G13" s="10" t="n">
        <v>16.5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6" customWidth="1" min="6" max="6"/>
    <col width="14" customWidth="1" min="7" max="7"/>
  </cols>
  <sheetData>
    <row r="1">
      <c r="A1" s="6" t="inlineStr">
        <is>
          <t>Date</t>
        </is>
      </c>
      <c r="B1" s="6" t="inlineStr">
        <is>
          <t>Calories</t>
        </is>
      </c>
      <c r="C1" s="6" t="inlineStr">
        <is>
          <t>Protein (g)</t>
        </is>
      </c>
      <c r="D1" s="6" t="inlineStr">
        <is>
          <t>Carbs (g)</t>
        </is>
      </c>
      <c r="E1" s="6" t="inlineStr">
        <is>
          <t>Fat (g)</t>
        </is>
      </c>
      <c r="F1" s="6" t="inlineStr">
        <is>
          <t>Exercise Cal</t>
        </is>
      </c>
      <c r="G1" s="6" t="inlineStr">
        <is>
          <t>Net Calories</t>
        </is>
      </c>
    </row>
    <row r="2">
      <c r="A2" s="7" t="n">
        <v>46174</v>
      </c>
      <c r="B2" s="8" t="n">
        <v>1750</v>
      </c>
      <c r="C2" s="8" t="n">
        <v>145</v>
      </c>
      <c r="D2" s="8" t="n">
        <v>180</v>
      </c>
      <c r="E2" s="8" t="n">
        <v>65</v>
      </c>
      <c r="F2" s="8" t="n">
        <v>350</v>
      </c>
      <c r="G2" s="8">
        <f>C2-G2</f>
        <v/>
      </c>
    </row>
    <row r="3">
      <c r="A3" s="9" t="n">
        <v>46180</v>
      </c>
      <c r="B3" s="10" t="n">
        <v>1225</v>
      </c>
      <c r="C3" s="10" t="n">
        <v>102</v>
      </c>
      <c r="D3" s="10" t="n">
        <v>126</v>
      </c>
      <c r="E3" s="10" t="n">
        <v>45.5</v>
      </c>
      <c r="F3" s="10" t="n">
        <v>245</v>
      </c>
      <c r="G3" s="10">
        <f>C3-G3</f>
        <v/>
      </c>
    </row>
    <row r="4">
      <c r="A4" s="7" t="n">
        <v>46186</v>
      </c>
      <c r="B4" s="8" t="n">
        <v>2275</v>
      </c>
      <c r="C4" s="8" t="n">
        <v>188</v>
      </c>
      <c r="D4" s="8" t="n">
        <v>234</v>
      </c>
      <c r="E4" s="8" t="n">
        <v>84.5</v>
      </c>
      <c r="F4" s="8" t="n">
        <v>455</v>
      </c>
      <c r="G4" s="8">
        <f>C4-G4</f>
        <v/>
      </c>
    </row>
    <row r="5">
      <c r="A5" s="9" t="n">
        <v>46189</v>
      </c>
      <c r="B5" s="10" t="n">
        <v>1488</v>
      </c>
      <c r="C5" s="10" t="n">
        <v>123</v>
      </c>
      <c r="D5" s="10" t="n">
        <v>153</v>
      </c>
      <c r="E5" s="10" t="n">
        <v>55.25</v>
      </c>
      <c r="F5" s="10" t="n">
        <v>298</v>
      </c>
      <c r="G5" s="10">
        <f>C5-G5</f>
        <v/>
      </c>
    </row>
    <row r="6">
      <c r="A6" s="7" t="n">
        <v>46195</v>
      </c>
      <c r="B6" s="8" t="n">
        <v>2012</v>
      </c>
      <c r="C6" s="8" t="n">
        <v>167</v>
      </c>
      <c r="D6" s="8" t="n">
        <v>207</v>
      </c>
      <c r="E6" s="8" t="n">
        <v>74.75</v>
      </c>
      <c r="F6" s="8" t="n">
        <v>402</v>
      </c>
      <c r="G6" s="8">
        <f>C6-G6</f>
        <v/>
      </c>
    </row>
    <row r="7">
      <c r="A7" s="9" t="n">
        <v>46201</v>
      </c>
      <c r="B7" s="10" t="n">
        <v>1050</v>
      </c>
      <c r="C7" s="10" t="n">
        <v>87</v>
      </c>
      <c r="D7" s="10" t="n">
        <v>108</v>
      </c>
      <c r="E7" s="10" t="n">
        <v>39</v>
      </c>
      <c r="F7" s="10" t="n">
        <v>210</v>
      </c>
      <c r="G7" s="10">
        <f>C7-G7</f>
        <v/>
      </c>
    </row>
    <row r="8">
      <c r="A8" s="7" t="n">
        <v>46176</v>
      </c>
      <c r="B8" s="8" t="n">
        <v>2538</v>
      </c>
      <c r="C8" s="8" t="n">
        <v>210</v>
      </c>
      <c r="D8" s="8" t="n">
        <v>261</v>
      </c>
      <c r="E8" s="8" t="n">
        <v>94.25</v>
      </c>
      <c r="F8" s="8" t="n">
        <v>508</v>
      </c>
      <c r="G8" s="8">
        <f>C8-G8</f>
        <v/>
      </c>
    </row>
    <row r="9">
      <c r="A9" s="9" t="n">
        <v>46182</v>
      </c>
      <c r="B9" s="10" t="n">
        <v>1662</v>
      </c>
      <c r="C9" s="10" t="n">
        <v>138</v>
      </c>
      <c r="D9" s="10" t="n">
        <v>171</v>
      </c>
      <c r="E9" s="10" t="n">
        <v>61.75</v>
      </c>
      <c r="F9" s="10" t="n">
        <v>332</v>
      </c>
      <c r="G9" s="10">
        <f>C9-G9</f>
        <v/>
      </c>
    </row>
    <row r="10">
      <c r="A10" s="7" t="n">
        <v>46188</v>
      </c>
      <c r="B10" s="8" t="n">
        <v>2188</v>
      </c>
      <c r="C10" s="8" t="n">
        <v>181</v>
      </c>
      <c r="D10" s="8" t="n">
        <v>225</v>
      </c>
      <c r="E10" s="8" t="n">
        <v>81.25</v>
      </c>
      <c r="F10" s="8" t="n">
        <v>438</v>
      </c>
      <c r="G10" s="8">
        <f>C10-G10</f>
        <v/>
      </c>
    </row>
    <row r="11">
      <c r="A11" s="9" t="n">
        <v>46191</v>
      </c>
      <c r="B11" s="10" t="n">
        <v>1400</v>
      </c>
      <c r="C11" s="10" t="n">
        <v>116</v>
      </c>
      <c r="D11" s="10" t="n">
        <v>144</v>
      </c>
      <c r="E11" s="10" t="n">
        <v>52</v>
      </c>
      <c r="F11" s="10" t="n">
        <v>280</v>
      </c>
      <c r="G11" s="10">
        <f>C11-G11</f>
        <v/>
      </c>
    </row>
    <row r="12">
      <c r="A12" s="7" t="n">
        <v>46197</v>
      </c>
      <c r="B12" s="8" t="n">
        <v>1925</v>
      </c>
      <c r="C12" s="8" t="n">
        <v>160</v>
      </c>
      <c r="D12" s="8" t="n">
        <v>198</v>
      </c>
      <c r="E12" s="8" t="n">
        <v>71.5</v>
      </c>
      <c r="F12" s="8" t="n">
        <v>385</v>
      </c>
      <c r="G12" s="8">
        <f>C12-G12</f>
        <v/>
      </c>
    </row>
    <row r="13">
      <c r="A13" s="9" t="n">
        <v>46175</v>
      </c>
      <c r="B13" s="10" t="n">
        <v>1312</v>
      </c>
      <c r="C13" s="10" t="n">
        <v>109</v>
      </c>
      <c r="D13" s="10" t="n">
        <v>135</v>
      </c>
      <c r="E13" s="10" t="n">
        <v>48.75</v>
      </c>
      <c r="F13" s="10" t="n">
        <v>262</v>
      </c>
      <c r="G13" s="10">
        <f>C13-G13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2" t="inlineStr">
        <is>
          <t>📈  PROGRESS REPORT</t>
        </is>
      </c>
    </row>
    <row r="4">
      <c r="B4" s="3" t="inlineStr">
        <is>
          <t>Weight Loss Summary</t>
        </is>
      </c>
    </row>
    <row r="5">
      <c r="B5" s="10" t="inlineStr">
        <is>
          <t>Starting Weight</t>
        </is>
      </c>
      <c r="C5" s="23">
        <f>Weigh_In!C2</f>
        <v/>
      </c>
    </row>
    <row r="6">
      <c r="B6" s="8" t="inlineStr">
        <is>
          <t>Current Weight</t>
        </is>
      </c>
      <c r="C6" s="24">
        <f>INDEX(Weigh_In!C:C,COUNTA(Weigh_In!C:C))</f>
        <v/>
      </c>
    </row>
    <row r="7">
      <c r="B7" s="10" t="inlineStr">
        <is>
          <t>Total Lost</t>
        </is>
      </c>
      <c r="C7" s="25">
        <f>Weigh_In!C2-INDEX(Weigh_In!C:C,COUNTA(Weigh_In!C:C))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2026-07-16T21:44:39Z</dcterms:created>
  <dcterms:modified xsi:type="dcterms:W3CDTF">2026-07-16T21:44:39Z</dcterms:modified>
</cp:coreProperties>
</file>