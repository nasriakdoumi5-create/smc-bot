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Inventory" sheetId="3" state="visible" r:id="rId3"/>
    <sheet name="PPC" sheetId="4" state="visible" r:id="rId4"/>
    <sheet name="P&amp;L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31921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Amazon FBA Product Tracker</t>
        </is>
      </c>
    </row>
    <row r="3">
      <c r="A3" s="2" t="inlineStr">
        <is>
          <t>Total Revenue</t>
        </is>
      </c>
      <c r="B3" s="2" t="inlineStr">
        <is>
          <t>Total Profit</t>
        </is>
      </c>
      <c r="C3" s="2" t="inlineStr">
        <is>
          <t>Overall ACOS</t>
        </is>
      </c>
      <c r="D3" s="2" t="inlineStr">
        <is>
          <t>Avg Margin</t>
        </is>
      </c>
    </row>
    <row r="4" ht="36" customHeight="1">
      <c r="A4" s="3">
        <f>SUM(Products!D:D)</f>
        <v/>
      </c>
      <c r="B4" s="3">
        <f>SUM(Products!H:H)</f>
        <v/>
      </c>
      <c r="C4" s="3">
        <f>TEXT(SUM(PPC!C:C)/SUM(Products!D:D),"0.0%")</f>
        <v/>
      </c>
      <c r="D4" s="3">
        <f>TEXT(SUM(Products!H:H)/SUM(Products!D:D),"0.0%")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99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ASIN</t>
        </is>
      </c>
      <c r="B1" s="4" t="inlineStr">
        <is>
          <t>Product Name</t>
        </is>
      </c>
      <c r="C1" s="4" t="inlineStr">
        <is>
          <t>Units Sold</t>
        </is>
      </c>
      <c r="D1" s="4" t="inlineStr">
        <is>
          <t>Revenue $</t>
        </is>
      </c>
      <c r="E1" s="4" t="inlineStr">
        <is>
          <t>COGS $</t>
        </is>
      </c>
      <c r="F1" s="4" t="inlineStr">
        <is>
          <t>Amazon Fee $</t>
        </is>
      </c>
      <c r="G1" s="4" t="inlineStr">
        <is>
          <t>PPC Spend $</t>
        </is>
      </c>
      <c r="H1" s="4" t="inlineStr">
        <is>
          <t>Net Profit $</t>
        </is>
      </c>
    </row>
    <row r="2" ht="22" customHeight="1">
      <c r="A2" s="5" t="inlineStr">
        <is>
          <t>B09XYZ1234</t>
        </is>
      </c>
      <c r="B2" s="5" t="inlineStr">
        <is>
          <t>Kitchen Organizer Set</t>
        </is>
      </c>
      <c r="C2" s="5" t="inlineStr">
        <is>
          <t>230</t>
        </is>
      </c>
      <c r="D2" s="5" t="inlineStr">
        <is>
          <t>3450</t>
        </is>
      </c>
      <c r="E2" s="5" t="inlineStr">
        <is>
          <t>690</t>
        </is>
      </c>
      <c r="F2" s="5" t="inlineStr">
        <is>
          <t>518</t>
        </is>
      </c>
      <c r="G2" s="5" t="inlineStr">
        <is>
          <t>345</t>
        </is>
      </c>
      <c r="H2" s="6">
        <f>D2-E2-F2-G2</f>
        <v/>
      </c>
    </row>
    <row r="3" ht="22" customHeight="1">
      <c r="A3" s="5" t="inlineStr">
        <is>
          <t>B09XYZ1234</t>
        </is>
      </c>
      <c r="B3" s="5" t="inlineStr">
        <is>
          <t>Kitchen Organizer Set</t>
        </is>
      </c>
      <c r="C3" s="5" t="inlineStr">
        <is>
          <t>230</t>
        </is>
      </c>
      <c r="D3" s="5" t="inlineStr">
        <is>
          <t>3450</t>
        </is>
      </c>
      <c r="E3" s="5" t="inlineStr">
        <is>
          <t>690</t>
        </is>
      </c>
      <c r="F3" s="5" t="inlineStr">
        <is>
          <t>518</t>
        </is>
      </c>
      <c r="G3" s="5" t="inlineStr">
        <is>
          <t>345</t>
        </is>
      </c>
      <c r="H3" s="6">
        <f>D3-E3-F3-G3</f>
        <v/>
      </c>
    </row>
    <row r="4" ht="22" customHeight="1">
      <c r="A4" s="5" t="inlineStr">
        <is>
          <t>B09XYZ1234</t>
        </is>
      </c>
      <c r="B4" s="5" t="inlineStr">
        <is>
          <t>Kitchen Organizer Set</t>
        </is>
      </c>
      <c r="C4" s="5" t="inlineStr">
        <is>
          <t>230</t>
        </is>
      </c>
      <c r="D4" s="5" t="inlineStr">
        <is>
          <t>3450</t>
        </is>
      </c>
      <c r="E4" s="5" t="inlineStr">
        <is>
          <t>690</t>
        </is>
      </c>
      <c r="F4" s="5" t="inlineStr">
        <is>
          <t>518</t>
        </is>
      </c>
      <c r="G4" s="5" t="inlineStr">
        <is>
          <t>345</t>
        </is>
      </c>
      <c r="H4" s="6">
        <f>D4-E4-F4-G4</f>
        <v/>
      </c>
    </row>
    <row r="5" ht="22" customHeight="1">
      <c r="A5" s="5" t="inlineStr">
        <is>
          <t>B09XYZ1234</t>
        </is>
      </c>
      <c r="B5" s="5" t="inlineStr">
        <is>
          <t>Kitchen Organizer Set</t>
        </is>
      </c>
      <c r="C5" s="5" t="inlineStr">
        <is>
          <t>230</t>
        </is>
      </c>
      <c r="D5" s="5" t="inlineStr">
        <is>
          <t>3450</t>
        </is>
      </c>
      <c r="E5" s="5" t="inlineStr">
        <is>
          <t>690</t>
        </is>
      </c>
      <c r="F5" s="5" t="inlineStr">
        <is>
          <t>518</t>
        </is>
      </c>
      <c r="G5" s="5" t="inlineStr">
        <is>
          <t>345</t>
        </is>
      </c>
      <c r="H5" s="6">
        <f>D5-E5-F5-G5</f>
        <v/>
      </c>
    </row>
    <row r="6" ht="22" customHeight="1">
      <c r="A6" s="5" t="inlineStr">
        <is>
          <t>B09XYZ1234</t>
        </is>
      </c>
      <c r="B6" s="5" t="inlineStr">
        <is>
          <t>Kitchen Organizer Set</t>
        </is>
      </c>
      <c r="C6" s="5" t="inlineStr">
        <is>
          <t>230</t>
        </is>
      </c>
      <c r="D6" s="5" t="inlineStr">
        <is>
          <t>3450</t>
        </is>
      </c>
      <c r="E6" s="5" t="inlineStr">
        <is>
          <t>690</t>
        </is>
      </c>
      <c r="F6" s="5" t="inlineStr">
        <is>
          <t>518</t>
        </is>
      </c>
      <c r="G6" s="5" t="inlineStr">
        <is>
          <t>345</t>
        </is>
      </c>
      <c r="H6" s="6">
        <f>D6-E6-F6-G6</f>
        <v/>
      </c>
    </row>
    <row r="7" ht="22" customHeight="1">
      <c r="A7" s="5" t="inlineStr">
        <is>
          <t>B09XYZ1234</t>
        </is>
      </c>
      <c r="B7" s="5" t="inlineStr">
        <is>
          <t>Kitchen Organizer Set</t>
        </is>
      </c>
      <c r="C7" s="5" t="inlineStr">
        <is>
          <t>230</t>
        </is>
      </c>
      <c r="D7" s="5" t="inlineStr">
        <is>
          <t>3450</t>
        </is>
      </c>
      <c r="E7" s="5" t="inlineStr">
        <is>
          <t>690</t>
        </is>
      </c>
      <c r="F7" s="5" t="inlineStr">
        <is>
          <t>518</t>
        </is>
      </c>
      <c r="G7" s="5" t="inlineStr">
        <is>
          <t>345</t>
        </is>
      </c>
      <c r="H7" s="6">
        <f>D7-E7-F7-G7</f>
        <v/>
      </c>
    </row>
    <row r="8" ht="22" customHeight="1">
      <c r="A8" s="5" t="inlineStr">
        <is>
          <t>B09XYZ1234</t>
        </is>
      </c>
      <c r="B8" s="5" t="inlineStr">
        <is>
          <t>Kitchen Organizer Set</t>
        </is>
      </c>
      <c r="C8" s="5" t="inlineStr">
        <is>
          <t>230</t>
        </is>
      </c>
      <c r="D8" s="5" t="inlineStr">
        <is>
          <t>3450</t>
        </is>
      </c>
      <c r="E8" s="5" t="inlineStr">
        <is>
          <t>690</t>
        </is>
      </c>
      <c r="F8" s="5" t="inlineStr">
        <is>
          <t>518</t>
        </is>
      </c>
      <c r="G8" s="5" t="inlineStr">
        <is>
          <t>345</t>
        </is>
      </c>
      <c r="H8" s="6">
        <f>D8-E8-F8-G8</f>
        <v/>
      </c>
    </row>
    <row r="9" ht="22" customHeight="1">
      <c r="A9" s="5" t="inlineStr">
        <is>
          <t>B09XYZ1234</t>
        </is>
      </c>
      <c r="B9" s="5" t="inlineStr">
        <is>
          <t>Kitchen Organizer Set</t>
        </is>
      </c>
      <c r="C9" s="5" t="inlineStr">
        <is>
          <t>230</t>
        </is>
      </c>
      <c r="D9" s="5" t="inlineStr">
        <is>
          <t>3450</t>
        </is>
      </c>
      <c r="E9" s="5" t="inlineStr">
        <is>
          <t>690</t>
        </is>
      </c>
      <c r="F9" s="5" t="inlineStr">
        <is>
          <t>518</t>
        </is>
      </c>
      <c r="G9" s="5" t="inlineStr">
        <is>
          <t>345</t>
        </is>
      </c>
      <c r="H9" s="6">
        <f>D9-E9-F9-G9</f>
        <v/>
      </c>
    </row>
    <row r="10" ht="22" customHeight="1">
      <c r="A10" s="5" t="inlineStr">
        <is>
          <t>B09XYZ1234</t>
        </is>
      </c>
      <c r="B10" s="5" t="inlineStr">
        <is>
          <t>Kitchen Organizer Set</t>
        </is>
      </c>
      <c r="C10" s="5" t="inlineStr">
        <is>
          <t>230</t>
        </is>
      </c>
      <c r="D10" s="5" t="inlineStr">
        <is>
          <t>3450</t>
        </is>
      </c>
      <c r="E10" s="5" t="inlineStr">
        <is>
          <t>690</t>
        </is>
      </c>
      <c r="F10" s="5" t="inlineStr">
        <is>
          <t>518</t>
        </is>
      </c>
      <c r="G10" s="5" t="inlineStr">
        <is>
          <t>345</t>
        </is>
      </c>
      <c r="H10" s="6">
        <f>D10-E10-F10-G10</f>
        <v/>
      </c>
    </row>
    <row r="11" ht="22" customHeight="1">
      <c r="A11" s="5" t="inlineStr">
        <is>
          <t>B09XYZ1234</t>
        </is>
      </c>
      <c r="B11" s="5" t="inlineStr">
        <is>
          <t>Kitchen Organizer Set</t>
        </is>
      </c>
      <c r="C11" s="5" t="inlineStr">
        <is>
          <t>230</t>
        </is>
      </c>
      <c r="D11" s="5" t="inlineStr">
        <is>
          <t>3450</t>
        </is>
      </c>
      <c r="E11" s="5" t="inlineStr">
        <is>
          <t>690</t>
        </is>
      </c>
      <c r="F11" s="5" t="inlineStr">
        <is>
          <t>518</t>
        </is>
      </c>
      <c r="G11" s="5" t="inlineStr">
        <is>
          <t>345</t>
        </is>
      </c>
      <c r="H11" s="6">
        <f>D11-E11-F11-G11</f>
        <v/>
      </c>
    </row>
    <row r="12" ht="22" customHeight="1">
      <c r="A12" s="5" t="inlineStr">
        <is>
          <t>B09XYZ1234</t>
        </is>
      </c>
      <c r="B12" s="5" t="inlineStr">
        <is>
          <t>Kitchen Organizer Set</t>
        </is>
      </c>
      <c r="C12" s="5" t="inlineStr">
        <is>
          <t>230</t>
        </is>
      </c>
      <c r="D12" s="5" t="inlineStr">
        <is>
          <t>3450</t>
        </is>
      </c>
      <c r="E12" s="5" t="inlineStr">
        <is>
          <t>690</t>
        </is>
      </c>
      <c r="F12" s="5" t="inlineStr">
        <is>
          <t>518</t>
        </is>
      </c>
      <c r="G12" s="5" t="inlineStr">
        <is>
          <t>345</t>
        </is>
      </c>
      <c r="H12" s="6">
        <f>D12-E12-F12-G12</f>
        <v/>
      </c>
    </row>
    <row r="13" ht="22" customHeight="1">
      <c r="A13" s="5" t="inlineStr">
        <is>
          <t>B09XYZ1234</t>
        </is>
      </c>
      <c r="B13" s="5" t="inlineStr">
        <is>
          <t>Kitchen Organizer Set</t>
        </is>
      </c>
      <c r="C13" s="5" t="inlineStr">
        <is>
          <t>230</t>
        </is>
      </c>
      <c r="D13" s="5" t="inlineStr">
        <is>
          <t>3450</t>
        </is>
      </c>
      <c r="E13" s="5" t="inlineStr">
        <is>
          <t>690</t>
        </is>
      </c>
      <c r="F13" s="5" t="inlineStr">
        <is>
          <t>518</t>
        </is>
      </c>
      <c r="G13" s="5" t="inlineStr">
        <is>
          <t>345</t>
        </is>
      </c>
      <c r="H13" s="6">
        <f>D13-E13-F13-G13</f>
        <v/>
      </c>
    </row>
    <row r="14" ht="22" customHeight="1">
      <c r="A14" s="5" t="inlineStr">
        <is>
          <t>B09XYZ1234</t>
        </is>
      </c>
      <c r="B14" s="5" t="inlineStr">
        <is>
          <t>Kitchen Organizer Set</t>
        </is>
      </c>
      <c r="C14" s="5" t="inlineStr">
        <is>
          <t>230</t>
        </is>
      </c>
      <c r="D14" s="5" t="inlineStr">
        <is>
          <t>3450</t>
        </is>
      </c>
      <c r="E14" s="5" t="inlineStr">
        <is>
          <t>690</t>
        </is>
      </c>
      <c r="F14" s="5" t="inlineStr">
        <is>
          <t>518</t>
        </is>
      </c>
      <c r="G14" s="5" t="inlineStr">
        <is>
          <t>345</t>
        </is>
      </c>
      <c r="H14" s="6">
        <f>D14-E14-F14-G14</f>
        <v/>
      </c>
    </row>
    <row r="15" ht="22" customHeight="1">
      <c r="A15" s="5" t="inlineStr">
        <is>
          <t>B09XYZ1234</t>
        </is>
      </c>
      <c r="B15" s="5" t="inlineStr">
        <is>
          <t>Kitchen Organizer Set</t>
        </is>
      </c>
      <c r="C15" s="5" t="inlineStr">
        <is>
          <t>230</t>
        </is>
      </c>
      <c r="D15" s="5" t="inlineStr">
        <is>
          <t>3450</t>
        </is>
      </c>
      <c r="E15" s="5" t="inlineStr">
        <is>
          <t>690</t>
        </is>
      </c>
      <c r="F15" s="5" t="inlineStr">
        <is>
          <t>518</t>
        </is>
      </c>
      <c r="G15" s="5" t="inlineStr">
        <is>
          <t>345</t>
        </is>
      </c>
      <c r="H15" s="6">
        <f>D15-E15-F15-G15</f>
        <v/>
      </c>
    </row>
    <row r="16" ht="22" customHeight="1">
      <c r="A16" s="5" t="inlineStr">
        <is>
          <t>B09XYZ1234</t>
        </is>
      </c>
      <c r="B16" s="5" t="inlineStr">
        <is>
          <t>Kitchen Organizer Set</t>
        </is>
      </c>
      <c r="C16" s="5" t="inlineStr">
        <is>
          <t>230</t>
        </is>
      </c>
      <c r="D16" s="5" t="inlineStr">
        <is>
          <t>3450</t>
        </is>
      </c>
      <c r="E16" s="5" t="inlineStr">
        <is>
          <t>690</t>
        </is>
      </c>
      <c r="F16" s="5" t="inlineStr">
        <is>
          <t>518</t>
        </is>
      </c>
      <c r="G16" s="5" t="inlineStr">
        <is>
          <t>345</t>
        </is>
      </c>
      <c r="H16" s="6">
        <f>D16-E16-F16-G16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67D62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4" t="inlineStr">
        <is>
          <t>Product</t>
        </is>
      </c>
      <c r="B1" s="4" t="inlineStr">
        <is>
          <t>ASIN</t>
        </is>
      </c>
      <c r="C1" s="4" t="inlineStr">
        <is>
          <t>Units In FBA</t>
        </is>
      </c>
      <c r="D1" s="4" t="inlineStr">
        <is>
          <t>Units Ordered</t>
        </is>
      </c>
      <c r="E1" s="4" t="inlineStr">
        <is>
          <t>Reorder Point</t>
        </is>
      </c>
      <c r="F1" s="4" t="inlineStr">
        <is>
          <t>Status</t>
        </is>
      </c>
    </row>
    <row r="2" ht="22" customHeight="1">
      <c r="A2" s="5" t="inlineStr">
        <is>
          <t>Kitchen Organizer Set</t>
        </is>
      </c>
      <c r="B2" s="5" t="inlineStr">
        <is>
          <t>B09XYZ1234</t>
        </is>
      </c>
      <c r="C2" s="5" t="inlineStr">
        <is>
          <t>85</t>
        </is>
      </c>
      <c r="D2" s="5" t="inlineStr">
        <is>
          <t>200</t>
        </is>
      </c>
      <c r="E2" s="5" t="inlineStr">
        <is>
          <t>50</t>
        </is>
      </c>
      <c r="F2" s="5" t="inlineStr"/>
    </row>
    <row r="3" ht="22" customHeight="1">
      <c r="A3" s="5" t="inlineStr">
        <is>
          <t>Kitchen Organizer Set</t>
        </is>
      </c>
      <c r="B3" s="5" t="inlineStr">
        <is>
          <t>B09XYZ1234</t>
        </is>
      </c>
      <c r="C3" s="5" t="inlineStr">
        <is>
          <t>85</t>
        </is>
      </c>
      <c r="D3" s="5" t="inlineStr">
        <is>
          <t>200</t>
        </is>
      </c>
      <c r="E3" s="5" t="inlineStr">
        <is>
          <t>50</t>
        </is>
      </c>
      <c r="F3" s="5" t="inlineStr"/>
    </row>
    <row r="4" ht="22" customHeight="1">
      <c r="A4" s="5" t="inlineStr">
        <is>
          <t>Kitchen Organizer Set</t>
        </is>
      </c>
      <c r="B4" s="5" t="inlineStr">
        <is>
          <t>B09XYZ1234</t>
        </is>
      </c>
      <c r="C4" s="5" t="inlineStr">
        <is>
          <t>85</t>
        </is>
      </c>
      <c r="D4" s="5" t="inlineStr">
        <is>
          <t>200</t>
        </is>
      </c>
      <c r="E4" s="5" t="inlineStr">
        <is>
          <t>50</t>
        </is>
      </c>
      <c r="F4" s="5" t="inlineStr"/>
    </row>
    <row r="5" ht="22" customHeight="1">
      <c r="A5" s="5" t="inlineStr">
        <is>
          <t>Kitchen Organizer Set</t>
        </is>
      </c>
      <c r="B5" s="5" t="inlineStr">
        <is>
          <t>B09XYZ1234</t>
        </is>
      </c>
      <c r="C5" s="5" t="inlineStr">
        <is>
          <t>85</t>
        </is>
      </c>
      <c r="D5" s="5" t="inlineStr">
        <is>
          <t>200</t>
        </is>
      </c>
      <c r="E5" s="5" t="inlineStr">
        <is>
          <t>50</t>
        </is>
      </c>
      <c r="F5" s="5" t="inlineStr"/>
    </row>
    <row r="6" ht="22" customHeight="1">
      <c r="A6" s="5" t="inlineStr">
        <is>
          <t>Kitchen Organizer Set</t>
        </is>
      </c>
      <c r="B6" s="5" t="inlineStr">
        <is>
          <t>B09XYZ1234</t>
        </is>
      </c>
      <c r="C6" s="5" t="inlineStr">
        <is>
          <t>85</t>
        </is>
      </c>
      <c r="D6" s="5" t="inlineStr">
        <is>
          <t>200</t>
        </is>
      </c>
      <c r="E6" s="5" t="inlineStr">
        <is>
          <t>50</t>
        </is>
      </c>
      <c r="F6" s="5" t="inlineStr"/>
    </row>
    <row r="7" ht="22" customHeight="1">
      <c r="A7" s="5" t="inlineStr">
        <is>
          <t>Kitchen Organizer Set</t>
        </is>
      </c>
      <c r="B7" s="5" t="inlineStr">
        <is>
          <t>B09XYZ1234</t>
        </is>
      </c>
      <c r="C7" s="5" t="inlineStr">
        <is>
          <t>85</t>
        </is>
      </c>
      <c r="D7" s="5" t="inlineStr">
        <is>
          <t>200</t>
        </is>
      </c>
      <c r="E7" s="5" t="inlineStr">
        <is>
          <t>50</t>
        </is>
      </c>
      <c r="F7" s="5" t="inlineStr"/>
    </row>
    <row r="8" ht="22" customHeight="1">
      <c r="A8" s="5" t="inlineStr">
        <is>
          <t>Kitchen Organizer Set</t>
        </is>
      </c>
      <c r="B8" s="5" t="inlineStr">
        <is>
          <t>B09XYZ1234</t>
        </is>
      </c>
      <c r="C8" s="5" t="inlineStr">
        <is>
          <t>85</t>
        </is>
      </c>
      <c r="D8" s="5" t="inlineStr">
        <is>
          <t>200</t>
        </is>
      </c>
      <c r="E8" s="5" t="inlineStr">
        <is>
          <t>50</t>
        </is>
      </c>
      <c r="F8" s="5" t="inlineStr"/>
    </row>
    <row r="9" ht="22" customHeight="1">
      <c r="A9" s="5" t="inlineStr">
        <is>
          <t>Kitchen Organizer Set</t>
        </is>
      </c>
      <c r="B9" s="5" t="inlineStr">
        <is>
          <t>B09XYZ1234</t>
        </is>
      </c>
      <c r="C9" s="5" t="inlineStr">
        <is>
          <t>85</t>
        </is>
      </c>
      <c r="D9" s="5" t="inlineStr">
        <is>
          <t>200</t>
        </is>
      </c>
      <c r="E9" s="5" t="inlineStr">
        <is>
          <t>50</t>
        </is>
      </c>
      <c r="F9" s="5" t="inlineStr"/>
    </row>
    <row r="10" ht="22" customHeight="1">
      <c r="A10" s="5" t="inlineStr">
        <is>
          <t>Kitchen Organizer Set</t>
        </is>
      </c>
      <c r="B10" s="5" t="inlineStr">
        <is>
          <t>B09XYZ1234</t>
        </is>
      </c>
      <c r="C10" s="5" t="inlineStr">
        <is>
          <t>85</t>
        </is>
      </c>
      <c r="D10" s="5" t="inlineStr">
        <is>
          <t>200</t>
        </is>
      </c>
      <c r="E10" s="5" t="inlineStr">
        <is>
          <t>50</t>
        </is>
      </c>
      <c r="F10" s="5" t="inlineStr"/>
    </row>
    <row r="11" ht="22" customHeight="1">
      <c r="A11" s="5" t="inlineStr">
        <is>
          <t>Kitchen Organizer Set</t>
        </is>
      </c>
      <c r="B11" s="5" t="inlineStr">
        <is>
          <t>B09XYZ1234</t>
        </is>
      </c>
      <c r="C11" s="5" t="inlineStr">
        <is>
          <t>85</t>
        </is>
      </c>
      <c r="D11" s="5" t="inlineStr">
        <is>
          <t>200</t>
        </is>
      </c>
      <c r="E11" s="5" t="inlineStr">
        <is>
          <t>50</t>
        </is>
      </c>
      <c r="F11" s="5" t="inlineStr"/>
    </row>
    <row r="12" ht="22" customHeight="1">
      <c r="A12" s="5" t="inlineStr">
        <is>
          <t>Kitchen Organizer Set</t>
        </is>
      </c>
      <c r="B12" s="5" t="inlineStr">
        <is>
          <t>B09XYZ1234</t>
        </is>
      </c>
      <c r="C12" s="5" t="inlineStr">
        <is>
          <t>85</t>
        </is>
      </c>
      <c r="D12" s="5" t="inlineStr">
        <is>
          <t>200</t>
        </is>
      </c>
      <c r="E12" s="5" t="inlineStr">
        <is>
          <t>50</t>
        </is>
      </c>
      <c r="F12" s="5" t="inlineStr"/>
    </row>
    <row r="13" ht="22" customHeight="1">
      <c r="A13" s="5" t="inlineStr">
        <is>
          <t>Kitchen Organizer Set</t>
        </is>
      </c>
      <c r="B13" s="5" t="inlineStr">
        <is>
          <t>B09XYZ1234</t>
        </is>
      </c>
      <c r="C13" s="5" t="inlineStr">
        <is>
          <t>85</t>
        </is>
      </c>
      <c r="D13" s="5" t="inlineStr">
        <is>
          <t>200</t>
        </is>
      </c>
      <c r="E13" s="5" t="inlineStr">
        <is>
          <t>50</t>
        </is>
      </c>
      <c r="F13" s="5" t="inlineStr"/>
    </row>
    <row r="14" ht="22" customHeight="1">
      <c r="A14" s="5" t="inlineStr">
        <is>
          <t>Kitchen Organizer Set</t>
        </is>
      </c>
      <c r="B14" s="5" t="inlineStr">
        <is>
          <t>B09XYZ1234</t>
        </is>
      </c>
      <c r="C14" s="5" t="inlineStr">
        <is>
          <t>85</t>
        </is>
      </c>
      <c r="D14" s="5" t="inlineStr">
        <is>
          <t>200</t>
        </is>
      </c>
      <c r="E14" s="5" t="inlineStr">
        <is>
          <t>50</t>
        </is>
      </c>
      <c r="F14" s="5" t="inlineStr"/>
    </row>
    <row r="15" ht="22" customHeight="1">
      <c r="A15" s="5" t="inlineStr">
        <is>
          <t>Kitchen Organizer Set</t>
        </is>
      </c>
      <c r="B15" s="5" t="inlineStr">
        <is>
          <t>B09XYZ1234</t>
        </is>
      </c>
      <c r="C15" s="5" t="inlineStr">
        <is>
          <t>85</t>
        </is>
      </c>
      <c r="D15" s="5" t="inlineStr">
        <is>
          <t>200</t>
        </is>
      </c>
      <c r="E15" s="5" t="inlineStr">
        <is>
          <t>50</t>
        </is>
      </c>
      <c r="F15" s="5" t="inlineStr"/>
    </row>
    <row r="16" ht="22" customHeight="1">
      <c r="A16" s="5" t="inlineStr">
        <is>
          <t>Kitchen Organizer Set</t>
        </is>
      </c>
      <c r="B16" s="5" t="inlineStr">
        <is>
          <t>B09XYZ1234</t>
        </is>
      </c>
      <c r="C16" s="5" t="inlineStr">
        <is>
          <t>85</t>
        </is>
      </c>
      <c r="D16" s="5" t="inlineStr">
        <is>
          <t>200</t>
        </is>
      </c>
      <c r="E16" s="5" t="inlineStr">
        <is>
          <t>50</t>
        </is>
      </c>
      <c r="F16" s="5" t="inlineStr"/>
    </row>
  </sheetData>
  <dataValidations count="1">
    <dataValidation sqref="F2 F3 F4 F5 F6 F7 F8 F9 F10 F11 F12 F13 F14 F15 F16" showDropDown="0" showInputMessage="0" showErrorMessage="0" allowBlank="1" type="list">
      <formula1>"In Stock","Low Stock","Ordered","Out of Stock","Discontinued"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C0C39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4" t="inlineStr">
        <is>
          <t>Campaign</t>
        </is>
      </c>
      <c r="B1" s="4" t="inlineStr">
        <is>
          <t>Product</t>
        </is>
      </c>
      <c r="C1" s="4" t="inlineStr">
        <is>
          <t>Spend $</t>
        </is>
      </c>
      <c r="D1" s="4" t="inlineStr">
        <is>
          <t>PPC Sales $</t>
        </is>
      </c>
      <c r="E1" s="4" t="inlineStr">
        <is>
          <t>ACOS %</t>
        </is>
      </c>
      <c r="F1" s="4" t="inlineStr">
        <is>
          <t>ROAS</t>
        </is>
      </c>
      <c r="G1" s="4" t="inlineStr">
        <is>
          <t>Status</t>
        </is>
      </c>
    </row>
    <row r="2" ht="22" customHeight="1">
      <c r="A2" s="5" t="inlineStr">
        <is>
          <t>Kitchen Set - Auto</t>
        </is>
      </c>
      <c r="B2" s="5" t="inlineStr">
        <is>
          <t>Kitchen Organizer Set</t>
        </is>
      </c>
      <c r="C2" s="5" t="inlineStr">
        <is>
          <t>345</t>
        </is>
      </c>
      <c r="D2" s="5" t="inlineStr">
        <is>
          <t>1150</t>
        </is>
      </c>
      <c r="E2" s="6">
        <f>TEXT(C2/D2,"0.0%")</f>
        <v/>
      </c>
      <c r="F2" s="6">
        <f>D2/C2</f>
        <v/>
      </c>
      <c r="G2" s="5" t="inlineStr"/>
    </row>
    <row r="3" ht="22" customHeight="1">
      <c r="A3" s="5" t="inlineStr">
        <is>
          <t>Kitchen Set - Auto</t>
        </is>
      </c>
      <c r="B3" s="5" t="inlineStr">
        <is>
          <t>Kitchen Organizer Set</t>
        </is>
      </c>
      <c r="C3" s="5" t="inlineStr">
        <is>
          <t>345</t>
        </is>
      </c>
      <c r="D3" s="5" t="inlineStr">
        <is>
          <t>1150</t>
        </is>
      </c>
      <c r="E3" s="6">
        <f>TEXT(C3/D3,"0.0%")</f>
        <v/>
      </c>
      <c r="F3" s="6">
        <f>D3/C3</f>
        <v/>
      </c>
      <c r="G3" s="5" t="inlineStr"/>
    </row>
    <row r="4" ht="22" customHeight="1">
      <c r="A4" s="5" t="inlineStr">
        <is>
          <t>Kitchen Set - Auto</t>
        </is>
      </c>
      <c r="B4" s="5" t="inlineStr">
        <is>
          <t>Kitchen Organizer Set</t>
        </is>
      </c>
      <c r="C4" s="5" t="inlineStr">
        <is>
          <t>345</t>
        </is>
      </c>
      <c r="D4" s="5" t="inlineStr">
        <is>
          <t>1150</t>
        </is>
      </c>
      <c r="E4" s="6">
        <f>TEXT(C4/D4,"0.0%")</f>
        <v/>
      </c>
      <c r="F4" s="6">
        <f>D4/C4</f>
        <v/>
      </c>
      <c r="G4" s="5" t="inlineStr"/>
    </row>
    <row r="5" ht="22" customHeight="1">
      <c r="A5" s="5" t="inlineStr">
        <is>
          <t>Kitchen Set - Auto</t>
        </is>
      </c>
      <c r="B5" s="5" t="inlineStr">
        <is>
          <t>Kitchen Organizer Set</t>
        </is>
      </c>
      <c r="C5" s="5" t="inlineStr">
        <is>
          <t>345</t>
        </is>
      </c>
      <c r="D5" s="5" t="inlineStr">
        <is>
          <t>1150</t>
        </is>
      </c>
      <c r="E5" s="6">
        <f>TEXT(C5/D5,"0.0%")</f>
        <v/>
      </c>
      <c r="F5" s="6">
        <f>D5/C5</f>
        <v/>
      </c>
      <c r="G5" s="5" t="inlineStr"/>
    </row>
    <row r="6" ht="22" customHeight="1">
      <c r="A6" s="5" t="inlineStr">
        <is>
          <t>Kitchen Set - Auto</t>
        </is>
      </c>
      <c r="B6" s="5" t="inlineStr">
        <is>
          <t>Kitchen Organizer Set</t>
        </is>
      </c>
      <c r="C6" s="5" t="inlineStr">
        <is>
          <t>345</t>
        </is>
      </c>
      <c r="D6" s="5" t="inlineStr">
        <is>
          <t>1150</t>
        </is>
      </c>
      <c r="E6" s="6">
        <f>TEXT(C6/D6,"0.0%")</f>
        <v/>
      </c>
      <c r="F6" s="6">
        <f>D6/C6</f>
        <v/>
      </c>
      <c r="G6" s="5" t="inlineStr"/>
    </row>
    <row r="7" ht="22" customHeight="1">
      <c r="A7" s="5" t="inlineStr">
        <is>
          <t>Kitchen Set - Auto</t>
        </is>
      </c>
      <c r="B7" s="5" t="inlineStr">
        <is>
          <t>Kitchen Organizer Set</t>
        </is>
      </c>
      <c r="C7" s="5" t="inlineStr">
        <is>
          <t>345</t>
        </is>
      </c>
      <c r="D7" s="5" t="inlineStr">
        <is>
          <t>1150</t>
        </is>
      </c>
      <c r="E7" s="6">
        <f>TEXT(C7/D7,"0.0%")</f>
        <v/>
      </c>
      <c r="F7" s="6">
        <f>D7/C7</f>
        <v/>
      </c>
      <c r="G7" s="5" t="inlineStr"/>
    </row>
    <row r="8" ht="22" customHeight="1">
      <c r="A8" s="5" t="inlineStr">
        <is>
          <t>Kitchen Set - Auto</t>
        </is>
      </c>
      <c r="B8" s="5" t="inlineStr">
        <is>
          <t>Kitchen Organizer Set</t>
        </is>
      </c>
      <c r="C8" s="5" t="inlineStr">
        <is>
          <t>345</t>
        </is>
      </c>
      <c r="D8" s="5" t="inlineStr">
        <is>
          <t>1150</t>
        </is>
      </c>
      <c r="E8" s="6">
        <f>TEXT(C8/D8,"0.0%")</f>
        <v/>
      </c>
      <c r="F8" s="6">
        <f>D8/C8</f>
        <v/>
      </c>
      <c r="G8" s="5" t="inlineStr"/>
    </row>
    <row r="9" ht="22" customHeight="1">
      <c r="A9" s="5" t="inlineStr">
        <is>
          <t>Kitchen Set - Auto</t>
        </is>
      </c>
      <c r="B9" s="5" t="inlineStr">
        <is>
          <t>Kitchen Organizer Set</t>
        </is>
      </c>
      <c r="C9" s="5" t="inlineStr">
        <is>
          <t>345</t>
        </is>
      </c>
      <c r="D9" s="5" t="inlineStr">
        <is>
          <t>1150</t>
        </is>
      </c>
      <c r="E9" s="6">
        <f>TEXT(C9/D9,"0.0%")</f>
        <v/>
      </c>
      <c r="F9" s="6">
        <f>D9/C9</f>
        <v/>
      </c>
      <c r="G9" s="5" t="inlineStr"/>
    </row>
    <row r="10" ht="22" customHeight="1">
      <c r="A10" s="5" t="inlineStr">
        <is>
          <t>Kitchen Set - Auto</t>
        </is>
      </c>
      <c r="B10" s="5" t="inlineStr">
        <is>
          <t>Kitchen Organizer Set</t>
        </is>
      </c>
      <c r="C10" s="5" t="inlineStr">
        <is>
          <t>345</t>
        </is>
      </c>
      <c r="D10" s="5" t="inlineStr">
        <is>
          <t>1150</t>
        </is>
      </c>
      <c r="E10" s="6">
        <f>TEXT(C10/D10,"0.0%")</f>
        <v/>
      </c>
      <c r="F10" s="6">
        <f>D10/C10</f>
        <v/>
      </c>
      <c r="G10" s="5" t="inlineStr"/>
    </row>
    <row r="11" ht="22" customHeight="1">
      <c r="A11" s="5" t="inlineStr">
        <is>
          <t>Kitchen Set - Auto</t>
        </is>
      </c>
      <c r="B11" s="5" t="inlineStr">
        <is>
          <t>Kitchen Organizer Set</t>
        </is>
      </c>
      <c r="C11" s="5" t="inlineStr">
        <is>
          <t>345</t>
        </is>
      </c>
      <c r="D11" s="5" t="inlineStr">
        <is>
          <t>1150</t>
        </is>
      </c>
      <c r="E11" s="6">
        <f>TEXT(C11/D11,"0.0%")</f>
        <v/>
      </c>
      <c r="F11" s="6">
        <f>D11/C11</f>
        <v/>
      </c>
      <c r="G11" s="5" t="inlineStr"/>
    </row>
  </sheetData>
  <dataValidations count="1">
    <dataValidation sqref="G2 G3 G4 G5 G6 G7 G8 G9 G10 G11" showDropDown="0" showInputMessage="0" showErrorMessage="0" allowBlank="1" type="list">
      <formula1>"Active","Paused","Testing","Ended"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31921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FBA Business Summary</t>
        </is>
      </c>
    </row>
    <row r="4">
      <c r="A4" s="9" t="inlineStr">
        <is>
          <t>Total Revenue</t>
        </is>
      </c>
      <c r="B4" s="6">
        <f>SUM(Products!D:D)</f>
        <v/>
      </c>
    </row>
    <row r="5">
      <c r="A5" s="9" t="inlineStr">
        <is>
          <t>Total COGS</t>
        </is>
      </c>
      <c r="B5" s="6">
        <f>SUM(Products!E:E)</f>
        <v/>
      </c>
    </row>
    <row r="6">
      <c r="A6" s="9" t="inlineStr">
        <is>
          <t>Net Profit</t>
        </is>
      </c>
      <c r="B6" s="6">
        <f>SUM(Products!H:H)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2026-06-16T07:19:24Z</dcterms:created>
  <dcterms:modified xsi:type="dcterms:W3CDTF">2026-06-16T07:19:24Z</dcterms:modified>
</cp:coreProperties>
</file>