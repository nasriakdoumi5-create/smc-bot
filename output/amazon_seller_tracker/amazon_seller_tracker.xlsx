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roducts" sheetId="2" state="visible" r:id="rId2"/>
    <sheet name="Dashboard" sheetId="3" state="visible" r:id="rId3"/>
    <sheet name="Inventory" sheetId="4" state="visible" r:id="rId4"/>
    <sheet name="PPC" sheetId="5" state="visible" r:id="rId5"/>
    <sheet name="P&amp;L 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FF9900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31921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31921"/>
      </patternFill>
    </fill>
    <fill>
      <patternFill patternType="solid">
        <fgColor rgb="00FFF7F0"/>
      </patternFill>
    </fill>
    <fill>
      <patternFill patternType="solid">
        <fgColor rgb="00FF9900"/>
      </patternFill>
    </fill>
    <fill>
      <patternFill patternType="solid">
        <fgColor rgb="00067D62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📦  AMAZON FBA PRODUCT TRACKER</t>
        </is>
      </c>
    </row>
    <row r="3"/>
    <row r="4">
      <c r="B4" s="2" t="inlineStr">
        <is>
          <t>Amazon Seller Revenue, Inventory &amp; PPC Google Sheets</t>
        </is>
      </c>
    </row>
    <row r="6">
      <c r="B6" s="3" t="inlineStr">
        <is>
          <t>STEP 1 — Fill in “Products”</t>
        </is>
      </c>
    </row>
    <row r="7" ht="28" customHeight="1">
      <c r="B7" s="4" t="inlineStr">
        <is>
          <t>All ASIN performance: revenue, costs, fees, and net profit.</t>
        </is>
      </c>
    </row>
    <row r="9">
      <c r="B9" s="3" t="inlineStr">
        <is>
          <t>STEP 2 — Fill in “Inventory”</t>
        </is>
      </c>
    </row>
    <row r="10" ht="28" customHeight="1">
      <c r="B10" s="4" t="inlineStr">
        <is>
          <t>Inventory levels, reorder points, and supplier info.</t>
        </is>
      </c>
    </row>
    <row r="12">
      <c r="B12" s="3" t="inlineStr">
        <is>
          <t>STEP 3 — Fill in “PPC”</t>
        </is>
      </c>
    </row>
    <row r="13" ht="28" customHeight="1">
      <c r="B13" s="4" t="inlineStr">
        <is>
          <t>PPC campaign performance: spend, sales, and ACOS.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ASIN</t>
        </is>
      </c>
      <c r="B1" s="6" t="inlineStr">
        <is>
          <t>Product Name</t>
        </is>
      </c>
      <c r="C1" s="6" t="inlineStr">
        <is>
          <t>Units Sold</t>
        </is>
      </c>
      <c r="D1" s="6" t="inlineStr">
        <is>
          <t>Revenue $</t>
        </is>
      </c>
      <c r="E1" s="6" t="inlineStr">
        <is>
          <t>COGS $</t>
        </is>
      </c>
      <c r="F1" s="6" t="inlineStr">
        <is>
          <t>Amazon Fee $</t>
        </is>
      </c>
      <c r="G1" s="6" t="inlineStr">
        <is>
          <t>PPC Spend $</t>
        </is>
      </c>
      <c r="H1" s="6" t="inlineStr">
        <is>
          <t>Net Profit $</t>
        </is>
      </c>
    </row>
    <row r="2">
      <c r="A2" s="7" t="inlineStr">
        <is>
          <t>B09XYZ1234</t>
        </is>
      </c>
      <c r="B2" s="7" t="inlineStr">
        <is>
          <t>Alex Martin</t>
        </is>
      </c>
      <c r="C2" s="7" t="n">
        <v>230</v>
      </c>
      <c r="D2" s="8" t="n">
        <v>3450</v>
      </c>
      <c r="E2" s="7" t="n">
        <v>690</v>
      </c>
      <c r="F2" s="8" t="n">
        <v>518</v>
      </c>
      <c r="G2" s="7" t="n">
        <v>345</v>
      </c>
      <c r="H2" s="7">
        <f>D2-E2-F2-G2</f>
        <v/>
      </c>
    </row>
    <row r="3">
      <c r="A3" s="9" t="inlineStr">
        <is>
          <t>B09XYZ1235</t>
        </is>
      </c>
      <c r="B3" s="9" t="inlineStr">
        <is>
          <t>Sara Lopez</t>
        </is>
      </c>
      <c r="C3" s="9" t="n">
        <v>161</v>
      </c>
      <c r="D3" s="10" t="n">
        <v>2415</v>
      </c>
      <c r="E3" s="9" t="n">
        <v>483</v>
      </c>
      <c r="F3" s="10" t="n">
        <v>363</v>
      </c>
      <c r="G3" s="9" t="n">
        <v>241</v>
      </c>
      <c r="H3" s="9">
        <f>D3-E3-F3-G3</f>
        <v/>
      </c>
    </row>
    <row r="4">
      <c r="A4" s="7" t="inlineStr">
        <is>
          <t>B09XYZ1236</t>
        </is>
      </c>
      <c r="B4" s="7" t="inlineStr">
        <is>
          <t>Omar Haddad</t>
        </is>
      </c>
      <c r="C4" s="7" t="n">
        <v>299</v>
      </c>
      <c r="D4" s="8" t="n">
        <v>4485</v>
      </c>
      <c r="E4" s="7" t="n">
        <v>897</v>
      </c>
      <c r="F4" s="8" t="n">
        <v>673</v>
      </c>
      <c r="G4" s="7" t="n">
        <v>448</v>
      </c>
      <c r="H4" s="7">
        <f>D4-E4-F4-G4</f>
        <v/>
      </c>
    </row>
    <row r="5">
      <c r="A5" s="9" t="inlineStr">
        <is>
          <t>B09XYZ1237</t>
        </is>
      </c>
      <c r="B5" s="9" t="inlineStr">
        <is>
          <t>Emma Fischer</t>
        </is>
      </c>
      <c r="C5" s="9" t="n">
        <v>196</v>
      </c>
      <c r="D5" s="10" t="n">
        <v>2932</v>
      </c>
      <c r="E5" s="9" t="n">
        <v>586</v>
      </c>
      <c r="F5" s="10" t="n">
        <v>440</v>
      </c>
      <c r="G5" s="9" t="n">
        <v>293</v>
      </c>
      <c r="H5" s="9">
        <f>D5-E5-F5-G5</f>
        <v/>
      </c>
    </row>
    <row r="6">
      <c r="A6" s="7" t="inlineStr">
        <is>
          <t>B09XYZ1238</t>
        </is>
      </c>
      <c r="B6" s="7" t="inlineStr">
        <is>
          <t>Liam Carter</t>
        </is>
      </c>
      <c r="C6" s="7" t="n">
        <v>264</v>
      </c>
      <c r="D6" s="8" t="n">
        <v>3967</v>
      </c>
      <c r="E6" s="7" t="n">
        <v>793</v>
      </c>
      <c r="F6" s="8" t="n">
        <v>596</v>
      </c>
      <c r="G6" s="7" t="n">
        <v>397</v>
      </c>
      <c r="H6" s="7">
        <f>D6-E6-F6-G6</f>
        <v/>
      </c>
    </row>
    <row r="7">
      <c r="A7" s="9" t="inlineStr">
        <is>
          <t>B09XYZ1239</t>
        </is>
      </c>
      <c r="B7" s="9" t="inlineStr">
        <is>
          <t>Nadia Rahali</t>
        </is>
      </c>
      <c r="C7" s="9" t="n">
        <v>138</v>
      </c>
      <c r="D7" s="10" t="n">
        <v>2070</v>
      </c>
      <c r="E7" s="9" t="n">
        <v>414</v>
      </c>
      <c r="F7" s="10" t="n">
        <v>311</v>
      </c>
      <c r="G7" s="9" t="n">
        <v>207</v>
      </c>
      <c r="H7" s="9">
        <f>D7-E7-F7-G7</f>
        <v/>
      </c>
    </row>
    <row r="8">
      <c r="A8" s="7" t="inlineStr">
        <is>
          <t>B09XYZ1240</t>
        </is>
      </c>
      <c r="B8" s="7" t="inlineStr">
        <is>
          <t>Tom Becker</t>
        </is>
      </c>
      <c r="C8" s="7" t="n">
        <v>334</v>
      </c>
      <c r="D8" s="8" t="n">
        <v>5002</v>
      </c>
      <c r="E8" s="7" t="n">
        <v>1000</v>
      </c>
      <c r="F8" s="8" t="n">
        <v>751</v>
      </c>
      <c r="G8" s="7" t="n">
        <v>500</v>
      </c>
      <c r="H8" s="7">
        <f>D8-E8-F8-G8</f>
        <v/>
      </c>
    </row>
    <row r="9">
      <c r="A9" s="9" t="inlineStr">
        <is>
          <t>B09XYZ1241</t>
        </is>
      </c>
      <c r="B9" s="9" t="inlineStr">
        <is>
          <t>Julia Romero</t>
        </is>
      </c>
      <c r="C9" s="9" t="n">
        <v>218</v>
      </c>
      <c r="D9" s="10" t="n">
        <v>3278</v>
      </c>
      <c r="E9" s="9" t="n">
        <v>656</v>
      </c>
      <c r="F9" s="10" t="n">
        <v>492</v>
      </c>
      <c r="G9" s="9" t="n">
        <v>328</v>
      </c>
      <c r="H9" s="9">
        <f>D9-E9-F9-G9</f>
        <v/>
      </c>
    </row>
    <row r="10">
      <c r="A10" s="7" t="inlineStr">
        <is>
          <t>B09XYZ1242</t>
        </is>
      </c>
      <c r="B10" s="7" t="inlineStr">
        <is>
          <t>Karim Ziani</t>
        </is>
      </c>
      <c r="C10" s="7" t="n">
        <v>288</v>
      </c>
      <c r="D10" s="8" t="n">
        <v>4312</v>
      </c>
      <c r="E10" s="7" t="n">
        <v>862</v>
      </c>
      <c r="F10" s="8" t="n">
        <v>648</v>
      </c>
      <c r="G10" s="7" t="n">
        <v>431</v>
      </c>
      <c r="H10" s="7">
        <f>D10-E10-F10-G10</f>
        <v/>
      </c>
    </row>
    <row r="11">
      <c r="A11" s="9" t="inlineStr">
        <is>
          <t>B09XYZ1243</t>
        </is>
      </c>
      <c r="B11" s="9" t="inlineStr">
        <is>
          <t>Anna Kowalska</t>
        </is>
      </c>
      <c r="C11" s="9" t="n">
        <v>184</v>
      </c>
      <c r="D11" s="10" t="n">
        <v>2760</v>
      </c>
      <c r="E11" s="9" t="n">
        <v>552</v>
      </c>
      <c r="F11" s="10" t="n">
        <v>414</v>
      </c>
      <c r="G11" s="9" t="n">
        <v>276</v>
      </c>
      <c r="H11" s="9">
        <f>D11-E11-F11-G11</f>
        <v/>
      </c>
    </row>
    <row r="12">
      <c r="A12" s="7" t="inlineStr">
        <is>
          <t>B09XYZ1244</t>
        </is>
      </c>
      <c r="B12" s="7" t="inlineStr">
        <is>
          <t>David Chen</t>
        </is>
      </c>
      <c r="C12" s="7" t="n">
        <v>253</v>
      </c>
      <c r="D12" s="8" t="n">
        <v>3795</v>
      </c>
      <c r="E12" s="7" t="n">
        <v>759</v>
      </c>
      <c r="F12" s="8" t="n">
        <v>570</v>
      </c>
      <c r="G12" s="7" t="n">
        <v>380</v>
      </c>
      <c r="H12" s="7">
        <f>D12-E12-F12-G12</f>
        <v/>
      </c>
    </row>
    <row r="13">
      <c r="A13" s="9" t="inlineStr">
        <is>
          <t>B09XYZ1245</t>
        </is>
      </c>
      <c r="B13" s="9" t="inlineStr">
        <is>
          <t>Lea Moreau</t>
        </is>
      </c>
      <c r="C13" s="9" t="n">
        <v>172</v>
      </c>
      <c r="D13" s="10" t="n">
        <v>2588</v>
      </c>
      <c r="E13" s="9" t="n">
        <v>518</v>
      </c>
      <c r="F13" s="10" t="n">
        <v>388</v>
      </c>
      <c r="G13" s="9" t="n">
        <v>259</v>
      </c>
      <c r="H13" s="9">
        <f>D13-E13-F13-G13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AMAZON FBA PRODUCT TRACKER — DASHBOARD</t>
        </is>
      </c>
    </row>
    <row r="4">
      <c r="B4" s="12" t="inlineStr">
        <is>
          <t>TOTAL REVENUE</t>
        </is>
      </c>
      <c r="D4" s="13" t="inlineStr">
        <is>
          <t>TOTAL PROFIT</t>
        </is>
      </c>
      <c r="F4" s="14" t="inlineStr">
        <is>
          <t>OVERALL ACOS</t>
        </is>
      </c>
      <c r="H4" s="15" t="inlineStr">
        <is>
          <t>AVG MARGIN</t>
        </is>
      </c>
    </row>
    <row r="5" ht="26" customHeight="1">
      <c r="B5" s="16">
        <f>SUM(Products!D:D)</f>
        <v/>
      </c>
      <c r="D5" s="17">
        <f>SUM(Products!H:H)</f>
        <v/>
      </c>
      <c r="F5" s="18">
        <f>TEXT(SUM(PPC!C:C)/SUM(Products!D:D),"0.0%")</f>
        <v/>
      </c>
      <c r="H5" s="19">
        <f>TEXT(SUM(Products!H:H)/SUM(Products!D:D),"0.0%")</f>
        <v/>
      </c>
    </row>
    <row r="8">
      <c r="B8" s="20" t="inlineStr">
        <is>
          <t>WHAT'S INSIDE</t>
        </is>
      </c>
    </row>
    <row r="9">
      <c r="B9" s="21" t="inlineStr">
        <is>
          <t>🏷️  Products — All ASIN performance: revenue, costs, fees, and net profit.</t>
        </is>
      </c>
    </row>
    <row r="10">
      <c r="B10" s="21" t="inlineStr">
        <is>
          <t>📋  Inventory — Inventory levels, reorder points, and supplier info.</t>
        </is>
      </c>
    </row>
    <row r="11">
      <c r="B11" s="21" t="inlineStr">
        <is>
          <t>📢  PPC — PPC campaign performance: spend, sales, and ACOS.</t>
        </is>
      </c>
    </row>
    <row r="12">
      <c r="B12" s="21" t="inlineStr">
        <is>
          <t>📊  P&amp;L Report — Monthly profit and loss summary for FBA business.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" t="inlineStr">
        <is>
          <t>Product</t>
        </is>
      </c>
      <c r="B1" s="6" t="inlineStr">
        <is>
          <t>ASIN</t>
        </is>
      </c>
      <c r="C1" s="6" t="inlineStr">
        <is>
          <t>Units In FBA</t>
        </is>
      </c>
      <c r="D1" s="6" t="inlineStr">
        <is>
          <t>Units Ordered</t>
        </is>
      </c>
      <c r="E1" s="6" t="inlineStr">
        <is>
          <t>Reorder Point</t>
        </is>
      </c>
      <c r="F1" s="6" t="inlineStr">
        <is>
          <t>Status</t>
        </is>
      </c>
    </row>
    <row r="2">
      <c r="A2" s="7" t="inlineStr">
        <is>
          <t>Kitchen Organizer Set</t>
        </is>
      </c>
      <c r="B2" s="7" t="inlineStr">
        <is>
          <t>B09XYZ1234</t>
        </is>
      </c>
      <c r="C2" s="7" t="n">
        <v>85</v>
      </c>
      <c r="D2" s="7" t="n">
        <v>200</v>
      </c>
      <c r="E2" s="7" t="n">
        <v>50</v>
      </c>
      <c r="F2" s="7" t="inlineStr">
        <is>
          <t>In Stock</t>
        </is>
      </c>
    </row>
    <row r="3">
      <c r="A3" s="9" t="inlineStr">
        <is>
          <t>Kitchen Organizer Set</t>
        </is>
      </c>
      <c r="B3" s="9" t="inlineStr">
        <is>
          <t>B09XYZ1235</t>
        </is>
      </c>
      <c r="C3" s="9" t="n">
        <v>59.5</v>
      </c>
      <c r="D3" s="9" t="n">
        <v>140</v>
      </c>
      <c r="E3" s="9" t="n">
        <v>35</v>
      </c>
      <c r="F3" s="9" t="inlineStr">
        <is>
          <t>Low Stock</t>
        </is>
      </c>
    </row>
    <row r="4">
      <c r="A4" s="7" t="inlineStr"/>
      <c r="B4" s="7" t="inlineStr">
        <is>
          <t>B09XYZ1236</t>
        </is>
      </c>
      <c r="C4" s="7" t="n">
        <v>110.5</v>
      </c>
      <c r="D4" s="7" t="n">
        <v>260</v>
      </c>
      <c r="E4" s="7" t="n">
        <v>65</v>
      </c>
      <c r="F4" s="7" t="inlineStr">
        <is>
          <t>Ordered</t>
        </is>
      </c>
    </row>
    <row r="5">
      <c r="A5" s="9" t="inlineStr">
        <is>
          <t>Kitchen Organizer Set</t>
        </is>
      </c>
      <c r="B5" s="9" t="inlineStr">
        <is>
          <t>B09XYZ1237</t>
        </is>
      </c>
      <c r="C5" s="9" t="n">
        <v>72.25</v>
      </c>
      <c r="D5" s="9" t="n">
        <v>170</v>
      </c>
      <c r="E5" s="9" t="n">
        <v>42.5</v>
      </c>
      <c r="F5" s="9" t="inlineStr">
        <is>
          <t>Out of Stock</t>
        </is>
      </c>
    </row>
    <row r="6">
      <c r="A6" s="7" t="inlineStr">
        <is>
          <t>Kitchen Organizer Set</t>
        </is>
      </c>
      <c r="B6" s="7" t="inlineStr">
        <is>
          <t>B09XYZ1238</t>
        </is>
      </c>
      <c r="C6" s="7" t="n">
        <v>97.75</v>
      </c>
      <c r="D6" s="7" t="n">
        <v>230</v>
      </c>
      <c r="E6" s="7" t="n">
        <v>57.5</v>
      </c>
      <c r="F6" s="7" t="inlineStr">
        <is>
          <t>Discontinued</t>
        </is>
      </c>
    </row>
    <row r="7">
      <c r="A7" s="9" t="inlineStr"/>
      <c r="B7" s="9" t="inlineStr">
        <is>
          <t>B09XYZ1239</t>
        </is>
      </c>
      <c r="C7" s="9" t="n">
        <v>51</v>
      </c>
      <c r="D7" s="9" t="n">
        <v>120</v>
      </c>
      <c r="E7" s="9" t="n">
        <v>30</v>
      </c>
      <c r="F7" s="9" t="inlineStr">
        <is>
          <t>In Stock</t>
        </is>
      </c>
    </row>
    <row r="8">
      <c r="A8" s="7" t="inlineStr">
        <is>
          <t>Kitchen Organizer Set</t>
        </is>
      </c>
      <c r="B8" s="7" t="inlineStr">
        <is>
          <t>B09XYZ1240</t>
        </is>
      </c>
      <c r="C8" s="7" t="n">
        <v>123.25</v>
      </c>
      <c r="D8" s="7" t="n">
        <v>290</v>
      </c>
      <c r="E8" s="7" t="n">
        <v>72.5</v>
      </c>
      <c r="F8" s="7" t="inlineStr">
        <is>
          <t>Low Stock</t>
        </is>
      </c>
    </row>
    <row r="9">
      <c r="A9" s="9" t="inlineStr">
        <is>
          <t>Kitchen Organizer Set</t>
        </is>
      </c>
      <c r="B9" s="9" t="inlineStr">
        <is>
          <t>B09XYZ1241</t>
        </is>
      </c>
      <c r="C9" s="9" t="n">
        <v>80.75</v>
      </c>
      <c r="D9" s="9" t="n">
        <v>190</v>
      </c>
      <c r="E9" s="9" t="n">
        <v>47.5</v>
      </c>
      <c r="F9" s="9" t="inlineStr">
        <is>
          <t>Ordered</t>
        </is>
      </c>
    </row>
    <row r="10">
      <c r="A10" s="7" t="inlineStr"/>
      <c r="B10" s="7" t="inlineStr">
        <is>
          <t>B09XYZ1242</t>
        </is>
      </c>
      <c r="C10" s="7" t="n">
        <v>106.25</v>
      </c>
      <c r="D10" s="7" t="n">
        <v>250</v>
      </c>
      <c r="E10" s="7" t="n">
        <v>62.5</v>
      </c>
      <c r="F10" s="7" t="inlineStr">
        <is>
          <t>Out of Stock</t>
        </is>
      </c>
    </row>
    <row r="11">
      <c r="A11" s="9" t="inlineStr">
        <is>
          <t>Kitchen Organizer Set</t>
        </is>
      </c>
      <c r="B11" s="9" t="inlineStr">
        <is>
          <t>B09XYZ1243</t>
        </is>
      </c>
      <c r="C11" s="9" t="n">
        <v>68</v>
      </c>
      <c r="D11" s="9" t="n">
        <v>160</v>
      </c>
      <c r="E11" s="9" t="n">
        <v>40</v>
      </c>
      <c r="F11" s="9" t="inlineStr">
        <is>
          <t>Discontinued</t>
        </is>
      </c>
    </row>
    <row r="12">
      <c r="A12" s="7" t="inlineStr">
        <is>
          <t>Kitchen Organizer Set</t>
        </is>
      </c>
      <c r="B12" s="7" t="inlineStr">
        <is>
          <t>B09XYZ1244</t>
        </is>
      </c>
      <c r="C12" s="7" t="n">
        <v>93.5</v>
      </c>
      <c r="D12" s="7" t="n">
        <v>220</v>
      </c>
      <c r="E12" s="7" t="n">
        <v>55</v>
      </c>
      <c r="F12" s="7" t="inlineStr">
        <is>
          <t>In Stock</t>
        </is>
      </c>
    </row>
    <row r="13">
      <c r="A13" s="9" t="inlineStr"/>
      <c r="B13" s="9" t="inlineStr">
        <is>
          <t>B09XYZ1245</t>
        </is>
      </c>
      <c r="C13" s="9" t="n">
        <v>63.75</v>
      </c>
      <c r="D13" s="9" t="n">
        <v>150</v>
      </c>
      <c r="E13" s="9" t="n">
        <v>37.5</v>
      </c>
      <c r="F13" s="9" t="inlineStr">
        <is>
          <t>Low Stock</t>
        </is>
      </c>
    </row>
  </sheetData>
  <dataValidations count="1">
    <dataValidation sqref="F2:F500" showDropDown="0" showInputMessage="0" showErrorMessage="0" allowBlank="1" type="list">
      <formula1>"In Stock,Low Stock,Ordered,Out of Stock,Discontinued"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2" customWidth="1" min="3" max="3"/>
    <col width="14" customWidth="1" min="4" max="4"/>
    <col width="12" customWidth="1" min="5" max="5"/>
    <col width="12" customWidth="1" min="6" max="6"/>
    <col width="16" customWidth="1" min="7" max="7"/>
  </cols>
  <sheetData>
    <row r="1">
      <c r="A1" s="6" t="inlineStr">
        <is>
          <t>Campaign</t>
        </is>
      </c>
      <c r="B1" s="6" t="inlineStr">
        <is>
          <t>Product</t>
        </is>
      </c>
      <c r="C1" s="6" t="inlineStr">
        <is>
          <t>Spend $</t>
        </is>
      </c>
      <c r="D1" s="6" t="inlineStr">
        <is>
          <t>PPC Sales $</t>
        </is>
      </c>
      <c r="E1" s="6" t="inlineStr">
        <is>
          <t>ACOS %</t>
        </is>
      </c>
      <c r="F1" s="6" t="inlineStr">
        <is>
          <t>ROAS</t>
        </is>
      </c>
      <c r="G1" s="6" t="inlineStr">
        <is>
          <t>Status</t>
        </is>
      </c>
    </row>
    <row r="2">
      <c r="A2" s="7" t="inlineStr">
        <is>
          <t>Kitchen Set - Auto</t>
        </is>
      </c>
      <c r="B2" s="7" t="inlineStr">
        <is>
          <t>Kitchen Organizer Set</t>
        </is>
      </c>
      <c r="C2" s="7" t="n">
        <v>345</v>
      </c>
      <c r="D2" s="7" t="n">
        <v>1150</v>
      </c>
      <c r="E2" s="7">
        <f>TEXT(C2/D2,"0.0%")</f>
        <v/>
      </c>
      <c r="F2" s="7">
        <f>D2/C2</f>
        <v/>
      </c>
      <c r="G2" s="7" t="inlineStr">
        <is>
          <t>Active</t>
        </is>
      </c>
    </row>
    <row r="3">
      <c r="A3" s="9" t="inlineStr">
        <is>
          <t>Kitchen Set - Auto</t>
        </is>
      </c>
      <c r="B3" s="9" t="inlineStr">
        <is>
          <t>Kitchen Organizer Set</t>
        </is>
      </c>
      <c r="C3" s="9" t="n">
        <v>241</v>
      </c>
      <c r="D3" s="9" t="n">
        <v>805</v>
      </c>
      <c r="E3" s="9">
        <f>TEXT(C3/D3,"0.0%")</f>
        <v/>
      </c>
      <c r="F3" s="9">
        <f>D3/C3</f>
        <v/>
      </c>
      <c r="G3" s="9" t="inlineStr">
        <is>
          <t>Paused</t>
        </is>
      </c>
    </row>
    <row r="4">
      <c r="A4" s="7" t="inlineStr"/>
      <c r="B4" s="7" t="inlineStr"/>
      <c r="C4" s="7" t="n">
        <v>448</v>
      </c>
      <c r="D4" s="7" t="n">
        <v>1495</v>
      </c>
      <c r="E4" s="7">
        <f>TEXT(C4/D4,"0.0%")</f>
        <v/>
      </c>
      <c r="F4" s="7">
        <f>D4/C4</f>
        <v/>
      </c>
      <c r="G4" s="7" t="inlineStr">
        <is>
          <t>Testing</t>
        </is>
      </c>
    </row>
    <row r="5">
      <c r="A5" s="9" t="inlineStr">
        <is>
          <t>Kitchen Set - Auto</t>
        </is>
      </c>
      <c r="B5" s="9" t="inlineStr">
        <is>
          <t>Kitchen Organizer Set</t>
        </is>
      </c>
      <c r="C5" s="9" t="n">
        <v>293</v>
      </c>
      <c r="D5" s="9" t="n">
        <v>978</v>
      </c>
      <c r="E5" s="9">
        <f>TEXT(C5/D5,"0.0%")</f>
        <v/>
      </c>
      <c r="F5" s="9">
        <f>D5/C5</f>
        <v/>
      </c>
      <c r="G5" s="9" t="inlineStr">
        <is>
          <t>Ended</t>
        </is>
      </c>
    </row>
    <row r="6">
      <c r="A6" s="7" t="inlineStr">
        <is>
          <t>Kitchen Set - Auto</t>
        </is>
      </c>
      <c r="B6" s="7" t="inlineStr">
        <is>
          <t>Kitchen Organizer Set</t>
        </is>
      </c>
      <c r="C6" s="7" t="n">
        <v>397</v>
      </c>
      <c r="D6" s="7" t="n">
        <v>1322</v>
      </c>
      <c r="E6" s="7">
        <f>TEXT(C6/D6,"0.0%")</f>
        <v/>
      </c>
      <c r="F6" s="7">
        <f>D6/C6</f>
        <v/>
      </c>
      <c r="G6" s="7" t="inlineStr">
        <is>
          <t>Active</t>
        </is>
      </c>
    </row>
    <row r="7">
      <c r="A7" s="9" t="inlineStr"/>
      <c r="B7" s="9" t="inlineStr"/>
      <c r="C7" s="9" t="n">
        <v>207</v>
      </c>
      <c r="D7" s="9" t="n">
        <v>690</v>
      </c>
      <c r="E7" s="9">
        <f>TEXT(C7/D7,"0.0%")</f>
        <v/>
      </c>
      <c r="F7" s="9">
        <f>D7/C7</f>
        <v/>
      </c>
      <c r="G7" s="9" t="inlineStr">
        <is>
          <t>Paused</t>
        </is>
      </c>
    </row>
    <row r="8">
      <c r="A8" s="7" t="inlineStr">
        <is>
          <t>Kitchen Set - Auto</t>
        </is>
      </c>
      <c r="B8" s="7" t="inlineStr">
        <is>
          <t>Kitchen Organizer Set</t>
        </is>
      </c>
      <c r="C8" s="7" t="n">
        <v>500</v>
      </c>
      <c r="D8" s="7" t="n">
        <v>1668</v>
      </c>
      <c r="E8" s="7">
        <f>TEXT(C8/D8,"0.0%")</f>
        <v/>
      </c>
      <c r="F8" s="7">
        <f>D8/C8</f>
        <v/>
      </c>
      <c r="G8" s="7" t="inlineStr">
        <is>
          <t>Testing</t>
        </is>
      </c>
    </row>
    <row r="9">
      <c r="A9" s="9" t="inlineStr">
        <is>
          <t>Kitchen Set - Auto</t>
        </is>
      </c>
      <c r="B9" s="9" t="inlineStr">
        <is>
          <t>Kitchen Organizer Set</t>
        </is>
      </c>
      <c r="C9" s="9" t="n">
        <v>328</v>
      </c>
      <c r="D9" s="9" t="n">
        <v>1092</v>
      </c>
      <c r="E9" s="9">
        <f>TEXT(C9/D9,"0.0%")</f>
        <v/>
      </c>
      <c r="F9" s="9">
        <f>D9/C9</f>
        <v/>
      </c>
      <c r="G9" s="9" t="inlineStr">
        <is>
          <t>Ended</t>
        </is>
      </c>
    </row>
    <row r="10">
      <c r="A10" s="7" t="inlineStr"/>
      <c r="B10" s="7" t="inlineStr"/>
      <c r="C10" s="7" t="n">
        <v>431</v>
      </c>
      <c r="D10" s="7" t="n">
        <v>1438</v>
      </c>
      <c r="E10" s="7">
        <f>TEXT(C10/D10,"0.0%")</f>
        <v/>
      </c>
      <c r="F10" s="7">
        <f>D10/C10</f>
        <v/>
      </c>
      <c r="G10" s="7" t="inlineStr">
        <is>
          <t>Active</t>
        </is>
      </c>
    </row>
    <row r="11">
      <c r="A11" s="9" t="inlineStr">
        <is>
          <t>Kitchen Set - Auto</t>
        </is>
      </c>
      <c r="B11" s="9" t="inlineStr">
        <is>
          <t>Kitchen Organizer Set</t>
        </is>
      </c>
      <c r="C11" s="9" t="n">
        <v>276</v>
      </c>
      <c r="D11" s="9" t="n">
        <v>920</v>
      </c>
      <c r="E11" s="9">
        <f>TEXT(C11/D11,"0.0%")</f>
        <v/>
      </c>
      <c r="F11" s="9">
        <f>D11/C11</f>
        <v/>
      </c>
      <c r="G11" s="9" t="inlineStr">
        <is>
          <t>Paused</t>
        </is>
      </c>
    </row>
    <row r="12">
      <c r="A12" s="7" t="inlineStr">
        <is>
          <t>Kitchen Set - Auto</t>
        </is>
      </c>
      <c r="B12" s="7" t="inlineStr">
        <is>
          <t>Kitchen Organizer Set</t>
        </is>
      </c>
      <c r="C12" s="7" t="n">
        <v>380</v>
      </c>
      <c r="D12" s="7" t="n">
        <v>1265</v>
      </c>
      <c r="E12" s="7">
        <f>TEXT(C12/D12,"0.0%")</f>
        <v/>
      </c>
      <c r="F12" s="7">
        <f>D12/C12</f>
        <v/>
      </c>
      <c r="G12" s="7" t="inlineStr">
        <is>
          <t>Testing</t>
        </is>
      </c>
    </row>
    <row r="13">
      <c r="A13" s="9" t="inlineStr"/>
      <c r="B13" s="9" t="inlineStr"/>
      <c r="C13" s="9" t="n">
        <v>259</v>
      </c>
      <c r="D13" s="9" t="n">
        <v>862</v>
      </c>
      <c r="E13" s="9">
        <f>TEXT(C13/D13,"0.0%")</f>
        <v/>
      </c>
      <c r="F13" s="9">
        <f>D13/C13</f>
        <v/>
      </c>
      <c r="G13" s="9" t="inlineStr">
        <is>
          <t>Ended</t>
        </is>
      </c>
    </row>
  </sheetData>
  <dataValidations count="1">
    <dataValidation sqref="G2:G500" showDropDown="0" showInputMessage="0" showErrorMessage="0" allowBlank="1" type="list">
      <formula1>"Active,Paused,Testing,Ended"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P&amp;L REPORT</t>
        </is>
      </c>
    </row>
    <row r="4">
      <c r="B4" s="3" t="inlineStr">
        <is>
          <t>FBA Business Summary</t>
        </is>
      </c>
    </row>
    <row r="5">
      <c r="B5" s="9" t="inlineStr">
        <is>
          <t>Total Revenue</t>
        </is>
      </c>
      <c r="C5" s="23">
        <f>SUM(Products!D:D)</f>
        <v/>
      </c>
    </row>
    <row r="6">
      <c r="B6" s="7" t="inlineStr">
        <is>
          <t>Total COGS</t>
        </is>
      </c>
      <c r="C6" s="24">
        <f>SUM(Products!E:E)</f>
        <v/>
      </c>
    </row>
    <row r="7">
      <c r="B7" s="9" t="inlineStr">
        <is>
          <t>Net Profit</t>
        </is>
      </c>
      <c r="C7" s="23">
        <f>SUM(Products!H:H)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