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eals" sheetId="2" state="visible" r:id="rId2"/>
    <sheet name="Dashboard" sheetId="3" state="visible" r:id="rId3"/>
    <sheet name="Reps" sheetId="4" state="visible" r:id="rId4"/>
    <sheet name="CommissionTiers" sheetId="5" state="visible" r:id="rId5"/>
    <sheet name="Payo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F172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F59E0B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7F0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5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💼  SALES COMMISSION TRACKER</t>
        </is>
      </c>
    </row>
    <row r="3"/>
    <row r="4">
      <c r="B4" s="2" t="inlineStr">
        <is>
          <t>Rep Commissions &amp; Payouts Google Sheets</t>
        </is>
      </c>
    </row>
    <row r="6">
      <c r="B6" s="3" t="inlineStr">
        <is>
          <t>STEP 1 — Fill in “Deals”</t>
        </is>
      </c>
    </row>
    <row r="7" ht="28" customHeight="1">
      <c r="B7" s="4" t="inlineStr">
        <is>
          <t>All closed deals with rep, value, and commission calculated.</t>
        </is>
      </c>
    </row>
    <row r="9">
      <c r="B9" s="3" t="inlineStr">
        <is>
          <t>STEP 2 — Fill in “Reps”</t>
        </is>
      </c>
    </row>
    <row r="10" ht="28" customHeight="1">
      <c r="B10" s="4" t="inlineStr">
        <is>
          <t>Sales rep directory with quota and YTD performance.</t>
        </is>
      </c>
    </row>
    <row r="12">
      <c r="B12" s="3" t="inlineStr">
        <is>
          <t>STEP 3 — Fill in “CommissionTiers”</t>
        </is>
      </c>
    </row>
    <row r="13" ht="28" customHeight="1">
      <c r="B13" s="4" t="inlineStr">
        <is>
          <t>Commission tier rates by deal type and threshold.</t>
        </is>
      </c>
    </row>
    <row r="15">
      <c r="B15" s="3" t="inlineStr">
        <is>
          <t>STEP 4 — Fill in “Payouts”</t>
        </is>
      </c>
    </row>
    <row r="16" ht="28" customHeight="1">
      <c r="B16" s="4" t="inlineStr">
        <is>
          <t>Monthly commission payouts processed per rep.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18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6" t="inlineStr">
        <is>
          <t>Date Closed</t>
        </is>
      </c>
      <c r="B1" s="6" t="inlineStr">
        <is>
          <t>Rep Name</t>
        </is>
      </c>
      <c r="C1" s="6" t="inlineStr">
        <is>
          <t>Client</t>
        </is>
      </c>
      <c r="D1" s="6" t="inlineStr">
        <is>
          <t>Deal Type</t>
        </is>
      </c>
      <c r="E1" s="6" t="inlineStr">
        <is>
          <t>Deal Value $</t>
        </is>
      </c>
      <c r="F1" s="6" t="inlineStr">
        <is>
          <t>Commission %</t>
        </is>
      </c>
      <c r="G1" s="6" t="inlineStr">
        <is>
          <t>Commission $</t>
        </is>
      </c>
      <c r="H1" s="6" t="inlineStr">
        <is>
          <t>Status</t>
        </is>
      </c>
    </row>
    <row r="2">
      <c r="A2" s="7" t="n">
        <v>46174</v>
      </c>
      <c r="B2" s="8" t="inlineStr">
        <is>
          <t>Alex Martin</t>
        </is>
      </c>
      <c r="C2" s="8" t="inlineStr">
        <is>
          <t>Alex Martin</t>
        </is>
      </c>
      <c r="D2" s="8" t="inlineStr">
        <is>
          <t>New Business</t>
        </is>
      </c>
      <c r="E2" s="9" t="n">
        <v>8500</v>
      </c>
      <c r="F2" s="8" t="inlineStr">
        <is>
          <t>10%</t>
        </is>
      </c>
      <c r="G2" s="8">
        <f>E2*F2</f>
        <v/>
      </c>
      <c r="H2" s="8" t="inlineStr">
        <is>
          <t>Won</t>
        </is>
      </c>
    </row>
    <row r="3">
      <c r="A3" s="10" t="n">
        <v>46180</v>
      </c>
      <c r="B3" s="11" t="inlineStr">
        <is>
          <t>Sara Lopez</t>
        </is>
      </c>
      <c r="C3" s="11" t="inlineStr">
        <is>
          <t>Sara Lopez</t>
        </is>
      </c>
      <c r="D3" s="11" t="inlineStr">
        <is>
          <t>Renewal</t>
        </is>
      </c>
      <c r="E3" s="12" t="n">
        <v>5950</v>
      </c>
      <c r="F3" s="11" t="inlineStr">
        <is>
          <t>10%</t>
        </is>
      </c>
      <c r="G3" s="11">
        <f>E3*F3</f>
        <v/>
      </c>
      <c r="H3" s="11" t="inlineStr">
        <is>
          <t>Pending</t>
        </is>
      </c>
    </row>
    <row r="4">
      <c r="A4" s="7" t="n">
        <v>46186</v>
      </c>
      <c r="B4" s="8" t="inlineStr">
        <is>
          <t>Omar Haddad</t>
        </is>
      </c>
      <c r="C4" s="8" t="inlineStr">
        <is>
          <t>Omar Haddad</t>
        </is>
      </c>
      <c r="D4" s="8" t="inlineStr">
        <is>
          <t>Upsell</t>
        </is>
      </c>
      <c r="E4" s="9" t="n">
        <v>11050</v>
      </c>
      <c r="F4" s="8" t="inlineStr"/>
      <c r="G4" s="8">
        <f>E4*F4</f>
        <v/>
      </c>
      <c r="H4" s="8" t="inlineStr">
        <is>
          <t>Paid</t>
        </is>
      </c>
    </row>
    <row r="5">
      <c r="A5" s="10" t="n">
        <v>46189</v>
      </c>
      <c r="B5" s="11" t="inlineStr">
        <is>
          <t>Emma Fischer</t>
        </is>
      </c>
      <c r="C5" s="11" t="inlineStr">
        <is>
          <t>Emma Fischer</t>
        </is>
      </c>
      <c r="D5" s="11" t="inlineStr">
        <is>
          <t>Expansion</t>
        </is>
      </c>
      <c r="E5" s="12" t="n">
        <v>7225</v>
      </c>
      <c r="F5" s="11" t="inlineStr">
        <is>
          <t>10%</t>
        </is>
      </c>
      <c r="G5" s="11">
        <f>E5*F5</f>
        <v/>
      </c>
      <c r="H5" s="11" t="inlineStr">
        <is>
          <t>Won</t>
        </is>
      </c>
    </row>
    <row r="6">
      <c r="A6" s="7" t="n">
        <v>46195</v>
      </c>
      <c r="B6" s="8" t="inlineStr">
        <is>
          <t>Liam Carter</t>
        </is>
      </c>
      <c r="C6" s="8" t="inlineStr">
        <is>
          <t>Liam Carter</t>
        </is>
      </c>
      <c r="D6" s="8" t="inlineStr">
        <is>
          <t>New Business</t>
        </is>
      </c>
      <c r="E6" s="9" t="n">
        <v>9775</v>
      </c>
      <c r="F6" s="8" t="inlineStr">
        <is>
          <t>10%</t>
        </is>
      </c>
      <c r="G6" s="8">
        <f>E6*F6</f>
        <v/>
      </c>
      <c r="H6" s="8" t="inlineStr">
        <is>
          <t>Pending</t>
        </is>
      </c>
    </row>
    <row r="7">
      <c r="A7" s="10" t="n">
        <v>46201</v>
      </c>
      <c r="B7" s="11" t="inlineStr">
        <is>
          <t>Nadia Rahali</t>
        </is>
      </c>
      <c r="C7" s="11" t="inlineStr">
        <is>
          <t>Nadia Rahali</t>
        </is>
      </c>
      <c r="D7" s="11" t="inlineStr">
        <is>
          <t>Renewal</t>
        </is>
      </c>
      <c r="E7" s="12" t="n">
        <v>5100</v>
      </c>
      <c r="F7" s="11" t="inlineStr"/>
      <c r="G7" s="11">
        <f>E7*F7</f>
        <v/>
      </c>
      <c r="H7" s="11" t="inlineStr">
        <is>
          <t>Paid</t>
        </is>
      </c>
    </row>
    <row r="8">
      <c r="A8" s="7" t="n">
        <v>46176</v>
      </c>
      <c r="B8" s="8" t="inlineStr">
        <is>
          <t>Tom Becker</t>
        </is>
      </c>
      <c r="C8" s="8" t="inlineStr">
        <is>
          <t>Tom Becker</t>
        </is>
      </c>
      <c r="D8" s="8" t="inlineStr">
        <is>
          <t>Upsell</t>
        </is>
      </c>
      <c r="E8" s="9" t="n">
        <v>12325</v>
      </c>
      <c r="F8" s="8" t="inlineStr">
        <is>
          <t>10%</t>
        </is>
      </c>
      <c r="G8" s="8">
        <f>E8*F8</f>
        <v/>
      </c>
      <c r="H8" s="8" t="inlineStr">
        <is>
          <t>Won</t>
        </is>
      </c>
    </row>
    <row r="9">
      <c r="A9" s="10" t="n">
        <v>46182</v>
      </c>
      <c r="B9" s="11" t="inlineStr">
        <is>
          <t>Julia Romero</t>
        </is>
      </c>
      <c r="C9" s="11" t="inlineStr">
        <is>
          <t>Julia Romero</t>
        </is>
      </c>
      <c r="D9" s="11" t="inlineStr">
        <is>
          <t>Expansion</t>
        </is>
      </c>
      <c r="E9" s="12" t="n">
        <v>8075</v>
      </c>
      <c r="F9" s="11" t="inlineStr">
        <is>
          <t>10%</t>
        </is>
      </c>
      <c r="G9" s="11">
        <f>E9*F9</f>
        <v/>
      </c>
      <c r="H9" s="11" t="inlineStr">
        <is>
          <t>Pending</t>
        </is>
      </c>
    </row>
    <row r="10">
      <c r="A10" s="7" t="n">
        <v>46188</v>
      </c>
      <c r="B10" s="8" t="inlineStr">
        <is>
          <t>Karim Ziani</t>
        </is>
      </c>
      <c r="C10" s="8" t="inlineStr">
        <is>
          <t>Karim Ziani</t>
        </is>
      </c>
      <c r="D10" s="8" t="inlineStr">
        <is>
          <t>New Business</t>
        </is>
      </c>
      <c r="E10" s="9" t="n">
        <v>10625</v>
      </c>
      <c r="F10" s="8" t="inlineStr"/>
      <c r="G10" s="8">
        <f>E10*F10</f>
        <v/>
      </c>
      <c r="H10" s="8" t="inlineStr">
        <is>
          <t>Paid</t>
        </is>
      </c>
    </row>
    <row r="11">
      <c r="A11" s="10" t="n">
        <v>46191</v>
      </c>
      <c r="B11" s="11" t="inlineStr">
        <is>
          <t>Anna Kowalska</t>
        </is>
      </c>
      <c r="C11" s="11" t="inlineStr">
        <is>
          <t>Anna Kowalska</t>
        </is>
      </c>
      <c r="D11" s="11" t="inlineStr">
        <is>
          <t>Renewal</t>
        </is>
      </c>
      <c r="E11" s="12" t="n">
        <v>6800</v>
      </c>
      <c r="F11" s="11" t="inlineStr">
        <is>
          <t>10%</t>
        </is>
      </c>
      <c r="G11" s="11">
        <f>E11*F11</f>
        <v/>
      </c>
      <c r="H11" s="11" t="inlineStr">
        <is>
          <t>Won</t>
        </is>
      </c>
    </row>
    <row r="12">
      <c r="A12" s="7" t="n">
        <v>46197</v>
      </c>
      <c r="B12" s="8" t="inlineStr">
        <is>
          <t>David Chen</t>
        </is>
      </c>
      <c r="C12" s="8" t="inlineStr">
        <is>
          <t>David Chen</t>
        </is>
      </c>
      <c r="D12" s="8" t="inlineStr">
        <is>
          <t>Upsell</t>
        </is>
      </c>
      <c r="E12" s="9" t="n">
        <v>9350</v>
      </c>
      <c r="F12" s="8" t="inlineStr">
        <is>
          <t>10%</t>
        </is>
      </c>
      <c r="G12" s="8">
        <f>E12*F12</f>
        <v/>
      </c>
      <c r="H12" s="8" t="inlineStr">
        <is>
          <t>Pending</t>
        </is>
      </c>
    </row>
    <row r="13">
      <c r="A13" s="10" t="n">
        <v>46175</v>
      </c>
      <c r="B13" s="11" t="inlineStr">
        <is>
          <t>Lea Moreau</t>
        </is>
      </c>
      <c r="C13" s="11" t="inlineStr">
        <is>
          <t>Lea Moreau</t>
        </is>
      </c>
      <c r="D13" s="11" t="inlineStr">
        <is>
          <t>Expansion</t>
        </is>
      </c>
      <c r="E13" s="12" t="n">
        <v>6375</v>
      </c>
      <c r="F13" s="11" t="inlineStr"/>
      <c r="G13" s="11">
        <f>E13*F13</f>
        <v/>
      </c>
      <c r="H13" s="11" t="inlineStr">
        <is>
          <t>Paid</t>
        </is>
      </c>
    </row>
  </sheetData>
  <dataValidations count="2">
    <dataValidation sqref="D2:D500" showDropDown="0" showInputMessage="0" showErrorMessage="0" allowBlank="1" type="list">
      <formula1>"New Business,Renewal,Upsell,Expansion"</formula1>
    </dataValidation>
    <dataValidation sqref="H2:H500" showDropDown="0" showInputMessage="0" showErrorMessage="0" allowBlank="1" type="list">
      <formula1>"Won,Pending,Paid"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SALES COMMISSION TRACKER — DASHBOARD</t>
        </is>
      </c>
    </row>
    <row r="4">
      <c r="B4" s="14" t="inlineStr">
        <is>
          <t>TOTAL SALES</t>
        </is>
      </c>
      <c r="D4" s="15" t="inlineStr">
        <is>
          <t>TOTAL COMMISSION</t>
        </is>
      </c>
      <c r="F4" s="16" t="inlineStr">
        <is>
          <t>AVG COMMISSION %</t>
        </is>
      </c>
      <c r="H4" s="17" t="inlineStr">
        <is>
          <t>ACTIVE REPS</t>
        </is>
      </c>
    </row>
    <row r="5" ht="26" customHeight="1">
      <c r="B5" s="18">
        <f>SUM(Deals!E:E)</f>
        <v/>
      </c>
      <c r="D5" s="19">
        <f>SUM(Deals!G:G)</f>
        <v/>
      </c>
      <c r="F5" s="20">
        <f>AVERAGE(CommissionTiers!C:C)</f>
        <v/>
      </c>
      <c r="H5" s="21">
        <f>COUNTA(Reps!A:A)-1</f>
        <v/>
      </c>
    </row>
    <row r="8">
      <c r="B8" s="22" t="inlineStr">
        <is>
          <t>WHAT'S INSIDE</t>
        </is>
      </c>
    </row>
    <row r="9">
      <c r="B9" s="23" t="inlineStr">
        <is>
          <t>🤝  Deals — All closed deals with rep, value, and commission calculated.</t>
        </is>
      </c>
    </row>
    <row r="10">
      <c r="B10" s="23" t="inlineStr">
        <is>
          <t>👤  Reps — Sales rep directory with quota and YTD performance.</t>
        </is>
      </c>
    </row>
    <row r="11">
      <c r="B11" s="23" t="inlineStr">
        <is>
          <t>📊  CommissionTiers — Commission tier rates by deal type and threshold.</t>
        </is>
      </c>
    </row>
    <row r="12">
      <c r="B12" s="23" t="inlineStr">
        <is>
          <t>💳  Payouts — Monthly commission payouts processed per rep.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Rep Name</t>
        </is>
      </c>
      <c r="B1" s="6" t="inlineStr">
        <is>
          <t>Team</t>
        </is>
      </c>
      <c r="C1" s="6" t="inlineStr">
        <is>
          <t>Monthly Quota</t>
        </is>
      </c>
      <c r="D1" s="6" t="inlineStr">
        <is>
          <t>YTD Sales</t>
        </is>
      </c>
      <c r="E1" s="6" t="inlineStr">
        <is>
          <t>YTD Commission</t>
        </is>
      </c>
      <c r="F1" s="6" t="inlineStr">
        <is>
          <t>Quota Attain %</t>
        </is>
      </c>
    </row>
    <row r="2">
      <c r="A2" s="8" t="inlineStr">
        <is>
          <t>Alex Martin</t>
        </is>
      </c>
      <c r="B2" s="8" t="inlineStr">
        <is>
          <t>Enterprise</t>
        </is>
      </c>
      <c r="C2" s="8" t="n">
        <v>50000</v>
      </c>
      <c r="D2" s="8" t="n">
        <v>120000</v>
      </c>
      <c r="E2" s="8" t="n">
        <v>12000</v>
      </c>
      <c r="F2" s="8" t="inlineStr">
        <is>
          <t>110%</t>
        </is>
      </c>
    </row>
    <row r="3">
      <c r="A3" s="11" t="inlineStr">
        <is>
          <t>Sara Lopez</t>
        </is>
      </c>
      <c r="B3" s="11" t="inlineStr">
        <is>
          <t>Enterprise</t>
        </is>
      </c>
      <c r="C3" s="11" t="n">
        <v>35000</v>
      </c>
      <c r="D3" s="11" t="n">
        <v>84000</v>
      </c>
      <c r="E3" s="11" t="n">
        <v>8400</v>
      </c>
      <c r="F3" s="11" t="inlineStr">
        <is>
          <t>110%</t>
        </is>
      </c>
    </row>
    <row r="4">
      <c r="A4" s="8" t="inlineStr">
        <is>
          <t>Omar Haddad</t>
        </is>
      </c>
      <c r="B4" s="8" t="inlineStr"/>
      <c r="C4" s="8" t="n">
        <v>65000</v>
      </c>
      <c r="D4" s="8" t="n">
        <v>156000</v>
      </c>
      <c r="E4" s="8" t="n">
        <v>15600</v>
      </c>
      <c r="F4" s="8" t="inlineStr"/>
    </row>
    <row r="5">
      <c r="A5" s="11" t="inlineStr">
        <is>
          <t>Emma Fischer</t>
        </is>
      </c>
      <c r="B5" s="11" t="inlineStr">
        <is>
          <t>Enterprise</t>
        </is>
      </c>
      <c r="C5" s="11" t="n">
        <v>42500</v>
      </c>
      <c r="D5" s="11" t="n">
        <v>102000</v>
      </c>
      <c r="E5" s="11" t="n">
        <v>10200</v>
      </c>
      <c r="F5" s="11" t="inlineStr">
        <is>
          <t>110%</t>
        </is>
      </c>
    </row>
    <row r="6">
      <c r="A6" s="8" t="inlineStr">
        <is>
          <t>Liam Carter</t>
        </is>
      </c>
      <c r="B6" s="8" t="inlineStr">
        <is>
          <t>Enterprise</t>
        </is>
      </c>
      <c r="C6" s="8" t="n">
        <v>57500</v>
      </c>
      <c r="D6" s="8" t="n">
        <v>138000</v>
      </c>
      <c r="E6" s="8" t="n">
        <v>13800</v>
      </c>
      <c r="F6" s="8" t="inlineStr">
        <is>
          <t>110%</t>
        </is>
      </c>
    </row>
    <row r="7">
      <c r="A7" s="11" t="inlineStr">
        <is>
          <t>Nadia Rahali</t>
        </is>
      </c>
      <c r="B7" s="11" t="inlineStr"/>
      <c r="C7" s="11" t="n">
        <v>30000</v>
      </c>
      <c r="D7" s="11" t="n">
        <v>72000</v>
      </c>
      <c r="E7" s="11" t="n">
        <v>7200</v>
      </c>
      <c r="F7" s="11" t="inlineStr"/>
    </row>
    <row r="8">
      <c r="A8" s="8" t="inlineStr">
        <is>
          <t>Tom Becker</t>
        </is>
      </c>
      <c r="B8" s="8" t="inlineStr">
        <is>
          <t>Enterprise</t>
        </is>
      </c>
      <c r="C8" s="8" t="n">
        <v>72500</v>
      </c>
      <c r="D8" s="8" t="n">
        <v>174000</v>
      </c>
      <c r="E8" s="8" t="n">
        <v>17400</v>
      </c>
      <c r="F8" s="8" t="inlineStr">
        <is>
          <t>110%</t>
        </is>
      </c>
    </row>
    <row r="9">
      <c r="A9" s="11" t="inlineStr">
        <is>
          <t>Julia Romero</t>
        </is>
      </c>
      <c r="B9" s="11" t="inlineStr">
        <is>
          <t>Enterprise</t>
        </is>
      </c>
      <c r="C9" s="11" t="n">
        <v>47500</v>
      </c>
      <c r="D9" s="11" t="n">
        <v>114000</v>
      </c>
      <c r="E9" s="11" t="n">
        <v>11400</v>
      </c>
      <c r="F9" s="11" t="inlineStr">
        <is>
          <t>110%</t>
        </is>
      </c>
    </row>
    <row r="10">
      <c r="A10" s="8" t="inlineStr">
        <is>
          <t>Karim Ziani</t>
        </is>
      </c>
      <c r="B10" s="8" t="inlineStr"/>
      <c r="C10" s="8" t="n">
        <v>62500</v>
      </c>
      <c r="D10" s="8" t="n">
        <v>150000</v>
      </c>
      <c r="E10" s="8" t="n">
        <v>15000</v>
      </c>
      <c r="F10" s="8" t="inlineStr"/>
    </row>
    <row r="11">
      <c r="A11" s="11" t="inlineStr">
        <is>
          <t>Anna Kowalska</t>
        </is>
      </c>
      <c r="B11" s="11" t="inlineStr">
        <is>
          <t>Enterprise</t>
        </is>
      </c>
      <c r="C11" s="11" t="n">
        <v>40000</v>
      </c>
      <c r="D11" s="11" t="n">
        <v>96000</v>
      </c>
      <c r="E11" s="11" t="n">
        <v>9600</v>
      </c>
      <c r="F11" s="11" t="inlineStr">
        <is>
          <t>110%</t>
        </is>
      </c>
    </row>
    <row r="12">
      <c r="A12" s="8" t="inlineStr">
        <is>
          <t>David Chen</t>
        </is>
      </c>
      <c r="B12" s="8" t="inlineStr">
        <is>
          <t>Enterprise</t>
        </is>
      </c>
      <c r="C12" s="8" t="n">
        <v>55000</v>
      </c>
      <c r="D12" s="8" t="n">
        <v>132000</v>
      </c>
      <c r="E12" s="8" t="n">
        <v>13200</v>
      </c>
      <c r="F12" s="8" t="inlineStr">
        <is>
          <t>110%</t>
        </is>
      </c>
    </row>
    <row r="13">
      <c r="A13" s="11" t="inlineStr">
        <is>
          <t>Lea Moreau</t>
        </is>
      </c>
      <c r="B13" s="11" t="inlineStr"/>
      <c r="C13" s="11" t="n">
        <v>37500</v>
      </c>
      <c r="D13" s="11" t="n">
        <v>90000</v>
      </c>
      <c r="E13" s="11" t="n">
        <v>9000</v>
      </c>
      <c r="F13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6" customWidth="1" min="5" max="5"/>
    <col width="26" customWidth="1" min="6" max="6"/>
  </cols>
  <sheetData>
    <row r="1">
      <c r="A1" s="6" t="inlineStr">
        <is>
          <t>Deal Type</t>
        </is>
      </c>
      <c r="B1" s="6" t="inlineStr">
        <is>
          <t>Min Deal Size</t>
        </is>
      </c>
      <c r="C1" s="6" t="inlineStr">
        <is>
          <t>Commission %</t>
        </is>
      </c>
      <c r="D1" s="6" t="inlineStr">
        <is>
          <t>Accelerator</t>
        </is>
      </c>
      <c r="E1" s="6" t="inlineStr">
        <is>
          <t>Threshold $</t>
        </is>
      </c>
      <c r="F1" s="6" t="inlineStr">
        <is>
          <t>Notes</t>
        </is>
      </c>
    </row>
    <row r="2">
      <c r="A2" s="8" t="inlineStr">
        <is>
          <t>New Business</t>
        </is>
      </c>
      <c r="B2" s="8" t="n">
        <v>0</v>
      </c>
      <c r="C2" s="8" t="inlineStr">
        <is>
          <t>10%</t>
        </is>
      </c>
      <c r="D2" s="8" t="inlineStr">
        <is>
          <t>15%</t>
        </is>
      </c>
      <c r="E2" s="8" t="n">
        <v>100000</v>
      </c>
      <c r="F2" s="8" t="inlineStr"/>
    </row>
    <row r="3">
      <c r="A3" s="11" t="inlineStr">
        <is>
          <t>New Business</t>
        </is>
      </c>
      <c r="B3" s="11" t="n">
        <v>0</v>
      </c>
      <c r="C3" s="11" t="inlineStr">
        <is>
          <t>10%</t>
        </is>
      </c>
      <c r="D3" s="11" t="inlineStr">
        <is>
          <t>15%</t>
        </is>
      </c>
      <c r="E3" s="11" t="n">
        <v>70000</v>
      </c>
      <c r="F3" s="11" t="inlineStr">
        <is>
          <t>Paid</t>
        </is>
      </c>
    </row>
    <row r="4">
      <c r="A4" s="8" t="inlineStr"/>
      <c r="B4" s="8" t="n">
        <v>0</v>
      </c>
      <c r="C4" s="8" t="inlineStr"/>
      <c r="D4" s="8" t="inlineStr"/>
      <c r="E4" s="8" t="n">
        <v>130000</v>
      </c>
      <c r="F4" s="8" t="inlineStr">
        <is>
          <t>Urgent</t>
        </is>
      </c>
    </row>
    <row r="5">
      <c r="A5" s="11" t="inlineStr">
        <is>
          <t>New Business</t>
        </is>
      </c>
      <c r="B5" s="11" t="n">
        <v>0</v>
      </c>
      <c r="C5" s="11" t="inlineStr">
        <is>
          <t>10%</t>
        </is>
      </c>
      <c r="D5" s="11" t="inlineStr">
        <is>
          <t>15%</t>
        </is>
      </c>
      <c r="E5" s="11" t="n">
        <v>85000</v>
      </c>
      <c r="F5" s="11" t="inlineStr">
        <is>
          <t>Follow up Friday</t>
        </is>
      </c>
    </row>
    <row r="6">
      <c r="A6" s="8" t="inlineStr">
        <is>
          <t>New Business</t>
        </is>
      </c>
      <c r="B6" s="8" t="n">
        <v>0</v>
      </c>
      <c r="C6" s="8" t="inlineStr">
        <is>
          <t>10%</t>
        </is>
      </c>
      <c r="D6" s="8" t="inlineStr">
        <is>
          <t>15%</t>
        </is>
      </c>
      <c r="E6" s="8" t="n">
        <v>115000</v>
      </c>
      <c r="F6" s="8" t="inlineStr"/>
    </row>
    <row r="7">
      <c r="A7" s="11" t="inlineStr"/>
      <c r="B7" s="11" t="n">
        <v>0</v>
      </c>
      <c r="C7" s="11" t="inlineStr"/>
      <c r="D7" s="11" t="inlineStr"/>
      <c r="E7" s="11" t="n">
        <v>60000</v>
      </c>
      <c r="F7" s="11" t="inlineStr">
        <is>
          <t>Monthly</t>
        </is>
      </c>
    </row>
    <row r="8">
      <c r="A8" s="8" t="inlineStr">
        <is>
          <t>New Business</t>
        </is>
      </c>
      <c r="B8" s="8" t="n">
        <v>0</v>
      </c>
      <c r="C8" s="8" t="inlineStr">
        <is>
          <t>10%</t>
        </is>
      </c>
      <c r="D8" s="8" t="inlineStr">
        <is>
          <t>15%</t>
        </is>
      </c>
      <c r="E8" s="8" t="n">
        <v>145000</v>
      </c>
      <c r="F8" s="8" t="inlineStr">
        <is>
          <t>Confirmed</t>
        </is>
      </c>
    </row>
    <row r="9">
      <c r="A9" s="11" t="inlineStr">
        <is>
          <t>New Business</t>
        </is>
      </c>
      <c r="B9" s="11" t="n">
        <v>0</v>
      </c>
      <c r="C9" s="11" t="inlineStr">
        <is>
          <t>10%</t>
        </is>
      </c>
      <c r="D9" s="11" t="inlineStr">
        <is>
          <t>15%</t>
        </is>
      </c>
      <c r="E9" s="11" t="n">
        <v>95000</v>
      </c>
      <c r="F9" s="11" t="inlineStr"/>
    </row>
    <row r="10">
      <c r="A10" s="8" t="inlineStr"/>
      <c r="B10" s="8" t="n">
        <v>0</v>
      </c>
      <c r="C10" s="8" t="inlineStr"/>
      <c r="D10" s="8" t="inlineStr"/>
      <c r="E10" s="8" t="n">
        <v>125000</v>
      </c>
      <c r="F10" s="8" t="inlineStr">
        <is>
          <t>Waiting reply</t>
        </is>
      </c>
    </row>
    <row r="11">
      <c r="A11" s="11" t="inlineStr">
        <is>
          <t>New Business</t>
        </is>
      </c>
      <c r="B11" s="11" t="n">
        <v>0</v>
      </c>
      <c r="C11" s="11" t="inlineStr">
        <is>
          <t>10%</t>
        </is>
      </c>
      <c r="D11" s="11" t="inlineStr">
        <is>
          <t>15%</t>
        </is>
      </c>
      <c r="E11" s="11" t="n">
        <v>80000</v>
      </c>
      <c r="F11" s="11" t="inlineStr">
        <is>
          <t>Done early</t>
        </is>
      </c>
    </row>
    <row r="12">
      <c r="A12" s="8" t="inlineStr">
        <is>
          <t>New Business</t>
        </is>
      </c>
      <c r="B12" s="8" t="n">
        <v>0</v>
      </c>
      <c r="C12" s="8" t="inlineStr">
        <is>
          <t>10%</t>
        </is>
      </c>
      <c r="D12" s="8" t="inlineStr">
        <is>
          <t>15%</t>
        </is>
      </c>
      <c r="E12" s="8" t="n">
        <v>110000</v>
      </c>
      <c r="F12" s="8" t="inlineStr"/>
    </row>
    <row r="13">
      <c r="A13" s="11" t="inlineStr"/>
      <c r="B13" s="11" t="n">
        <v>0</v>
      </c>
      <c r="C13" s="11" t="inlineStr"/>
      <c r="D13" s="11" t="inlineStr"/>
      <c r="E13" s="11" t="n">
        <v>75000</v>
      </c>
      <c r="F13" s="11" t="inlineStr">
        <is>
          <t>Recheck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Month</t>
        </is>
      </c>
      <c r="B1" s="6" t="inlineStr">
        <is>
          <t>Rep Name</t>
        </is>
      </c>
      <c r="C1" s="6" t="inlineStr">
        <is>
          <t>Commission $</t>
        </is>
      </c>
      <c r="D1" s="6" t="inlineStr">
        <is>
          <t>Bonus $</t>
        </is>
      </c>
      <c r="E1" s="6" t="inlineStr">
        <is>
          <t>Total Paid $</t>
        </is>
      </c>
      <c r="F1" s="6" t="inlineStr">
        <is>
          <t>Status</t>
        </is>
      </c>
    </row>
    <row r="2">
      <c r="A2" s="8" t="inlineStr">
        <is>
          <t>January 2024</t>
        </is>
      </c>
      <c r="B2" s="8" t="inlineStr">
        <is>
          <t>Alex Martin</t>
        </is>
      </c>
      <c r="C2" s="8" t="n">
        <v>4200</v>
      </c>
      <c r="D2" s="8" t="n">
        <v>500</v>
      </c>
      <c r="E2" s="8">
        <f>C2+D2</f>
        <v/>
      </c>
      <c r="F2" s="8" t="inlineStr">
        <is>
          <t>Processing</t>
        </is>
      </c>
    </row>
    <row r="3">
      <c r="A3" s="11" t="inlineStr">
        <is>
          <t>January 2025</t>
        </is>
      </c>
      <c r="B3" s="11" t="inlineStr">
        <is>
          <t>Sara Lopez</t>
        </is>
      </c>
      <c r="C3" s="11" t="n">
        <v>2940</v>
      </c>
      <c r="D3" s="11" t="n">
        <v>350</v>
      </c>
      <c r="E3" s="11">
        <f>C3+D3</f>
        <v/>
      </c>
      <c r="F3" s="11" t="inlineStr">
        <is>
          <t>Paid</t>
        </is>
      </c>
    </row>
    <row r="4">
      <c r="A4" s="8" t="inlineStr">
        <is>
          <t>January 2026</t>
        </is>
      </c>
      <c r="B4" s="8" t="inlineStr">
        <is>
          <t>Omar Haddad</t>
        </is>
      </c>
      <c r="C4" s="8" t="n">
        <v>5460</v>
      </c>
      <c r="D4" s="8" t="n">
        <v>650</v>
      </c>
      <c r="E4" s="8">
        <f>C4+D4</f>
        <v/>
      </c>
      <c r="F4" s="8" t="inlineStr">
        <is>
          <t>On Hold</t>
        </is>
      </c>
    </row>
    <row r="5">
      <c r="A5" s="11" t="inlineStr">
        <is>
          <t>January 2027</t>
        </is>
      </c>
      <c r="B5" s="11" t="inlineStr">
        <is>
          <t>Emma Fischer</t>
        </is>
      </c>
      <c r="C5" s="11" t="n">
        <v>3570</v>
      </c>
      <c r="D5" s="11" t="n">
        <v>425</v>
      </c>
      <c r="E5" s="11">
        <f>C5+D5</f>
        <v/>
      </c>
      <c r="F5" s="11" t="inlineStr">
        <is>
          <t>Processing</t>
        </is>
      </c>
    </row>
    <row r="6">
      <c r="A6" s="8" t="inlineStr">
        <is>
          <t>January 2028</t>
        </is>
      </c>
      <c r="B6" s="8" t="inlineStr">
        <is>
          <t>Liam Carter</t>
        </is>
      </c>
      <c r="C6" s="8" t="n">
        <v>4830</v>
      </c>
      <c r="D6" s="8" t="n">
        <v>575</v>
      </c>
      <c r="E6" s="8">
        <f>C6+D6</f>
        <v/>
      </c>
      <c r="F6" s="8" t="inlineStr">
        <is>
          <t>Paid</t>
        </is>
      </c>
    </row>
    <row r="7">
      <c r="A7" s="11" t="inlineStr">
        <is>
          <t>January 2029</t>
        </is>
      </c>
      <c r="B7" s="11" t="inlineStr">
        <is>
          <t>Nadia Rahali</t>
        </is>
      </c>
      <c r="C7" s="11" t="n">
        <v>2520</v>
      </c>
      <c r="D7" s="11" t="n">
        <v>300</v>
      </c>
      <c r="E7" s="11">
        <f>C7+D7</f>
        <v/>
      </c>
      <c r="F7" s="11" t="inlineStr">
        <is>
          <t>On Hold</t>
        </is>
      </c>
    </row>
    <row r="8">
      <c r="A8" s="8" t="inlineStr">
        <is>
          <t>January 2030</t>
        </is>
      </c>
      <c r="B8" s="8" t="inlineStr">
        <is>
          <t>Tom Becker</t>
        </is>
      </c>
      <c r="C8" s="8" t="n">
        <v>6090</v>
      </c>
      <c r="D8" s="8" t="n">
        <v>725</v>
      </c>
      <c r="E8" s="8">
        <f>C8+D8</f>
        <v/>
      </c>
      <c r="F8" s="8" t="inlineStr">
        <is>
          <t>Processing</t>
        </is>
      </c>
    </row>
    <row r="9">
      <c r="A9" s="11" t="inlineStr">
        <is>
          <t>January 2031</t>
        </is>
      </c>
      <c r="B9" s="11" t="inlineStr">
        <is>
          <t>Julia Romero</t>
        </is>
      </c>
      <c r="C9" s="11" t="n">
        <v>3990</v>
      </c>
      <c r="D9" s="11" t="n">
        <v>475</v>
      </c>
      <c r="E9" s="11">
        <f>C9+D9</f>
        <v/>
      </c>
      <c r="F9" s="11" t="inlineStr">
        <is>
          <t>Paid</t>
        </is>
      </c>
    </row>
    <row r="10">
      <c r="A10" s="8" t="inlineStr">
        <is>
          <t>January 2032</t>
        </is>
      </c>
      <c r="B10" s="8" t="inlineStr">
        <is>
          <t>Karim Ziani</t>
        </is>
      </c>
      <c r="C10" s="8" t="n">
        <v>5250</v>
      </c>
      <c r="D10" s="8" t="n">
        <v>625</v>
      </c>
      <c r="E10" s="8">
        <f>C10+D10</f>
        <v/>
      </c>
      <c r="F10" s="8" t="inlineStr">
        <is>
          <t>On Hold</t>
        </is>
      </c>
    </row>
    <row r="11">
      <c r="A11" s="11" t="inlineStr">
        <is>
          <t>January 2033</t>
        </is>
      </c>
      <c r="B11" s="11" t="inlineStr">
        <is>
          <t>Anna Kowalska</t>
        </is>
      </c>
      <c r="C11" s="11" t="n">
        <v>3360</v>
      </c>
      <c r="D11" s="11" t="n">
        <v>400</v>
      </c>
      <c r="E11" s="11">
        <f>C11+D11</f>
        <v/>
      </c>
      <c r="F11" s="11" t="inlineStr">
        <is>
          <t>Processing</t>
        </is>
      </c>
    </row>
    <row r="12">
      <c r="A12" s="8" t="inlineStr">
        <is>
          <t>January 2034</t>
        </is>
      </c>
      <c r="B12" s="8" t="inlineStr">
        <is>
          <t>David Chen</t>
        </is>
      </c>
      <c r="C12" s="8" t="n">
        <v>4620</v>
      </c>
      <c r="D12" s="8" t="n">
        <v>550</v>
      </c>
      <c r="E12" s="8">
        <f>C12+D12</f>
        <v/>
      </c>
      <c r="F12" s="8" t="inlineStr">
        <is>
          <t>Paid</t>
        </is>
      </c>
    </row>
    <row r="13">
      <c r="A13" s="11" t="inlineStr">
        <is>
          <t>January 2035</t>
        </is>
      </c>
      <c r="B13" s="11" t="inlineStr">
        <is>
          <t>Lea Moreau</t>
        </is>
      </c>
      <c r="C13" s="11" t="n">
        <v>3150</v>
      </c>
      <c r="D13" s="11" t="n">
        <v>375</v>
      </c>
      <c r="E13" s="11">
        <f>C13+D13</f>
        <v/>
      </c>
      <c r="F13" s="11" t="inlineStr">
        <is>
          <t>On Hold</t>
        </is>
      </c>
    </row>
  </sheetData>
  <dataValidations count="1">
    <dataValidation sqref="F2:F500" showDropDown="0" showInputMessage="0" showErrorMessage="0" allowBlank="1" type="list">
      <formula1>"Processing,Paid,On Hold"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2026-07-16T21:44:39Z</dcterms:created>
  <dcterms:modified xsi:type="dcterms:W3CDTF">2026-07-16T21:44:39Z</dcterms:modified>
</cp:coreProperties>
</file>