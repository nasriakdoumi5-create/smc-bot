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Videos" sheetId="2" state="visible" r:id="rId2"/>
    <sheet name="Dashboard" sheetId="3" state="visible" r:id="rId3"/>
    <sheet name="Growth" sheetId="4" state="visible" r:id="rId4"/>
    <sheet name="Revenue" sheetId="5" state="visible" r:id="rId5"/>
    <sheet name="Content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C0000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EF4444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C0000"/>
      </patternFill>
    </fill>
    <fill>
      <patternFill patternType="solid">
        <fgColor rgb="00FFF7F0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▶️  YOUTUBE CHANNEL TRACKER</t>
        </is>
      </c>
    </row>
    <row r="3"/>
    <row r="4">
      <c r="B4" s="2" t="inlineStr">
        <is>
          <t>Video Analytics &amp; Revenue Google Sheets</t>
        </is>
      </c>
    </row>
    <row r="6">
      <c r="B6" s="3" t="inlineStr">
        <is>
          <t>STEP 1 — Fill in “Videos”</t>
        </is>
      </c>
    </row>
    <row r="7" ht="28" customHeight="1">
      <c r="B7" s="4" t="inlineStr">
        <is>
          <t>Every video with views, likes, CTR, and retention.</t>
        </is>
      </c>
    </row>
    <row r="9">
      <c r="B9" s="3" t="inlineStr">
        <is>
          <t>STEP 2 — Fill in “Growth”</t>
        </is>
      </c>
    </row>
    <row r="10" ht="28" customHeight="1">
      <c r="B10" s="4" t="inlineStr">
        <is>
          <t>Monthly subscriber and view growth.</t>
        </is>
      </c>
    </row>
    <row r="12">
      <c r="B12" s="3" t="inlineStr">
        <is>
          <t>STEP 3 — Fill in “Revenue”</t>
        </is>
      </c>
    </row>
    <row r="13" ht="28" customHeight="1">
      <c r="B13" s="4" t="inlineStr">
        <is>
          <t>Monthly revenue from ads, memberships, and sponsorships.</t>
        </is>
      </c>
    </row>
    <row r="15">
      <c r="B15" s="3" t="inlineStr">
        <is>
          <t>STEP 4 — Fill in “ContentPlan”</t>
        </is>
      </c>
    </row>
    <row r="16" ht="28" customHeight="1">
      <c r="B16" s="4" t="inlineStr">
        <is>
          <t>Upcoming video ideas and production schedule.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s="6" t="inlineStr">
        <is>
          <t>Title</t>
        </is>
      </c>
      <c r="B1" s="6" t="inlineStr">
        <is>
          <t>Published</t>
        </is>
      </c>
      <c r="C1" s="6" t="inlineStr">
        <is>
          <t>Category</t>
        </is>
      </c>
      <c r="D1" s="6" t="inlineStr">
        <is>
          <t>Length (min)</t>
        </is>
      </c>
      <c r="E1" s="6" t="inlineStr">
        <is>
          <t>Views</t>
        </is>
      </c>
      <c r="F1" s="6" t="inlineStr">
        <is>
          <t>Likes</t>
        </is>
      </c>
      <c r="G1" s="6" t="inlineStr">
        <is>
          <t>Watch Hrs</t>
        </is>
      </c>
      <c r="H1" s="6" t="inlineStr">
        <is>
          <t>CTR %</t>
        </is>
      </c>
      <c r="I1" s="6" t="inlineStr">
        <is>
          <t>Avg View %</t>
        </is>
      </c>
    </row>
    <row r="2">
      <c r="A2" s="7" t="inlineStr">
        <is>
          <t>Kickoff meeting</t>
        </is>
      </c>
      <c r="B2" s="8" t="n">
        <v>46174</v>
      </c>
      <c r="C2" s="7" t="inlineStr">
        <is>
          <t>Tutorial</t>
        </is>
      </c>
      <c r="D2" s="7" t="n">
        <v>12.5</v>
      </c>
      <c r="E2" s="7" t="n">
        <v>8420</v>
      </c>
      <c r="F2" s="7" t="n">
        <v>380</v>
      </c>
      <c r="G2" s="7" t="n">
        <v>1050</v>
      </c>
      <c r="H2" s="7" t="inlineStr">
        <is>
          <t>5.8%</t>
        </is>
      </c>
      <c r="I2" s="7" t="inlineStr">
        <is>
          <t>52%</t>
        </is>
      </c>
    </row>
    <row r="3">
      <c r="A3" s="9" t="inlineStr">
        <is>
          <t>Send proposal</t>
        </is>
      </c>
      <c r="B3" s="10" t="n">
        <v>46180</v>
      </c>
      <c r="C3" s="9" t="inlineStr">
        <is>
          <t>Vlog</t>
        </is>
      </c>
      <c r="D3" s="9" t="n">
        <v>8.75</v>
      </c>
      <c r="E3" s="9" t="n">
        <v>5894</v>
      </c>
      <c r="F3" s="9" t="n">
        <v>266</v>
      </c>
      <c r="G3" s="9" t="n">
        <v>735</v>
      </c>
      <c r="H3" s="9" t="inlineStr">
        <is>
          <t>5.8%</t>
        </is>
      </c>
      <c r="I3" s="9" t="inlineStr">
        <is>
          <t>52%</t>
        </is>
      </c>
    </row>
    <row r="4">
      <c r="A4" s="7" t="inlineStr">
        <is>
          <t>Review feedback</t>
        </is>
      </c>
      <c r="B4" s="8" t="n">
        <v>46186</v>
      </c>
      <c r="C4" s="7" t="inlineStr">
        <is>
          <t>Review</t>
        </is>
      </c>
      <c r="D4" s="7" t="n">
        <v>16.25</v>
      </c>
      <c r="E4" s="7" t="n">
        <v>10946</v>
      </c>
      <c r="F4" s="7" t="n">
        <v>494</v>
      </c>
      <c r="G4" s="7" t="n">
        <v>1365</v>
      </c>
      <c r="H4" s="7" t="inlineStr"/>
      <c r="I4" s="7" t="inlineStr"/>
    </row>
    <row r="5">
      <c r="A5" s="9" t="inlineStr">
        <is>
          <t>Update website copy</t>
        </is>
      </c>
      <c r="B5" s="10" t="n">
        <v>46189</v>
      </c>
      <c r="C5" s="9" t="inlineStr">
        <is>
          <t>Shorts</t>
        </is>
      </c>
      <c r="D5" s="9" t="n">
        <v>10.62</v>
      </c>
      <c r="E5" s="9" t="n">
        <v>7157</v>
      </c>
      <c r="F5" s="9" t="n">
        <v>323</v>
      </c>
      <c r="G5" s="9" t="n">
        <v>892</v>
      </c>
      <c r="H5" s="9" t="inlineStr">
        <is>
          <t>5.8%</t>
        </is>
      </c>
      <c r="I5" s="9" t="inlineStr">
        <is>
          <t>52%</t>
        </is>
      </c>
    </row>
    <row r="6">
      <c r="A6" s="7" t="inlineStr">
        <is>
          <t>Prepare invoice</t>
        </is>
      </c>
      <c r="B6" s="8" t="n">
        <v>46195</v>
      </c>
      <c r="C6" s="7" t="inlineStr">
        <is>
          <t>Reaction</t>
        </is>
      </c>
      <c r="D6" s="7" t="n">
        <v>14.37</v>
      </c>
      <c r="E6" s="7" t="n">
        <v>9683</v>
      </c>
      <c r="F6" s="7" t="n">
        <v>437</v>
      </c>
      <c r="G6" s="7" t="n">
        <v>1208</v>
      </c>
      <c r="H6" s="7" t="inlineStr">
        <is>
          <t>5.8%</t>
        </is>
      </c>
      <c r="I6" s="7" t="inlineStr">
        <is>
          <t>52%</t>
        </is>
      </c>
    </row>
    <row r="7">
      <c r="A7" s="9" t="inlineStr">
        <is>
          <t>Client call</t>
        </is>
      </c>
      <c r="B7" s="10" t="n">
        <v>46201</v>
      </c>
      <c r="C7" s="9" t="inlineStr">
        <is>
          <t>Educational</t>
        </is>
      </c>
      <c r="D7" s="9" t="n">
        <v>7.5</v>
      </c>
      <c r="E7" s="9" t="n">
        <v>5052</v>
      </c>
      <c r="F7" s="9" t="n">
        <v>228</v>
      </c>
      <c r="G7" s="9" t="n">
        <v>630</v>
      </c>
      <c r="H7" s="9" t="inlineStr"/>
      <c r="I7" s="9" t="inlineStr"/>
    </row>
    <row r="8">
      <c r="A8" s="7" t="inlineStr">
        <is>
          <t>Design first draft</t>
        </is>
      </c>
      <c r="B8" s="8" t="n">
        <v>46176</v>
      </c>
      <c r="C8" s="7" t="inlineStr">
        <is>
          <t>Other</t>
        </is>
      </c>
      <c r="D8" s="7" t="n">
        <v>18.12</v>
      </c>
      <c r="E8" s="7" t="n">
        <v>12209</v>
      </c>
      <c r="F8" s="7" t="n">
        <v>551</v>
      </c>
      <c r="G8" s="7" t="n">
        <v>1522</v>
      </c>
      <c r="H8" s="7" t="inlineStr">
        <is>
          <t>5.8%</t>
        </is>
      </c>
      <c r="I8" s="7" t="inlineStr">
        <is>
          <t>52%</t>
        </is>
      </c>
    </row>
    <row r="9">
      <c r="A9" s="9" t="inlineStr">
        <is>
          <t>Fix reported bug</t>
        </is>
      </c>
      <c r="B9" s="10" t="n">
        <v>46182</v>
      </c>
      <c r="C9" s="9" t="inlineStr">
        <is>
          <t>Tutorial</t>
        </is>
      </c>
      <c r="D9" s="9" t="n">
        <v>11.88</v>
      </c>
      <c r="E9" s="9" t="n">
        <v>7999</v>
      </c>
      <c r="F9" s="9" t="n">
        <v>361</v>
      </c>
      <c r="G9" s="9" t="n">
        <v>998</v>
      </c>
      <c r="H9" s="9" t="inlineStr">
        <is>
          <t>5.8%</t>
        </is>
      </c>
      <c r="I9" s="9" t="inlineStr">
        <is>
          <t>52%</t>
        </is>
      </c>
    </row>
    <row r="10">
      <c r="A10" s="7" t="inlineStr">
        <is>
          <t>Weekly report</t>
        </is>
      </c>
      <c r="B10" s="8" t="n">
        <v>46188</v>
      </c>
      <c r="C10" s="7" t="inlineStr">
        <is>
          <t>Vlog</t>
        </is>
      </c>
      <c r="D10" s="7" t="n">
        <v>15.62</v>
      </c>
      <c r="E10" s="7" t="n">
        <v>10525</v>
      </c>
      <c r="F10" s="7" t="n">
        <v>475</v>
      </c>
      <c r="G10" s="7" t="n">
        <v>1312</v>
      </c>
      <c r="H10" s="7" t="inlineStr"/>
      <c r="I10" s="7" t="inlineStr"/>
    </row>
    <row r="11">
      <c r="A11" s="9" t="inlineStr">
        <is>
          <t>Plan next sprint</t>
        </is>
      </c>
      <c r="B11" s="10" t="n">
        <v>46191</v>
      </c>
      <c r="C11" s="9" t="inlineStr">
        <is>
          <t>Review</t>
        </is>
      </c>
      <c r="D11" s="9" t="n">
        <v>10</v>
      </c>
      <c r="E11" s="9" t="n">
        <v>6736</v>
      </c>
      <c r="F11" s="9" t="n">
        <v>304</v>
      </c>
      <c r="G11" s="9" t="n">
        <v>840</v>
      </c>
      <c r="H11" s="9" t="inlineStr">
        <is>
          <t>5.8%</t>
        </is>
      </c>
      <c r="I11" s="9" t="inlineStr">
        <is>
          <t>52%</t>
        </is>
      </c>
    </row>
    <row r="12">
      <c r="A12" s="7" t="inlineStr">
        <is>
          <t>Publish blog post</t>
        </is>
      </c>
      <c r="B12" s="8" t="n">
        <v>46197</v>
      </c>
      <c r="C12" s="7" t="inlineStr">
        <is>
          <t>Shorts</t>
        </is>
      </c>
      <c r="D12" s="7" t="n">
        <v>13.75</v>
      </c>
      <c r="E12" s="7" t="n">
        <v>9262</v>
      </c>
      <c r="F12" s="7" t="n">
        <v>418</v>
      </c>
      <c r="G12" s="7" t="n">
        <v>1155</v>
      </c>
      <c r="H12" s="7" t="inlineStr">
        <is>
          <t>5.8%</t>
        </is>
      </c>
      <c r="I12" s="7" t="inlineStr">
        <is>
          <t>52%</t>
        </is>
      </c>
    </row>
    <row r="13">
      <c r="A13" s="9" t="inlineStr">
        <is>
          <t>Team sync</t>
        </is>
      </c>
      <c r="B13" s="10" t="n">
        <v>46175</v>
      </c>
      <c r="C13" s="9" t="inlineStr">
        <is>
          <t>Reaction</t>
        </is>
      </c>
      <c r="D13" s="9" t="n">
        <v>9.380000000000001</v>
      </c>
      <c r="E13" s="9" t="n">
        <v>6315</v>
      </c>
      <c r="F13" s="9" t="n">
        <v>285</v>
      </c>
      <c r="G13" s="9" t="n">
        <v>788</v>
      </c>
      <c r="H13" s="9" t="inlineStr"/>
      <c r="I13" s="9" t="inlineStr"/>
    </row>
  </sheetData>
  <dataValidations count="1">
    <dataValidation sqref="C2:C500" showDropDown="0" showInputMessage="0" showErrorMessage="0" allowBlank="1" type="list">
      <formula1>"Tutorial,Vlog,Review,Shorts,Reaction,Educational,Other"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YOUTUBE CHANNEL TRACKER — DASHBOARD</t>
        </is>
      </c>
    </row>
    <row r="4">
      <c r="B4" s="12" t="inlineStr">
        <is>
          <t>TOTAL VIDEOS</t>
        </is>
      </c>
      <c r="D4" s="13" t="inlineStr">
        <is>
          <t>AVG VIEWS/VIDEO</t>
        </is>
      </c>
      <c r="F4" s="14" t="inlineStr">
        <is>
          <t>TOTAL WATCH HRS</t>
        </is>
      </c>
      <c r="H4" s="15" t="inlineStr">
        <is>
          <t>MONTHLY AD REV $</t>
        </is>
      </c>
    </row>
    <row r="5" ht="26" customHeight="1">
      <c r="B5" s="16">
        <f>COUNTA(Videos!A:A)-1</f>
        <v/>
      </c>
      <c r="D5" s="17">
        <f>AVERAGE(Videos!E:E)</f>
        <v/>
      </c>
      <c r="F5" s="18">
        <f>SUM(Videos!G:G)</f>
        <v/>
      </c>
      <c r="H5" s="19">
        <f>SUMIF(Revenue!A:A,"&gt;="&amp;DATE(YEAR(TODAY()),MONTH(TODAY()),1),Revenue!D:D)</f>
        <v/>
      </c>
    </row>
    <row r="8">
      <c r="B8" s="20" t="inlineStr">
        <is>
          <t>WHAT'S INSIDE</t>
        </is>
      </c>
    </row>
    <row r="9">
      <c r="B9" s="21" t="inlineStr">
        <is>
          <t>🎬  Videos — Every video with views, likes, CTR, and retention.</t>
        </is>
      </c>
    </row>
    <row r="10">
      <c r="B10" s="21" t="inlineStr">
        <is>
          <t>📈  Growth — Monthly subscriber and view growth.</t>
        </is>
      </c>
    </row>
    <row r="11">
      <c r="B11" s="21" t="inlineStr">
        <is>
          <t>💰  Revenue — Monthly revenue from ads, memberships, and sponsorships.</t>
        </is>
      </c>
    </row>
    <row r="12">
      <c r="B12" s="21" t="inlineStr">
        <is>
          <t>📅  ContentPlan — Upcoming video ideas and production schedule.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>
      <c r="A1" s="6" t="inlineStr">
        <is>
          <t>Month</t>
        </is>
      </c>
      <c r="B1" s="6" t="inlineStr">
        <is>
          <t>Subscribers</t>
        </is>
      </c>
      <c r="C1" s="6" t="inlineStr">
        <is>
          <t>New Subs</t>
        </is>
      </c>
      <c r="D1" s="6" t="inlineStr">
        <is>
          <t>Total Views</t>
        </is>
      </c>
      <c r="E1" s="6" t="inlineStr">
        <is>
          <t>Watch Hrs</t>
        </is>
      </c>
      <c r="F1" s="6" t="inlineStr">
        <is>
          <t>Videos Posted</t>
        </is>
      </c>
    </row>
    <row r="2">
      <c r="A2" s="7" t="inlineStr">
        <is>
          <t>January 2024</t>
        </is>
      </c>
      <c r="B2" s="7" t="n">
        <v>8420</v>
      </c>
      <c r="C2" s="7" t="n">
        <v>312</v>
      </c>
      <c r="D2" s="22" t="n">
        <v>32000</v>
      </c>
      <c r="E2" s="7" t="n">
        <v>3200</v>
      </c>
      <c r="F2" s="7" t="n">
        <v>4</v>
      </c>
    </row>
    <row r="3">
      <c r="A3" s="9" t="inlineStr">
        <is>
          <t>January 2025</t>
        </is>
      </c>
      <c r="B3" s="9" t="n">
        <v>5894</v>
      </c>
      <c r="C3" s="9" t="n">
        <v>218</v>
      </c>
      <c r="D3" s="23" t="n">
        <v>22400</v>
      </c>
      <c r="E3" s="9" t="n">
        <v>2240</v>
      </c>
      <c r="F3" s="9" t="n">
        <v>2.8</v>
      </c>
    </row>
    <row r="4">
      <c r="A4" s="7" t="inlineStr">
        <is>
          <t>January 2026</t>
        </is>
      </c>
      <c r="B4" s="7" t="n">
        <v>10946</v>
      </c>
      <c r="C4" s="7" t="n">
        <v>406</v>
      </c>
      <c r="D4" s="22" t="n">
        <v>41600</v>
      </c>
      <c r="E4" s="7" t="n">
        <v>4160</v>
      </c>
      <c r="F4" s="7" t="n">
        <v>5.2</v>
      </c>
    </row>
    <row r="5">
      <c r="A5" s="9" t="inlineStr">
        <is>
          <t>January 2027</t>
        </is>
      </c>
      <c r="B5" s="9" t="n">
        <v>7157</v>
      </c>
      <c r="C5" s="9" t="n">
        <v>265</v>
      </c>
      <c r="D5" s="23" t="n">
        <v>27200</v>
      </c>
      <c r="E5" s="9" t="n">
        <v>2720</v>
      </c>
      <c r="F5" s="9" t="n">
        <v>3.4</v>
      </c>
    </row>
    <row r="6">
      <c r="A6" s="7" t="inlineStr">
        <is>
          <t>January 2028</t>
        </is>
      </c>
      <c r="B6" s="7" t="n">
        <v>9683</v>
      </c>
      <c r="C6" s="7" t="n">
        <v>359</v>
      </c>
      <c r="D6" s="22" t="n">
        <v>36800</v>
      </c>
      <c r="E6" s="7" t="n">
        <v>3680</v>
      </c>
      <c r="F6" s="7" t="n">
        <v>4.6</v>
      </c>
    </row>
    <row r="7">
      <c r="A7" s="9" t="inlineStr">
        <is>
          <t>January 2029</t>
        </is>
      </c>
      <c r="B7" s="9" t="n">
        <v>5052</v>
      </c>
      <c r="C7" s="9" t="n">
        <v>187</v>
      </c>
      <c r="D7" s="23" t="n">
        <v>19200</v>
      </c>
      <c r="E7" s="9" t="n">
        <v>1920</v>
      </c>
      <c r="F7" s="9" t="n">
        <v>2.4</v>
      </c>
    </row>
    <row r="8">
      <c r="A8" s="7" t="inlineStr">
        <is>
          <t>January 2030</t>
        </is>
      </c>
      <c r="B8" s="7" t="n">
        <v>12209</v>
      </c>
      <c r="C8" s="7" t="n">
        <v>452</v>
      </c>
      <c r="D8" s="22" t="n">
        <v>46400</v>
      </c>
      <c r="E8" s="7" t="n">
        <v>4640</v>
      </c>
      <c r="F8" s="7" t="n">
        <v>5.8</v>
      </c>
    </row>
    <row r="9">
      <c r="A9" s="9" t="inlineStr">
        <is>
          <t>January 2031</t>
        </is>
      </c>
      <c r="B9" s="9" t="n">
        <v>7999</v>
      </c>
      <c r="C9" s="9" t="n">
        <v>296</v>
      </c>
      <c r="D9" s="23" t="n">
        <v>30400</v>
      </c>
      <c r="E9" s="9" t="n">
        <v>3040</v>
      </c>
      <c r="F9" s="9" t="n">
        <v>3.8</v>
      </c>
    </row>
    <row r="10">
      <c r="A10" s="7" t="inlineStr">
        <is>
          <t>January 2032</t>
        </is>
      </c>
      <c r="B10" s="7" t="n">
        <v>10525</v>
      </c>
      <c r="C10" s="7" t="n">
        <v>390</v>
      </c>
      <c r="D10" s="22" t="n">
        <v>40000</v>
      </c>
      <c r="E10" s="7" t="n">
        <v>4000</v>
      </c>
      <c r="F10" s="7" t="n">
        <v>5</v>
      </c>
    </row>
    <row r="11">
      <c r="A11" s="9" t="inlineStr">
        <is>
          <t>January 2033</t>
        </is>
      </c>
      <c r="B11" s="9" t="n">
        <v>6736</v>
      </c>
      <c r="C11" s="9" t="n">
        <v>250</v>
      </c>
      <c r="D11" s="23" t="n">
        <v>25600</v>
      </c>
      <c r="E11" s="9" t="n">
        <v>2560</v>
      </c>
      <c r="F11" s="9" t="n">
        <v>3.2</v>
      </c>
    </row>
    <row r="12">
      <c r="A12" s="7" t="inlineStr">
        <is>
          <t>January 2034</t>
        </is>
      </c>
      <c r="B12" s="7" t="n">
        <v>9262</v>
      </c>
      <c r="C12" s="7" t="n">
        <v>343</v>
      </c>
      <c r="D12" s="22" t="n">
        <v>35200</v>
      </c>
      <c r="E12" s="7" t="n">
        <v>3520</v>
      </c>
      <c r="F12" s="7" t="n">
        <v>4.4</v>
      </c>
    </row>
    <row r="13">
      <c r="A13" s="9" t="inlineStr">
        <is>
          <t>January 2035</t>
        </is>
      </c>
      <c r="B13" s="9" t="n">
        <v>6315</v>
      </c>
      <c r="C13" s="9" t="n">
        <v>234</v>
      </c>
      <c r="D13" s="23" t="n">
        <v>24000</v>
      </c>
      <c r="E13" s="9" t="n">
        <v>2400</v>
      </c>
      <c r="F13" s="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6" t="inlineStr">
        <is>
          <t>Month</t>
        </is>
      </c>
      <c r="B1" s="6" t="inlineStr">
        <is>
          <t>Ad Revenue $</t>
        </is>
      </c>
      <c r="C1" s="6" t="inlineStr">
        <is>
          <t>Memberships $</t>
        </is>
      </c>
      <c r="D1" s="6" t="inlineStr">
        <is>
          <t>Sponsorships $</t>
        </is>
      </c>
      <c r="E1" s="6" t="inlineStr">
        <is>
          <t>Merch $</t>
        </is>
      </c>
      <c r="F1" s="6" t="inlineStr">
        <is>
          <t>Total $</t>
        </is>
      </c>
    </row>
    <row r="2">
      <c r="A2" s="7" t="inlineStr">
        <is>
          <t>January 2024</t>
        </is>
      </c>
      <c r="B2" s="22" t="n">
        <v>280</v>
      </c>
      <c r="C2" s="7" t="n">
        <v>45</v>
      </c>
      <c r="D2" s="7" t="n">
        <v>500</v>
      </c>
      <c r="E2" s="7" t="n">
        <v>0</v>
      </c>
      <c r="F2" s="7">
        <f>SUM(B2:E2)</f>
        <v/>
      </c>
    </row>
    <row r="3">
      <c r="A3" s="9" t="inlineStr">
        <is>
          <t>January 2025</t>
        </is>
      </c>
      <c r="B3" s="23" t="n">
        <v>196</v>
      </c>
      <c r="C3" s="9" t="n">
        <v>31.5</v>
      </c>
      <c r="D3" s="9" t="n">
        <v>350</v>
      </c>
      <c r="E3" s="9" t="n">
        <v>0</v>
      </c>
      <c r="F3" s="9">
        <f>SUM(B3:E3)</f>
        <v/>
      </c>
    </row>
    <row r="4">
      <c r="A4" s="7" t="inlineStr">
        <is>
          <t>January 2026</t>
        </is>
      </c>
      <c r="B4" s="22" t="n">
        <v>364</v>
      </c>
      <c r="C4" s="7" t="n">
        <v>58.5</v>
      </c>
      <c r="D4" s="7" t="n">
        <v>650</v>
      </c>
      <c r="E4" s="7" t="n">
        <v>0</v>
      </c>
      <c r="F4" s="7">
        <f>SUM(B4:E4)</f>
        <v/>
      </c>
    </row>
    <row r="5">
      <c r="A5" s="9" t="inlineStr">
        <is>
          <t>January 2027</t>
        </is>
      </c>
      <c r="B5" s="23" t="n">
        <v>238</v>
      </c>
      <c r="C5" s="9" t="n">
        <v>38.25</v>
      </c>
      <c r="D5" s="9" t="n">
        <v>425</v>
      </c>
      <c r="E5" s="9" t="n">
        <v>0</v>
      </c>
      <c r="F5" s="9">
        <f>SUM(B5:E5)</f>
        <v/>
      </c>
    </row>
    <row r="6">
      <c r="A6" s="7" t="inlineStr">
        <is>
          <t>January 2028</t>
        </is>
      </c>
      <c r="B6" s="22" t="n">
        <v>322</v>
      </c>
      <c r="C6" s="7" t="n">
        <v>51.75</v>
      </c>
      <c r="D6" s="7" t="n">
        <v>575</v>
      </c>
      <c r="E6" s="7" t="n">
        <v>0</v>
      </c>
      <c r="F6" s="7">
        <f>SUM(B6:E6)</f>
        <v/>
      </c>
    </row>
    <row r="7">
      <c r="A7" s="9" t="inlineStr">
        <is>
          <t>January 2029</t>
        </is>
      </c>
      <c r="B7" s="23" t="n">
        <v>168</v>
      </c>
      <c r="C7" s="9" t="n">
        <v>27</v>
      </c>
      <c r="D7" s="9" t="n">
        <v>300</v>
      </c>
      <c r="E7" s="9" t="n">
        <v>0</v>
      </c>
      <c r="F7" s="9">
        <f>SUM(B7:E7)</f>
        <v/>
      </c>
    </row>
    <row r="8">
      <c r="A8" s="7" t="inlineStr">
        <is>
          <t>January 2030</t>
        </is>
      </c>
      <c r="B8" s="22" t="n">
        <v>406</v>
      </c>
      <c r="C8" s="7" t="n">
        <v>65.25</v>
      </c>
      <c r="D8" s="7" t="n">
        <v>725</v>
      </c>
      <c r="E8" s="7" t="n">
        <v>0</v>
      </c>
      <c r="F8" s="7">
        <f>SUM(B8:E8)</f>
        <v/>
      </c>
    </row>
    <row r="9">
      <c r="A9" s="9" t="inlineStr">
        <is>
          <t>January 2031</t>
        </is>
      </c>
      <c r="B9" s="23" t="n">
        <v>266</v>
      </c>
      <c r="C9" s="9" t="n">
        <v>42.75</v>
      </c>
      <c r="D9" s="9" t="n">
        <v>475</v>
      </c>
      <c r="E9" s="9" t="n">
        <v>0</v>
      </c>
      <c r="F9" s="9">
        <f>SUM(B9:E9)</f>
        <v/>
      </c>
    </row>
    <row r="10">
      <c r="A10" s="7" t="inlineStr">
        <is>
          <t>January 2032</t>
        </is>
      </c>
      <c r="B10" s="22" t="n">
        <v>350</v>
      </c>
      <c r="C10" s="7" t="n">
        <v>56.25</v>
      </c>
      <c r="D10" s="7" t="n">
        <v>625</v>
      </c>
      <c r="E10" s="7" t="n">
        <v>0</v>
      </c>
      <c r="F10" s="7">
        <f>SUM(B10:E10)</f>
        <v/>
      </c>
    </row>
    <row r="11">
      <c r="A11" s="9" t="inlineStr">
        <is>
          <t>January 2033</t>
        </is>
      </c>
      <c r="B11" s="23" t="n">
        <v>224</v>
      </c>
      <c r="C11" s="9" t="n">
        <v>36</v>
      </c>
      <c r="D11" s="9" t="n">
        <v>400</v>
      </c>
      <c r="E11" s="9" t="n">
        <v>0</v>
      </c>
      <c r="F11" s="9">
        <f>SUM(B11:E11)</f>
        <v/>
      </c>
    </row>
    <row r="12">
      <c r="A12" s="7" t="inlineStr">
        <is>
          <t>January 2034</t>
        </is>
      </c>
      <c r="B12" s="22" t="n">
        <v>308</v>
      </c>
      <c r="C12" s="7" t="n">
        <v>49.5</v>
      </c>
      <c r="D12" s="7" t="n">
        <v>550</v>
      </c>
      <c r="E12" s="7" t="n">
        <v>0</v>
      </c>
      <c r="F12" s="7">
        <f>SUM(B12:E12)</f>
        <v/>
      </c>
    </row>
    <row r="13">
      <c r="A13" s="9" t="inlineStr">
        <is>
          <t>January 2035</t>
        </is>
      </c>
      <c r="B13" s="23" t="n">
        <v>210</v>
      </c>
      <c r="C13" s="9" t="n">
        <v>33.75</v>
      </c>
      <c r="D13" s="9" t="n">
        <v>375</v>
      </c>
      <c r="E13" s="9" t="n">
        <v>0</v>
      </c>
      <c r="F13" s="9">
        <f>SUM(B13:E13)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6" t="inlineStr">
        <is>
          <t>Title Idea</t>
        </is>
      </c>
      <c r="B1" s="6" t="inlineStr">
        <is>
          <t>Category</t>
        </is>
      </c>
      <c r="C1" s="6" t="inlineStr">
        <is>
          <t>Target Date</t>
        </is>
      </c>
      <c r="D1" s="6" t="inlineStr">
        <is>
          <t>Script Done</t>
        </is>
      </c>
      <c r="E1" s="6" t="inlineStr">
        <is>
          <t>Filmed</t>
        </is>
      </c>
      <c r="F1" s="6" t="inlineStr">
        <is>
          <t>Status</t>
        </is>
      </c>
    </row>
    <row r="2">
      <c r="A2" s="7" t="inlineStr">
        <is>
          <t>Kickoff meeting</t>
        </is>
      </c>
      <c r="B2" s="7" t="inlineStr">
        <is>
          <t>Educational</t>
        </is>
      </c>
      <c r="C2" s="8" t="n">
        <v>46174</v>
      </c>
      <c r="D2" s="7" t="inlineStr">
        <is>
          <t>Yes</t>
        </is>
      </c>
      <c r="E2" s="7" t="inlineStr">
        <is>
          <t>Yes</t>
        </is>
      </c>
      <c r="F2" s="7" t="inlineStr">
        <is>
          <t>Idea</t>
        </is>
      </c>
    </row>
    <row r="3">
      <c r="A3" s="9" t="inlineStr">
        <is>
          <t>Send proposal</t>
        </is>
      </c>
      <c r="B3" s="9" t="inlineStr">
        <is>
          <t>Educational</t>
        </is>
      </c>
      <c r="C3" s="10" t="n">
        <v>46180</v>
      </c>
      <c r="D3" s="9" t="inlineStr">
        <is>
          <t>No</t>
        </is>
      </c>
      <c r="E3" s="9" t="inlineStr">
        <is>
          <t>No</t>
        </is>
      </c>
      <c r="F3" s="9" t="inlineStr">
        <is>
          <t>Scripting</t>
        </is>
      </c>
    </row>
    <row r="4">
      <c r="A4" s="7" t="inlineStr">
        <is>
          <t>Review feedback</t>
        </is>
      </c>
      <c r="B4" s="7" t="inlineStr"/>
      <c r="C4" s="8" t="n">
        <v>46186</v>
      </c>
      <c r="D4" s="7" t="inlineStr">
        <is>
          <t>In Progress</t>
        </is>
      </c>
      <c r="E4" s="7" t="inlineStr">
        <is>
          <t>Yes</t>
        </is>
      </c>
      <c r="F4" s="7" t="inlineStr">
        <is>
          <t>Filming</t>
        </is>
      </c>
    </row>
    <row r="5">
      <c r="A5" s="9" t="inlineStr">
        <is>
          <t>Update website copy</t>
        </is>
      </c>
      <c r="B5" s="9" t="inlineStr">
        <is>
          <t>Educational</t>
        </is>
      </c>
      <c r="C5" s="10" t="n">
        <v>46189</v>
      </c>
      <c r="D5" s="9" t="inlineStr">
        <is>
          <t>Yes</t>
        </is>
      </c>
      <c r="E5" s="9" t="inlineStr">
        <is>
          <t>No</t>
        </is>
      </c>
      <c r="F5" s="9" t="inlineStr">
        <is>
          <t>Editing</t>
        </is>
      </c>
    </row>
    <row r="6">
      <c r="A6" s="7" t="inlineStr">
        <is>
          <t>Prepare invoice</t>
        </is>
      </c>
      <c r="B6" s="7" t="inlineStr">
        <is>
          <t>Educational</t>
        </is>
      </c>
      <c r="C6" s="8" t="n">
        <v>46195</v>
      </c>
      <c r="D6" s="7" t="inlineStr">
        <is>
          <t>No</t>
        </is>
      </c>
      <c r="E6" s="7" t="inlineStr">
        <is>
          <t>Yes</t>
        </is>
      </c>
      <c r="F6" s="7" t="inlineStr">
        <is>
          <t>Scheduled</t>
        </is>
      </c>
    </row>
    <row r="7">
      <c r="A7" s="9" t="inlineStr">
        <is>
          <t>Client call</t>
        </is>
      </c>
      <c r="B7" s="9" t="inlineStr"/>
      <c r="C7" s="10" t="n">
        <v>46201</v>
      </c>
      <c r="D7" s="9" t="inlineStr">
        <is>
          <t>In Progress</t>
        </is>
      </c>
      <c r="E7" s="9" t="inlineStr">
        <is>
          <t>No</t>
        </is>
      </c>
      <c r="F7" s="9" t="inlineStr">
        <is>
          <t>Published</t>
        </is>
      </c>
    </row>
    <row r="8">
      <c r="A8" s="7" t="inlineStr">
        <is>
          <t>Design first draft</t>
        </is>
      </c>
      <c r="B8" s="7" t="inlineStr">
        <is>
          <t>Educational</t>
        </is>
      </c>
      <c r="C8" s="8" t="n">
        <v>46176</v>
      </c>
      <c r="D8" s="7" t="inlineStr">
        <is>
          <t>Yes</t>
        </is>
      </c>
      <c r="E8" s="7" t="inlineStr">
        <is>
          <t>Yes</t>
        </is>
      </c>
      <c r="F8" s="7" t="inlineStr">
        <is>
          <t>Idea</t>
        </is>
      </c>
    </row>
    <row r="9">
      <c r="A9" s="9" t="inlineStr">
        <is>
          <t>Fix reported bug</t>
        </is>
      </c>
      <c r="B9" s="9" t="inlineStr">
        <is>
          <t>Educational</t>
        </is>
      </c>
      <c r="C9" s="10" t="n">
        <v>46182</v>
      </c>
      <c r="D9" s="9" t="inlineStr">
        <is>
          <t>No</t>
        </is>
      </c>
      <c r="E9" s="9" t="inlineStr">
        <is>
          <t>No</t>
        </is>
      </c>
      <c r="F9" s="9" t="inlineStr">
        <is>
          <t>Scripting</t>
        </is>
      </c>
    </row>
    <row r="10">
      <c r="A10" s="7" t="inlineStr">
        <is>
          <t>Weekly report</t>
        </is>
      </c>
      <c r="B10" s="7" t="inlineStr"/>
      <c r="C10" s="8" t="n">
        <v>46188</v>
      </c>
      <c r="D10" s="7" t="inlineStr">
        <is>
          <t>In Progress</t>
        </is>
      </c>
      <c r="E10" s="7" t="inlineStr">
        <is>
          <t>Yes</t>
        </is>
      </c>
      <c r="F10" s="7" t="inlineStr">
        <is>
          <t>Filming</t>
        </is>
      </c>
    </row>
    <row r="11">
      <c r="A11" s="9" t="inlineStr">
        <is>
          <t>Plan next sprint</t>
        </is>
      </c>
      <c r="B11" s="9" t="inlineStr">
        <is>
          <t>Educational</t>
        </is>
      </c>
      <c r="C11" s="10" t="n">
        <v>46191</v>
      </c>
      <c r="D11" s="9" t="inlineStr">
        <is>
          <t>Yes</t>
        </is>
      </c>
      <c r="E11" s="9" t="inlineStr">
        <is>
          <t>No</t>
        </is>
      </c>
      <c r="F11" s="9" t="inlineStr">
        <is>
          <t>Editing</t>
        </is>
      </c>
    </row>
    <row r="12">
      <c r="A12" s="7" t="inlineStr">
        <is>
          <t>Publish blog post</t>
        </is>
      </c>
      <c r="B12" s="7" t="inlineStr">
        <is>
          <t>Educational</t>
        </is>
      </c>
      <c r="C12" s="8" t="n">
        <v>46197</v>
      </c>
      <c r="D12" s="7" t="inlineStr">
        <is>
          <t>No</t>
        </is>
      </c>
      <c r="E12" s="7" t="inlineStr">
        <is>
          <t>Yes</t>
        </is>
      </c>
      <c r="F12" s="7" t="inlineStr">
        <is>
          <t>Scheduled</t>
        </is>
      </c>
    </row>
    <row r="13">
      <c r="A13" s="9" t="inlineStr">
        <is>
          <t>Team sync</t>
        </is>
      </c>
      <c r="B13" s="9" t="inlineStr"/>
      <c r="C13" s="10" t="n">
        <v>46175</v>
      </c>
      <c r="D13" s="9" t="inlineStr">
        <is>
          <t>In Progress</t>
        </is>
      </c>
      <c r="E13" s="9" t="inlineStr">
        <is>
          <t>No</t>
        </is>
      </c>
      <c r="F13" s="9" t="inlineStr">
        <is>
          <t>Published</t>
        </is>
      </c>
    </row>
  </sheetData>
  <dataValidations count="3">
    <dataValidation sqref="D2:D500" showDropDown="0" showInputMessage="0" showErrorMessage="0" allowBlank="1" type="list">
      <formula1>"Yes,No,In Progress"</formula1>
    </dataValidation>
    <dataValidation sqref="E2:E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"Idea,Scripting,Filming,Editing,Scheduled,Published"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