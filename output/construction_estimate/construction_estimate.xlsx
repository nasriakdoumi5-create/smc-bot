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stimate" sheetId="2" state="visible" r:id="rId2"/>
    <sheet name="Actuals" sheetId="3" state="visible" r:id="rId3"/>
    <sheet name="Schedule" sheetId="4" state="visible" r:id="rId4"/>
    <sheet name="ContractValu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C100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Construction Estimate</t>
        </is>
      </c>
    </row>
    <row r="3">
      <c r="A3" s="2" t="inlineStr">
        <is>
          <t>Total Estimate $</t>
        </is>
      </c>
      <c r="B3" s="2" t="inlineStr">
        <is>
          <t>Total Actual $</t>
        </is>
      </c>
      <c r="C3" s="2" t="inlineStr">
        <is>
          <t>Variance $</t>
        </is>
      </c>
      <c r="D3" s="2" t="inlineStr">
        <is>
          <t>Gross Margin %</t>
        </is>
      </c>
    </row>
    <row r="4" ht="36" customHeight="1">
      <c r="A4" s="3">
        <f>SUM(Estimate!H:H)</f>
        <v/>
      </c>
      <c r="B4" s="3">
        <f>SUM(Actuals!F:F)</f>
        <v/>
      </c>
      <c r="C4" s="3">
        <f>SUM(Estimate!H:H)-SUM(Actuals!F:F)</f>
        <v/>
      </c>
      <c r="D4" s="3">
        <f>(ContractValue!B1-SUM(Estimate!H:H))/ContractValue!B1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97706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12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Trade</t>
        </is>
      </c>
      <c r="B1" s="4" t="inlineStr">
        <is>
          <t>Line Item</t>
        </is>
      </c>
      <c r="C1" s="4" t="inlineStr">
        <is>
          <t>Unit</t>
        </is>
      </c>
      <c r="D1" s="4" t="inlineStr">
        <is>
          <t>Quantity</t>
        </is>
      </c>
      <c r="E1" s="4" t="inlineStr">
        <is>
          <t>Material/Unit</t>
        </is>
      </c>
      <c r="F1" s="4" t="inlineStr">
        <is>
          <t>Labor/Unit</t>
        </is>
      </c>
      <c r="G1" s="4" t="inlineStr">
        <is>
          <t>Total/Unit</t>
        </is>
      </c>
      <c r="H1" s="4" t="inlineStr">
        <is>
          <t>Line Total</t>
        </is>
      </c>
    </row>
    <row r="2" ht="22" customHeight="1">
      <c r="A2" s="5" t="inlineStr"/>
      <c r="B2" s="5" t="inlineStr">
        <is>
          <t>Concrete slab pour</t>
        </is>
      </c>
      <c r="C2" s="5" t="inlineStr">
        <is>
          <t>SF</t>
        </is>
      </c>
      <c r="D2" s="5" t="inlineStr">
        <is>
          <t>1200</t>
        </is>
      </c>
      <c r="E2" s="5" t="inlineStr">
        <is>
          <t>4.50</t>
        </is>
      </c>
      <c r="F2" s="5" t="inlineStr">
        <is>
          <t>3.00</t>
        </is>
      </c>
      <c r="G2" s="6">
        <f>E2+F2</f>
        <v/>
      </c>
      <c r="H2" s="6">
        <f>D2*G2</f>
        <v/>
      </c>
    </row>
    <row r="3" ht="22" customHeight="1">
      <c r="A3" s="5" t="inlineStr"/>
      <c r="B3" s="5" t="inlineStr">
        <is>
          <t>Concrete slab pour</t>
        </is>
      </c>
      <c r="C3" s="5" t="inlineStr">
        <is>
          <t>SF</t>
        </is>
      </c>
      <c r="D3" s="5" t="inlineStr">
        <is>
          <t>1200</t>
        </is>
      </c>
      <c r="E3" s="5" t="inlineStr">
        <is>
          <t>4.50</t>
        </is>
      </c>
      <c r="F3" s="5" t="inlineStr">
        <is>
          <t>3.00</t>
        </is>
      </c>
      <c r="G3" s="6">
        <f>E3+F3</f>
        <v/>
      </c>
      <c r="H3" s="6">
        <f>D3*G3</f>
        <v/>
      </c>
    </row>
    <row r="4" ht="22" customHeight="1">
      <c r="A4" s="5" t="inlineStr"/>
      <c r="B4" s="5" t="inlineStr">
        <is>
          <t>Concrete slab pour</t>
        </is>
      </c>
      <c r="C4" s="5" t="inlineStr">
        <is>
          <t>SF</t>
        </is>
      </c>
      <c r="D4" s="5" t="inlineStr">
        <is>
          <t>1200</t>
        </is>
      </c>
      <c r="E4" s="5" t="inlineStr">
        <is>
          <t>4.50</t>
        </is>
      </c>
      <c r="F4" s="5" t="inlineStr">
        <is>
          <t>3.00</t>
        </is>
      </c>
      <c r="G4" s="6">
        <f>E4+F4</f>
        <v/>
      </c>
      <c r="H4" s="6">
        <f>D4*G4</f>
        <v/>
      </c>
    </row>
    <row r="5" ht="22" customHeight="1">
      <c r="A5" s="5" t="inlineStr"/>
      <c r="B5" s="5" t="inlineStr">
        <is>
          <t>Concrete slab pour</t>
        </is>
      </c>
      <c r="C5" s="5" t="inlineStr">
        <is>
          <t>SF</t>
        </is>
      </c>
      <c r="D5" s="5" t="inlineStr">
        <is>
          <t>1200</t>
        </is>
      </c>
      <c r="E5" s="5" t="inlineStr">
        <is>
          <t>4.50</t>
        </is>
      </c>
      <c r="F5" s="5" t="inlineStr">
        <is>
          <t>3.00</t>
        </is>
      </c>
      <c r="G5" s="6">
        <f>E5+F5</f>
        <v/>
      </c>
      <c r="H5" s="6">
        <f>D5*G5</f>
        <v/>
      </c>
    </row>
    <row r="6" ht="22" customHeight="1">
      <c r="A6" s="5" t="inlineStr"/>
      <c r="B6" s="5" t="inlineStr">
        <is>
          <t>Concrete slab pour</t>
        </is>
      </c>
      <c r="C6" s="5" t="inlineStr">
        <is>
          <t>SF</t>
        </is>
      </c>
      <c r="D6" s="5" t="inlineStr">
        <is>
          <t>1200</t>
        </is>
      </c>
      <c r="E6" s="5" t="inlineStr">
        <is>
          <t>4.50</t>
        </is>
      </c>
      <c r="F6" s="5" t="inlineStr">
        <is>
          <t>3.00</t>
        </is>
      </c>
      <c r="G6" s="6">
        <f>E6+F6</f>
        <v/>
      </c>
      <c r="H6" s="6">
        <f>D6*G6</f>
        <v/>
      </c>
    </row>
    <row r="7" ht="22" customHeight="1">
      <c r="A7" s="5" t="inlineStr"/>
      <c r="B7" s="5" t="inlineStr">
        <is>
          <t>Concrete slab pour</t>
        </is>
      </c>
      <c r="C7" s="5" t="inlineStr">
        <is>
          <t>SF</t>
        </is>
      </c>
      <c r="D7" s="5" t="inlineStr">
        <is>
          <t>1200</t>
        </is>
      </c>
      <c r="E7" s="5" t="inlineStr">
        <is>
          <t>4.50</t>
        </is>
      </c>
      <c r="F7" s="5" t="inlineStr">
        <is>
          <t>3.00</t>
        </is>
      </c>
      <c r="G7" s="6">
        <f>E7+F7</f>
        <v/>
      </c>
      <c r="H7" s="6">
        <f>D7*G7</f>
        <v/>
      </c>
    </row>
    <row r="8" ht="22" customHeight="1">
      <c r="A8" s="5" t="inlineStr"/>
      <c r="B8" s="5" t="inlineStr">
        <is>
          <t>Concrete slab pour</t>
        </is>
      </c>
      <c r="C8" s="5" t="inlineStr">
        <is>
          <t>SF</t>
        </is>
      </c>
      <c r="D8" s="5" t="inlineStr">
        <is>
          <t>1200</t>
        </is>
      </c>
      <c r="E8" s="5" t="inlineStr">
        <is>
          <t>4.50</t>
        </is>
      </c>
      <c r="F8" s="5" t="inlineStr">
        <is>
          <t>3.00</t>
        </is>
      </c>
      <c r="G8" s="6">
        <f>E8+F8</f>
        <v/>
      </c>
      <c r="H8" s="6">
        <f>D8*G8</f>
        <v/>
      </c>
    </row>
    <row r="9" ht="22" customHeight="1">
      <c r="A9" s="5" t="inlineStr"/>
      <c r="B9" s="5" t="inlineStr">
        <is>
          <t>Concrete slab pour</t>
        </is>
      </c>
      <c r="C9" s="5" t="inlineStr">
        <is>
          <t>SF</t>
        </is>
      </c>
      <c r="D9" s="5" t="inlineStr">
        <is>
          <t>1200</t>
        </is>
      </c>
      <c r="E9" s="5" t="inlineStr">
        <is>
          <t>4.50</t>
        </is>
      </c>
      <c r="F9" s="5" t="inlineStr">
        <is>
          <t>3.00</t>
        </is>
      </c>
      <c r="G9" s="6">
        <f>E9+F9</f>
        <v/>
      </c>
      <c r="H9" s="6">
        <f>D9*G9</f>
        <v/>
      </c>
    </row>
    <row r="10" ht="22" customHeight="1">
      <c r="A10" s="5" t="inlineStr"/>
      <c r="B10" s="5" t="inlineStr">
        <is>
          <t>Concrete slab pour</t>
        </is>
      </c>
      <c r="C10" s="5" t="inlineStr">
        <is>
          <t>SF</t>
        </is>
      </c>
      <c r="D10" s="5" t="inlineStr">
        <is>
          <t>1200</t>
        </is>
      </c>
      <c r="E10" s="5" t="inlineStr">
        <is>
          <t>4.50</t>
        </is>
      </c>
      <c r="F10" s="5" t="inlineStr">
        <is>
          <t>3.00</t>
        </is>
      </c>
      <c r="G10" s="6">
        <f>E10+F10</f>
        <v/>
      </c>
      <c r="H10" s="6">
        <f>D10*G10</f>
        <v/>
      </c>
    </row>
    <row r="11" ht="22" customHeight="1">
      <c r="A11" s="5" t="inlineStr"/>
      <c r="B11" s="5" t="inlineStr">
        <is>
          <t>Concrete slab pour</t>
        </is>
      </c>
      <c r="C11" s="5" t="inlineStr">
        <is>
          <t>SF</t>
        </is>
      </c>
      <c r="D11" s="5" t="inlineStr">
        <is>
          <t>1200</t>
        </is>
      </c>
      <c r="E11" s="5" t="inlineStr">
        <is>
          <t>4.50</t>
        </is>
      </c>
      <c r="F11" s="5" t="inlineStr">
        <is>
          <t>3.00</t>
        </is>
      </c>
      <c r="G11" s="6">
        <f>E11+F11</f>
        <v/>
      </c>
      <c r="H11" s="6">
        <f>D11*G11</f>
        <v/>
      </c>
    </row>
    <row r="12" ht="22" customHeight="1">
      <c r="A12" s="5" t="inlineStr"/>
      <c r="B12" s="5" t="inlineStr">
        <is>
          <t>Concrete slab pour</t>
        </is>
      </c>
      <c r="C12" s="5" t="inlineStr">
        <is>
          <t>SF</t>
        </is>
      </c>
      <c r="D12" s="5" t="inlineStr">
        <is>
          <t>1200</t>
        </is>
      </c>
      <c r="E12" s="5" t="inlineStr">
        <is>
          <t>4.50</t>
        </is>
      </c>
      <c r="F12" s="5" t="inlineStr">
        <is>
          <t>3.00</t>
        </is>
      </c>
      <c r="G12" s="6">
        <f>E12+F12</f>
        <v/>
      </c>
      <c r="H12" s="6">
        <f>D12*G12</f>
        <v/>
      </c>
    </row>
    <row r="13" ht="22" customHeight="1">
      <c r="A13" s="5" t="inlineStr"/>
      <c r="B13" s="5" t="inlineStr">
        <is>
          <t>Concrete slab pour</t>
        </is>
      </c>
      <c r="C13" s="5" t="inlineStr">
        <is>
          <t>SF</t>
        </is>
      </c>
      <c r="D13" s="5" t="inlineStr">
        <is>
          <t>1200</t>
        </is>
      </c>
      <c r="E13" s="5" t="inlineStr">
        <is>
          <t>4.50</t>
        </is>
      </c>
      <c r="F13" s="5" t="inlineStr">
        <is>
          <t>3.00</t>
        </is>
      </c>
      <c r="G13" s="6">
        <f>E13+F13</f>
        <v/>
      </c>
      <c r="H13" s="6">
        <f>D13*G13</f>
        <v/>
      </c>
    </row>
    <row r="14" ht="22" customHeight="1">
      <c r="A14" s="5" t="inlineStr"/>
      <c r="B14" s="5" t="inlineStr">
        <is>
          <t>Concrete slab pour</t>
        </is>
      </c>
      <c r="C14" s="5" t="inlineStr">
        <is>
          <t>SF</t>
        </is>
      </c>
      <c r="D14" s="5" t="inlineStr">
        <is>
          <t>1200</t>
        </is>
      </c>
      <c r="E14" s="5" t="inlineStr">
        <is>
          <t>4.50</t>
        </is>
      </c>
      <c r="F14" s="5" t="inlineStr">
        <is>
          <t>3.00</t>
        </is>
      </c>
      <c r="G14" s="6">
        <f>E14+F14</f>
        <v/>
      </c>
      <c r="H14" s="6">
        <f>D14*G14</f>
        <v/>
      </c>
    </row>
    <row r="15" ht="22" customHeight="1">
      <c r="A15" s="5" t="inlineStr"/>
      <c r="B15" s="5" t="inlineStr">
        <is>
          <t>Concrete slab pour</t>
        </is>
      </c>
      <c r="C15" s="5" t="inlineStr">
        <is>
          <t>SF</t>
        </is>
      </c>
      <c r="D15" s="5" t="inlineStr">
        <is>
          <t>1200</t>
        </is>
      </c>
      <c r="E15" s="5" t="inlineStr">
        <is>
          <t>4.50</t>
        </is>
      </c>
      <c r="F15" s="5" t="inlineStr">
        <is>
          <t>3.00</t>
        </is>
      </c>
      <c r="G15" s="6">
        <f>E15+F15</f>
        <v/>
      </c>
      <c r="H15" s="6">
        <f>D15*G15</f>
        <v/>
      </c>
    </row>
    <row r="16" ht="22" customHeight="1">
      <c r="A16" s="5" t="inlineStr"/>
      <c r="B16" s="5" t="inlineStr">
        <is>
          <t>Concrete slab pour</t>
        </is>
      </c>
      <c r="C16" s="5" t="inlineStr">
        <is>
          <t>SF</t>
        </is>
      </c>
      <c r="D16" s="5" t="inlineStr">
        <is>
          <t>1200</t>
        </is>
      </c>
      <c r="E16" s="5" t="inlineStr">
        <is>
          <t>4.50</t>
        </is>
      </c>
      <c r="F16" s="5" t="inlineStr">
        <is>
          <t>3.00</t>
        </is>
      </c>
      <c r="G16" s="6">
        <f>E16+F16</f>
        <v/>
      </c>
      <c r="H16" s="6">
        <f>D16*G16</f>
        <v/>
      </c>
    </row>
    <row r="17" ht="22" customHeight="1">
      <c r="A17" s="5" t="inlineStr"/>
      <c r="B17" s="5" t="inlineStr">
        <is>
          <t>Concrete slab pour</t>
        </is>
      </c>
      <c r="C17" s="5" t="inlineStr">
        <is>
          <t>SF</t>
        </is>
      </c>
      <c r="D17" s="5" t="inlineStr">
        <is>
          <t>1200</t>
        </is>
      </c>
      <c r="E17" s="5" t="inlineStr">
        <is>
          <t>4.50</t>
        </is>
      </c>
      <c r="F17" s="5" t="inlineStr">
        <is>
          <t>3.00</t>
        </is>
      </c>
      <c r="G17" s="6">
        <f>E17+F17</f>
        <v/>
      </c>
      <c r="H17" s="6">
        <f>D17*G17</f>
        <v/>
      </c>
    </row>
    <row r="18" ht="22" customHeight="1">
      <c r="A18" s="5" t="inlineStr"/>
      <c r="B18" s="5" t="inlineStr">
        <is>
          <t>Concrete slab pour</t>
        </is>
      </c>
      <c r="C18" s="5" t="inlineStr">
        <is>
          <t>SF</t>
        </is>
      </c>
      <c r="D18" s="5" t="inlineStr">
        <is>
          <t>1200</t>
        </is>
      </c>
      <c r="E18" s="5" t="inlineStr">
        <is>
          <t>4.50</t>
        </is>
      </c>
      <c r="F18" s="5" t="inlineStr">
        <is>
          <t>3.00</t>
        </is>
      </c>
      <c r="G18" s="6">
        <f>E18+F18</f>
        <v/>
      </c>
      <c r="H18" s="6">
        <f>D18*G18</f>
        <v/>
      </c>
    </row>
    <row r="19" ht="22" customHeight="1">
      <c r="A19" s="5" t="inlineStr"/>
      <c r="B19" s="5" t="inlineStr">
        <is>
          <t>Concrete slab pour</t>
        </is>
      </c>
      <c r="C19" s="5" t="inlineStr">
        <is>
          <t>SF</t>
        </is>
      </c>
      <c r="D19" s="5" t="inlineStr">
        <is>
          <t>1200</t>
        </is>
      </c>
      <c r="E19" s="5" t="inlineStr">
        <is>
          <t>4.50</t>
        </is>
      </c>
      <c r="F19" s="5" t="inlineStr">
        <is>
          <t>3.00</t>
        </is>
      </c>
      <c r="G19" s="6">
        <f>E19+F19</f>
        <v/>
      </c>
      <c r="H19" s="6">
        <f>D19*G19</f>
        <v/>
      </c>
    </row>
    <row r="20" ht="22" customHeight="1">
      <c r="A20" s="5" t="inlineStr"/>
      <c r="B20" s="5" t="inlineStr">
        <is>
          <t>Concrete slab pour</t>
        </is>
      </c>
      <c r="C20" s="5" t="inlineStr">
        <is>
          <t>SF</t>
        </is>
      </c>
      <c r="D20" s="5" t="inlineStr">
        <is>
          <t>1200</t>
        </is>
      </c>
      <c r="E20" s="5" t="inlineStr">
        <is>
          <t>4.50</t>
        </is>
      </c>
      <c r="F20" s="5" t="inlineStr">
        <is>
          <t>3.00</t>
        </is>
      </c>
      <c r="G20" s="6">
        <f>E20+F20</f>
        <v/>
      </c>
      <c r="H20" s="6">
        <f>D20*G20</f>
        <v/>
      </c>
    </row>
    <row r="21" ht="22" customHeight="1">
      <c r="A21" s="5" t="inlineStr"/>
      <c r="B21" s="5" t="inlineStr">
        <is>
          <t>Concrete slab pour</t>
        </is>
      </c>
      <c r="C21" s="5" t="inlineStr">
        <is>
          <t>SF</t>
        </is>
      </c>
      <c r="D21" s="5" t="inlineStr">
        <is>
          <t>1200</t>
        </is>
      </c>
      <c r="E21" s="5" t="inlineStr">
        <is>
          <t>4.50</t>
        </is>
      </c>
      <c r="F21" s="5" t="inlineStr">
        <is>
          <t>3.00</t>
        </is>
      </c>
      <c r="G21" s="6">
        <f>E21+F21</f>
        <v/>
      </c>
      <c r="H21" s="6">
        <f>D21*G21</f>
        <v/>
      </c>
    </row>
    <row r="22" ht="22" customHeight="1">
      <c r="A22" s="5" t="inlineStr"/>
      <c r="B22" s="5" t="inlineStr">
        <is>
          <t>Concrete slab pour</t>
        </is>
      </c>
      <c r="C22" s="5" t="inlineStr">
        <is>
          <t>SF</t>
        </is>
      </c>
      <c r="D22" s="5" t="inlineStr">
        <is>
          <t>1200</t>
        </is>
      </c>
      <c r="E22" s="5" t="inlineStr">
        <is>
          <t>4.50</t>
        </is>
      </c>
      <c r="F22" s="5" t="inlineStr">
        <is>
          <t>3.00</t>
        </is>
      </c>
      <c r="G22" s="6">
        <f>E22+F22</f>
        <v/>
      </c>
      <c r="H22" s="6">
        <f>D22*G22</f>
        <v/>
      </c>
    </row>
    <row r="23" ht="22" customHeight="1">
      <c r="A23" s="5" t="inlineStr"/>
      <c r="B23" s="5" t="inlineStr">
        <is>
          <t>Concrete slab pour</t>
        </is>
      </c>
      <c r="C23" s="5" t="inlineStr">
        <is>
          <t>SF</t>
        </is>
      </c>
      <c r="D23" s="5" t="inlineStr">
        <is>
          <t>1200</t>
        </is>
      </c>
      <c r="E23" s="5" t="inlineStr">
        <is>
          <t>4.50</t>
        </is>
      </c>
      <c r="F23" s="5" t="inlineStr">
        <is>
          <t>3.00</t>
        </is>
      </c>
      <c r="G23" s="6">
        <f>E23+F23</f>
        <v/>
      </c>
      <c r="H23" s="6">
        <f>D23*G23</f>
        <v/>
      </c>
    </row>
    <row r="24" ht="22" customHeight="1">
      <c r="A24" s="5" t="inlineStr"/>
      <c r="B24" s="5" t="inlineStr">
        <is>
          <t>Concrete slab pour</t>
        </is>
      </c>
      <c r="C24" s="5" t="inlineStr">
        <is>
          <t>SF</t>
        </is>
      </c>
      <c r="D24" s="5" t="inlineStr">
        <is>
          <t>1200</t>
        </is>
      </c>
      <c r="E24" s="5" t="inlineStr">
        <is>
          <t>4.50</t>
        </is>
      </c>
      <c r="F24" s="5" t="inlineStr">
        <is>
          <t>3.00</t>
        </is>
      </c>
      <c r="G24" s="6">
        <f>E24+F24</f>
        <v/>
      </c>
      <c r="H24" s="6">
        <f>D24*G24</f>
        <v/>
      </c>
    </row>
    <row r="25" ht="22" customHeight="1">
      <c r="A25" s="5" t="inlineStr"/>
      <c r="B25" s="5" t="inlineStr">
        <is>
          <t>Concrete slab pour</t>
        </is>
      </c>
      <c r="C25" s="5" t="inlineStr">
        <is>
          <t>SF</t>
        </is>
      </c>
      <c r="D25" s="5" t="inlineStr">
        <is>
          <t>1200</t>
        </is>
      </c>
      <c r="E25" s="5" t="inlineStr">
        <is>
          <t>4.50</t>
        </is>
      </c>
      <c r="F25" s="5" t="inlineStr">
        <is>
          <t>3.00</t>
        </is>
      </c>
      <c r="G25" s="6">
        <f>E25+F25</f>
        <v/>
      </c>
      <c r="H25" s="6">
        <f>D25*G25</f>
        <v/>
      </c>
    </row>
    <row r="26" ht="22" customHeight="1">
      <c r="A26" s="5" t="inlineStr"/>
      <c r="B26" s="5" t="inlineStr">
        <is>
          <t>Concrete slab pour</t>
        </is>
      </c>
      <c r="C26" s="5" t="inlineStr">
        <is>
          <t>SF</t>
        </is>
      </c>
      <c r="D26" s="5" t="inlineStr">
        <is>
          <t>1200</t>
        </is>
      </c>
      <c r="E26" s="5" t="inlineStr">
        <is>
          <t>4.50</t>
        </is>
      </c>
      <c r="F26" s="5" t="inlineStr">
        <is>
          <t>3.00</t>
        </is>
      </c>
      <c r="G26" s="6">
        <f>E26+F26</f>
        <v/>
      </c>
      <c r="H26" s="6">
        <f>D26*G26</f>
        <v/>
      </c>
    </row>
    <row r="27" ht="22" customHeight="1">
      <c r="A27" s="5" t="inlineStr"/>
      <c r="B27" s="5" t="inlineStr">
        <is>
          <t>Concrete slab pour</t>
        </is>
      </c>
      <c r="C27" s="5" t="inlineStr">
        <is>
          <t>SF</t>
        </is>
      </c>
      <c r="D27" s="5" t="inlineStr">
        <is>
          <t>1200</t>
        </is>
      </c>
      <c r="E27" s="5" t="inlineStr">
        <is>
          <t>4.50</t>
        </is>
      </c>
      <c r="F27" s="5" t="inlineStr">
        <is>
          <t>3.00</t>
        </is>
      </c>
      <c r="G27" s="6">
        <f>E27+F27</f>
        <v/>
      </c>
      <c r="H27" s="6">
        <f>D27*G27</f>
        <v/>
      </c>
    </row>
    <row r="28" ht="22" customHeight="1">
      <c r="A28" s="5" t="inlineStr"/>
      <c r="B28" s="5" t="inlineStr">
        <is>
          <t>Concrete slab pour</t>
        </is>
      </c>
      <c r="C28" s="5" t="inlineStr">
        <is>
          <t>SF</t>
        </is>
      </c>
      <c r="D28" s="5" t="inlineStr">
        <is>
          <t>1200</t>
        </is>
      </c>
      <c r="E28" s="5" t="inlineStr">
        <is>
          <t>4.50</t>
        </is>
      </c>
      <c r="F28" s="5" t="inlineStr">
        <is>
          <t>3.00</t>
        </is>
      </c>
      <c r="G28" s="6">
        <f>E28+F28</f>
        <v/>
      </c>
      <c r="H28" s="6">
        <f>D28*G28</f>
        <v/>
      </c>
    </row>
    <row r="29" ht="22" customHeight="1">
      <c r="A29" s="5" t="inlineStr"/>
      <c r="B29" s="5" t="inlineStr">
        <is>
          <t>Concrete slab pour</t>
        </is>
      </c>
      <c r="C29" s="5" t="inlineStr">
        <is>
          <t>SF</t>
        </is>
      </c>
      <c r="D29" s="5" t="inlineStr">
        <is>
          <t>1200</t>
        </is>
      </c>
      <c r="E29" s="5" t="inlineStr">
        <is>
          <t>4.50</t>
        </is>
      </c>
      <c r="F29" s="5" t="inlineStr">
        <is>
          <t>3.00</t>
        </is>
      </c>
      <c r="G29" s="6">
        <f>E29+F29</f>
        <v/>
      </c>
      <c r="H29" s="6">
        <f>D29*G29</f>
        <v/>
      </c>
    </row>
    <row r="30" ht="22" customHeight="1">
      <c r="A30" s="5" t="inlineStr"/>
      <c r="B30" s="5" t="inlineStr">
        <is>
          <t>Concrete slab pour</t>
        </is>
      </c>
      <c r="C30" s="5" t="inlineStr">
        <is>
          <t>SF</t>
        </is>
      </c>
      <c r="D30" s="5" t="inlineStr">
        <is>
          <t>1200</t>
        </is>
      </c>
      <c r="E30" s="5" t="inlineStr">
        <is>
          <t>4.50</t>
        </is>
      </c>
      <c r="F30" s="5" t="inlineStr">
        <is>
          <t>3.00</t>
        </is>
      </c>
      <c r="G30" s="6">
        <f>E30+F30</f>
        <v/>
      </c>
      <c r="H30" s="6">
        <f>D30*G30</f>
        <v/>
      </c>
    </row>
    <row r="31" ht="22" customHeight="1">
      <c r="A31" s="5" t="inlineStr"/>
      <c r="B31" s="5" t="inlineStr">
        <is>
          <t>Concrete slab pour</t>
        </is>
      </c>
      <c r="C31" s="5" t="inlineStr">
        <is>
          <t>SF</t>
        </is>
      </c>
      <c r="D31" s="5" t="inlineStr">
        <is>
          <t>1200</t>
        </is>
      </c>
      <c r="E31" s="5" t="inlineStr">
        <is>
          <t>4.50</t>
        </is>
      </c>
      <c r="F31" s="5" t="inlineStr">
        <is>
          <t>3.00</t>
        </is>
      </c>
      <c r="G31" s="6">
        <f>E31+F31</f>
        <v/>
      </c>
      <c r="H31" s="6">
        <f>D31*G31</f>
        <v/>
      </c>
    </row>
  </sheetData>
  <dataValidations count="1">
    <dataValidation sqref="A2 A3 A4 A5 A6 A7 A8 A9 A10 A11 A12 A13 A14 A15 A16 A17 A18 A19 A20 A21 A22 A23 A24 A25 A26 A27 A28 A29 A30 A31" showDropDown="0" showInputMessage="0" showErrorMessage="0" allowBlank="1" type="list">
      <formula1>"Foundation","Framing","Electrical","Plumbing","HVAC","Drywall","Flooring","Roofing","Exterior","Finishes","Landscaping"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4" customWidth="1" min="3" max="3"/>
    <col width="16" customWidth="1" min="4" max="4"/>
    <col width="30" customWidth="1" min="5" max="5"/>
    <col width="14" customWidth="1" min="6" max="6"/>
    <col width="14" customWidth="1" min="7" max="7"/>
  </cols>
  <sheetData>
    <row r="1">
      <c r="A1" s="4" t="inlineStr">
        <is>
          <t>Date</t>
        </is>
      </c>
      <c r="B1" s="4" t="inlineStr">
        <is>
          <t>Trade</t>
        </is>
      </c>
      <c r="C1" s="4" t="inlineStr">
        <is>
          <t>Vendor/Sub</t>
        </is>
      </c>
      <c r="D1" s="4" t="inlineStr">
        <is>
          <t>Invoice #</t>
        </is>
      </c>
      <c r="E1" s="4" t="inlineStr">
        <is>
          <t>Description</t>
        </is>
      </c>
      <c r="F1" s="4" t="inlineStr">
        <is>
          <t>Amount $</t>
        </is>
      </c>
      <c r="G1" s="4" t="inlineStr">
        <is>
          <t>Status</t>
        </is>
      </c>
    </row>
    <row r="2" ht="22" customHeight="1">
      <c r="A2" s="5" t="inlineStr">
        <is>
          <t>2024-03-15</t>
        </is>
      </c>
      <c r="B2" s="5" t="inlineStr">
        <is>
          <t>Framing</t>
        </is>
      </c>
      <c r="C2" s="5" t="inlineStr">
        <is>
          <t>Johnson Framing LLC</t>
        </is>
      </c>
      <c r="D2" s="5" t="inlineStr">
        <is>
          <t>INV-1042</t>
        </is>
      </c>
      <c r="E2" s="5" t="inlineStr">
        <is>
          <t>Rough framing complete</t>
        </is>
      </c>
      <c r="F2" s="5" t="inlineStr">
        <is>
          <t>18500</t>
        </is>
      </c>
      <c r="G2" s="5" t="inlineStr"/>
    </row>
    <row r="3" ht="22" customHeight="1">
      <c r="A3" s="5" t="inlineStr">
        <is>
          <t>2024-03-15</t>
        </is>
      </c>
      <c r="B3" s="5" t="inlineStr">
        <is>
          <t>Framing</t>
        </is>
      </c>
      <c r="C3" s="5" t="inlineStr">
        <is>
          <t>Johnson Framing LLC</t>
        </is>
      </c>
      <c r="D3" s="5" t="inlineStr">
        <is>
          <t>INV-1042</t>
        </is>
      </c>
      <c r="E3" s="5" t="inlineStr">
        <is>
          <t>Rough framing complete</t>
        </is>
      </c>
      <c r="F3" s="5" t="inlineStr">
        <is>
          <t>18500</t>
        </is>
      </c>
      <c r="G3" s="5" t="inlineStr"/>
    </row>
    <row r="4" ht="22" customHeight="1">
      <c r="A4" s="5" t="inlineStr">
        <is>
          <t>2024-03-15</t>
        </is>
      </c>
      <c r="B4" s="5" t="inlineStr">
        <is>
          <t>Framing</t>
        </is>
      </c>
      <c r="C4" s="5" t="inlineStr">
        <is>
          <t>Johnson Framing LLC</t>
        </is>
      </c>
      <c r="D4" s="5" t="inlineStr">
        <is>
          <t>INV-1042</t>
        </is>
      </c>
      <c r="E4" s="5" t="inlineStr">
        <is>
          <t>Rough framing complete</t>
        </is>
      </c>
      <c r="F4" s="5" t="inlineStr">
        <is>
          <t>18500</t>
        </is>
      </c>
      <c r="G4" s="5" t="inlineStr"/>
    </row>
    <row r="5" ht="22" customHeight="1">
      <c r="A5" s="5" t="inlineStr">
        <is>
          <t>2024-03-15</t>
        </is>
      </c>
      <c r="B5" s="5" t="inlineStr">
        <is>
          <t>Framing</t>
        </is>
      </c>
      <c r="C5" s="5" t="inlineStr">
        <is>
          <t>Johnson Framing LLC</t>
        </is>
      </c>
      <c r="D5" s="5" t="inlineStr">
        <is>
          <t>INV-1042</t>
        </is>
      </c>
      <c r="E5" s="5" t="inlineStr">
        <is>
          <t>Rough framing complete</t>
        </is>
      </c>
      <c r="F5" s="5" t="inlineStr">
        <is>
          <t>18500</t>
        </is>
      </c>
      <c r="G5" s="5" t="inlineStr"/>
    </row>
    <row r="6" ht="22" customHeight="1">
      <c r="A6" s="5" t="inlineStr">
        <is>
          <t>2024-03-15</t>
        </is>
      </c>
      <c r="B6" s="5" t="inlineStr">
        <is>
          <t>Framing</t>
        </is>
      </c>
      <c r="C6" s="5" t="inlineStr">
        <is>
          <t>Johnson Framing LLC</t>
        </is>
      </c>
      <c r="D6" s="5" t="inlineStr">
        <is>
          <t>INV-1042</t>
        </is>
      </c>
      <c r="E6" s="5" t="inlineStr">
        <is>
          <t>Rough framing complete</t>
        </is>
      </c>
      <c r="F6" s="5" t="inlineStr">
        <is>
          <t>18500</t>
        </is>
      </c>
      <c r="G6" s="5" t="inlineStr"/>
    </row>
    <row r="7" ht="22" customHeight="1">
      <c r="A7" s="5" t="inlineStr">
        <is>
          <t>2024-03-15</t>
        </is>
      </c>
      <c r="B7" s="5" t="inlineStr">
        <is>
          <t>Framing</t>
        </is>
      </c>
      <c r="C7" s="5" t="inlineStr">
        <is>
          <t>Johnson Framing LLC</t>
        </is>
      </c>
      <c r="D7" s="5" t="inlineStr">
        <is>
          <t>INV-1042</t>
        </is>
      </c>
      <c r="E7" s="5" t="inlineStr">
        <is>
          <t>Rough framing complete</t>
        </is>
      </c>
      <c r="F7" s="5" t="inlineStr">
        <is>
          <t>18500</t>
        </is>
      </c>
      <c r="G7" s="5" t="inlineStr"/>
    </row>
    <row r="8" ht="22" customHeight="1">
      <c r="A8" s="5" t="inlineStr">
        <is>
          <t>2024-03-15</t>
        </is>
      </c>
      <c r="B8" s="5" t="inlineStr">
        <is>
          <t>Framing</t>
        </is>
      </c>
      <c r="C8" s="5" t="inlineStr">
        <is>
          <t>Johnson Framing LLC</t>
        </is>
      </c>
      <c r="D8" s="5" t="inlineStr">
        <is>
          <t>INV-1042</t>
        </is>
      </c>
      <c r="E8" s="5" t="inlineStr">
        <is>
          <t>Rough framing complete</t>
        </is>
      </c>
      <c r="F8" s="5" t="inlineStr">
        <is>
          <t>18500</t>
        </is>
      </c>
      <c r="G8" s="5" t="inlineStr"/>
    </row>
    <row r="9" ht="22" customHeight="1">
      <c r="A9" s="5" t="inlineStr">
        <is>
          <t>2024-03-15</t>
        </is>
      </c>
      <c r="B9" s="5" t="inlineStr">
        <is>
          <t>Framing</t>
        </is>
      </c>
      <c r="C9" s="5" t="inlineStr">
        <is>
          <t>Johnson Framing LLC</t>
        </is>
      </c>
      <c r="D9" s="5" t="inlineStr">
        <is>
          <t>INV-1042</t>
        </is>
      </c>
      <c r="E9" s="5" t="inlineStr">
        <is>
          <t>Rough framing complete</t>
        </is>
      </c>
      <c r="F9" s="5" t="inlineStr">
        <is>
          <t>18500</t>
        </is>
      </c>
      <c r="G9" s="5" t="inlineStr"/>
    </row>
    <row r="10" ht="22" customHeight="1">
      <c r="A10" s="5" t="inlineStr">
        <is>
          <t>2024-03-15</t>
        </is>
      </c>
      <c r="B10" s="5" t="inlineStr">
        <is>
          <t>Framing</t>
        </is>
      </c>
      <c r="C10" s="5" t="inlineStr">
        <is>
          <t>Johnson Framing LLC</t>
        </is>
      </c>
      <c r="D10" s="5" t="inlineStr">
        <is>
          <t>INV-1042</t>
        </is>
      </c>
      <c r="E10" s="5" t="inlineStr">
        <is>
          <t>Rough framing complete</t>
        </is>
      </c>
      <c r="F10" s="5" t="inlineStr">
        <is>
          <t>18500</t>
        </is>
      </c>
      <c r="G10" s="5" t="inlineStr"/>
    </row>
    <row r="11" ht="22" customHeight="1">
      <c r="A11" s="5" t="inlineStr">
        <is>
          <t>2024-03-15</t>
        </is>
      </c>
      <c r="B11" s="5" t="inlineStr">
        <is>
          <t>Framing</t>
        </is>
      </c>
      <c r="C11" s="5" t="inlineStr">
        <is>
          <t>Johnson Framing LLC</t>
        </is>
      </c>
      <c r="D11" s="5" t="inlineStr">
        <is>
          <t>INV-1042</t>
        </is>
      </c>
      <c r="E11" s="5" t="inlineStr">
        <is>
          <t>Rough framing complete</t>
        </is>
      </c>
      <c r="F11" s="5" t="inlineStr">
        <is>
          <t>18500</t>
        </is>
      </c>
      <c r="G11" s="5" t="inlineStr"/>
    </row>
    <row r="12" ht="22" customHeight="1">
      <c r="A12" s="5" t="inlineStr">
        <is>
          <t>2024-03-15</t>
        </is>
      </c>
      <c r="B12" s="5" t="inlineStr">
        <is>
          <t>Framing</t>
        </is>
      </c>
      <c r="C12" s="5" t="inlineStr">
        <is>
          <t>Johnson Framing LLC</t>
        </is>
      </c>
      <c r="D12" s="5" t="inlineStr">
        <is>
          <t>INV-1042</t>
        </is>
      </c>
      <c r="E12" s="5" t="inlineStr">
        <is>
          <t>Rough framing complete</t>
        </is>
      </c>
      <c r="F12" s="5" t="inlineStr">
        <is>
          <t>18500</t>
        </is>
      </c>
      <c r="G12" s="5" t="inlineStr"/>
    </row>
    <row r="13" ht="22" customHeight="1">
      <c r="A13" s="5" t="inlineStr">
        <is>
          <t>2024-03-15</t>
        </is>
      </c>
      <c r="B13" s="5" t="inlineStr">
        <is>
          <t>Framing</t>
        </is>
      </c>
      <c r="C13" s="5" t="inlineStr">
        <is>
          <t>Johnson Framing LLC</t>
        </is>
      </c>
      <c r="D13" s="5" t="inlineStr">
        <is>
          <t>INV-1042</t>
        </is>
      </c>
      <c r="E13" s="5" t="inlineStr">
        <is>
          <t>Rough framing complete</t>
        </is>
      </c>
      <c r="F13" s="5" t="inlineStr">
        <is>
          <t>18500</t>
        </is>
      </c>
      <c r="G13" s="5" t="inlineStr"/>
    </row>
    <row r="14" ht="22" customHeight="1">
      <c r="A14" s="5" t="inlineStr">
        <is>
          <t>2024-03-15</t>
        </is>
      </c>
      <c r="B14" s="5" t="inlineStr">
        <is>
          <t>Framing</t>
        </is>
      </c>
      <c r="C14" s="5" t="inlineStr">
        <is>
          <t>Johnson Framing LLC</t>
        </is>
      </c>
      <c r="D14" s="5" t="inlineStr">
        <is>
          <t>INV-1042</t>
        </is>
      </c>
      <c r="E14" s="5" t="inlineStr">
        <is>
          <t>Rough framing complete</t>
        </is>
      </c>
      <c r="F14" s="5" t="inlineStr">
        <is>
          <t>18500</t>
        </is>
      </c>
      <c r="G14" s="5" t="inlineStr"/>
    </row>
    <row r="15" ht="22" customHeight="1">
      <c r="A15" s="5" t="inlineStr">
        <is>
          <t>2024-03-15</t>
        </is>
      </c>
      <c r="B15" s="5" t="inlineStr">
        <is>
          <t>Framing</t>
        </is>
      </c>
      <c r="C15" s="5" t="inlineStr">
        <is>
          <t>Johnson Framing LLC</t>
        </is>
      </c>
      <c r="D15" s="5" t="inlineStr">
        <is>
          <t>INV-1042</t>
        </is>
      </c>
      <c r="E15" s="5" t="inlineStr">
        <is>
          <t>Rough framing complete</t>
        </is>
      </c>
      <c r="F15" s="5" t="inlineStr">
        <is>
          <t>18500</t>
        </is>
      </c>
      <c r="G15" s="5" t="inlineStr"/>
    </row>
    <row r="16" ht="22" customHeight="1">
      <c r="A16" s="5" t="inlineStr">
        <is>
          <t>2024-03-15</t>
        </is>
      </c>
      <c r="B16" s="5" t="inlineStr">
        <is>
          <t>Framing</t>
        </is>
      </c>
      <c r="C16" s="5" t="inlineStr">
        <is>
          <t>Johnson Framing LLC</t>
        </is>
      </c>
      <c r="D16" s="5" t="inlineStr">
        <is>
          <t>INV-1042</t>
        </is>
      </c>
      <c r="E16" s="5" t="inlineStr">
        <is>
          <t>Rough framing complete</t>
        </is>
      </c>
      <c r="F16" s="5" t="inlineStr">
        <is>
          <t>18500</t>
        </is>
      </c>
      <c r="G16" s="5" t="inlineStr"/>
    </row>
    <row r="17" ht="22" customHeight="1">
      <c r="A17" s="5" t="inlineStr">
        <is>
          <t>2024-03-15</t>
        </is>
      </c>
      <c r="B17" s="5" t="inlineStr">
        <is>
          <t>Framing</t>
        </is>
      </c>
      <c r="C17" s="5" t="inlineStr">
        <is>
          <t>Johnson Framing LLC</t>
        </is>
      </c>
      <c r="D17" s="5" t="inlineStr">
        <is>
          <t>INV-1042</t>
        </is>
      </c>
      <c r="E17" s="5" t="inlineStr">
        <is>
          <t>Rough framing complete</t>
        </is>
      </c>
      <c r="F17" s="5" t="inlineStr">
        <is>
          <t>18500</t>
        </is>
      </c>
      <c r="G17" s="5" t="inlineStr"/>
    </row>
    <row r="18" ht="22" customHeight="1">
      <c r="A18" s="5" t="inlineStr">
        <is>
          <t>2024-03-15</t>
        </is>
      </c>
      <c r="B18" s="5" t="inlineStr">
        <is>
          <t>Framing</t>
        </is>
      </c>
      <c r="C18" s="5" t="inlineStr">
        <is>
          <t>Johnson Framing LLC</t>
        </is>
      </c>
      <c r="D18" s="5" t="inlineStr">
        <is>
          <t>INV-1042</t>
        </is>
      </c>
      <c r="E18" s="5" t="inlineStr">
        <is>
          <t>Rough framing complete</t>
        </is>
      </c>
      <c r="F18" s="5" t="inlineStr">
        <is>
          <t>18500</t>
        </is>
      </c>
      <c r="G18" s="5" t="inlineStr"/>
    </row>
    <row r="19" ht="22" customHeight="1">
      <c r="A19" s="5" t="inlineStr">
        <is>
          <t>2024-03-15</t>
        </is>
      </c>
      <c r="B19" s="5" t="inlineStr">
        <is>
          <t>Framing</t>
        </is>
      </c>
      <c r="C19" s="5" t="inlineStr">
        <is>
          <t>Johnson Framing LLC</t>
        </is>
      </c>
      <c r="D19" s="5" t="inlineStr">
        <is>
          <t>INV-1042</t>
        </is>
      </c>
      <c r="E19" s="5" t="inlineStr">
        <is>
          <t>Rough framing complete</t>
        </is>
      </c>
      <c r="F19" s="5" t="inlineStr">
        <is>
          <t>18500</t>
        </is>
      </c>
      <c r="G19" s="5" t="inlineStr"/>
    </row>
    <row r="20" ht="22" customHeight="1">
      <c r="A20" s="5" t="inlineStr">
        <is>
          <t>2024-03-15</t>
        </is>
      </c>
      <c r="B20" s="5" t="inlineStr">
        <is>
          <t>Framing</t>
        </is>
      </c>
      <c r="C20" s="5" t="inlineStr">
        <is>
          <t>Johnson Framing LLC</t>
        </is>
      </c>
      <c r="D20" s="5" t="inlineStr">
        <is>
          <t>INV-1042</t>
        </is>
      </c>
      <c r="E20" s="5" t="inlineStr">
        <is>
          <t>Rough framing complete</t>
        </is>
      </c>
      <c r="F20" s="5" t="inlineStr">
        <is>
          <t>18500</t>
        </is>
      </c>
      <c r="G20" s="5" t="inlineStr"/>
    </row>
    <row r="21" ht="22" customHeight="1">
      <c r="A21" s="5" t="inlineStr">
        <is>
          <t>2024-03-15</t>
        </is>
      </c>
      <c r="B21" s="5" t="inlineStr">
        <is>
          <t>Framing</t>
        </is>
      </c>
      <c r="C21" s="5" t="inlineStr">
        <is>
          <t>Johnson Framing LLC</t>
        </is>
      </c>
      <c r="D21" s="5" t="inlineStr">
        <is>
          <t>INV-1042</t>
        </is>
      </c>
      <c r="E21" s="5" t="inlineStr">
        <is>
          <t>Rough framing complete</t>
        </is>
      </c>
      <c r="F21" s="5" t="inlineStr">
        <is>
          <t>18500</t>
        </is>
      </c>
      <c r="G21" s="5" t="inlineStr"/>
    </row>
  </sheetData>
  <dataValidations count="1">
    <dataValidation sqref="G2 G3 G4 G5 G6 G7 G8 G9 G10 G11 G12 G13 G14 G15 G16 G17 G18 G19 G20 G21" showDropDown="0" showInputMessage="0" showErrorMessage="0" allowBlank="1" type="list">
      <formula1>"Invoice Received","Approved","Paid"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AB308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8" customWidth="1" min="4" max="4"/>
    <col width="18" customWidth="1" min="5" max="5"/>
    <col width="30" customWidth="1" min="6" max="6"/>
  </cols>
  <sheetData>
    <row r="1">
      <c r="A1" s="4" t="inlineStr">
        <is>
          <t>Phase</t>
        </is>
      </c>
      <c r="B1" s="4" t="inlineStr">
        <is>
          <t>Start Date</t>
        </is>
      </c>
      <c r="C1" s="4" t="inlineStr">
        <is>
          <t>End Date</t>
        </is>
      </c>
      <c r="D1" s="4" t="inlineStr">
        <is>
          <t>Days</t>
        </is>
      </c>
      <c r="E1" s="4" t="inlineStr">
        <is>
          <t>Status</t>
        </is>
      </c>
      <c r="F1" s="4" t="inlineStr">
        <is>
          <t>Notes</t>
        </is>
      </c>
    </row>
    <row r="2" ht="22" customHeight="1">
      <c r="A2" s="5" t="inlineStr">
        <is>
          <t>Foundation</t>
        </is>
      </c>
      <c r="B2" s="5" t="inlineStr">
        <is>
          <t>2024-02-01</t>
        </is>
      </c>
      <c r="C2" s="5" t="inlineStr">
        <is>
          <t>2024-02-14</t>
        </is>
      </c>
      <c r="D2" s="6">
        <f>C2-B2</f>
        <v/>
      </c>
      <c r="E2" s="5" t="inlineStr"/>
      <c r="F2" s="5" t="inlineStr">
        <is>
          <t>Weather delay possible</t>
        </is>
      </c>
    </row>
    <row r="3" ht="22" customHeight="1">
      <c r="A3" s="5" t="inlineStr">
        <is>
          <t>Foundation</t>
        </is>
      </c>
      <c r="B3" s="5" t="inlineStr">
        <is>
          <t>2024-02-01</t>
        </is>
      </c>
      <c r="C3" s="5" t="inlineStr">
        <is>
          <t>2024-02-14</t>
        </is>
      </c>
      <c r="D3" s="6">
        <f>C3-B3</f>
        <v/>
      </c>
      <c r="E3" s="5" t="inlineStr"/>
      <c r="F3" s="5" t="inlineStr">
        <is>
          <t>Weather delay possible</t>
        </is>
      </c>
    </row>
    <row r="4" ht="22" customHeight="1">
      <c r="A4" s="5" t="inlineStr">
        <is>
          <t>Foundation</t>
        </is>
      </c>
      <c r="B4" s="5" t="inlineStr">
        <is>
          <t>2024-02-01</t>
        </is>
      </c>
      <c r="C4" s="5" t="inlineStr">
        <is>
          <t>2024-02-14</t>
        </is>
      </c>
      <c r="D4" s="6">
        <f>C4-B4</f>
        <v/>
      </c>
      <c r="E4" s="5" t="inlineStr"/>
      <c r="F4" s="5" t="inlineStr">
        <is>
          <t>Weather delay possible</t>
        </is>
      </c>
    </row>
    <row r="5" ht="22" customHeight="1">
      <c r="A5" s="5" t="inlineStr">
        <is>
          <t>Foundation</t>
        </is>
      </c>
      <c r="B5" s="5" t="inlineStr">
        <is>
          <t>2024-02-01</t>
        </is>
      </c>
      <c r="C5" s="5" t="inlineStr">
        <is>
          <t>2024-02-14</t>
        </is>
      </c>
      <c r="D5" s="6">
        <f>C5-B5</f>
        <v/>
      </c>
      <c r="E5" s="5" t="inlineStr"/>
      <c r="F5" s="5" t="inlineStr">
        <is>
          <t>Weather delay possible</t>
        </is>
      </c>
    </row>
    <row r="6" ht="22" customHeight="1">
      <c r="A6" s="5" t="inlineStr">
        <is>
          <t>Foundation</t>
        </is>
      </c>
      <c r="B6" s="5" t="inlineStr">
        <is>
          <t>2024-02-01</t>
        </is>
      </c>
      <c r="C6" s="5" t="inlineStr">
        <is>
          <t>2024-02-14</t>
        </is>
      </c>
      <c r="D6" s="6">
        <f>C6-B6</f>
        <v/>
      </c>
      <c r="E6" s="5" t="inlineStr"/>
      <c r="F6" s="5" t="inlineStr">
        <is>
          <t>Weather delay possible</t>
        </is>
      </c>
    </row>
    <row r="7" ht="22" customHeight="1">
      <c r="A7" s="5" t="inlineStr">
        <is>
          <t>Foundation</t>
        </is>
      </c>
      <c r="B7" s="5" t="inlineStr">
        <is>
          <t>2024-02-01</t>
        </is>
      </c>
      <c r="C7" s="5" t="inlineStr">
        <is>
          <t>2024-02-14</t>
        </is>
      </c>
      <c r="D7" s="6">
        <f>C7-B7</f>
        <v/>
      </c>
      <c r="E7" s="5" t="inlineStr"/>
      <c r="F7" s="5" t="inlineStr">
        <is>
          <t>Weather delay possible</t>
        </is>
      </c>
    </row>
    <row r="8" ht="22" customHeight="1">
      <c r="A8" s="5" t="inlineStr">
        <is>
          <t>Foundation</t>
        </is>
      </c>
      <c r="B8" s="5" t="inlineStr">
        <is>
          <t>2024-02-01</t>
        </is>
      </c>
      <c r="C8" s="5" t="inlineStr">
        <is>
          <t>2024-02-14</t>
        </is>
      </c>
      <c r="D8" s="6">
        <f>C8-B8</f>
        <v/>
      </c>
      <c r="E8" s="5" t="inlineStr"/>
      <c r="F8" s="5" t="inlineStr">
        <is>
          <t>Weather delay possible</t>
        </is>
      </c>
    </row>
    <row r="9" ht="22" customHeight="1">
      <c r="A9" s="5" t="inlineStr">
        <is>
          <t>Foundation</t>
        </is>
      </c>
      <c r="B9" s="5" t="inlineStr">
        <is>
          <t>2024-02-01</t>
        </is>
      </c>
      <c r="C9" s="5" t="inlineStr">
        <is>
          <t>2024-02-14</t>
        </is>
      </c>
      <c r="D9" s="6">
        <f>C9-B9</f>
        <v/>
      </c>
      <c r="E9" s="5" t="inlineStr"/>
      <c r="F9" s="5" t="inlineStr">
        <is>
          <t>Weather delay possible</t>
        </is>
      </c>
    </row>
    <row r="10" ht="22" customHeight="1">
      <c r="A10" s="5" t="inlineStr">
        <is>
          <t>Foundation</t>
        </is>
      </c>
      <c r="B10" s="5" t="inlineStr">
        <is>
          <t>2024-02-01</t>
        </is>
      </c>
      <c r="C10" s="5" t="inlineStr">
        <is>
          <t>2024-02-14</t>
        </is>
      </c>
      <c r="D10" s="6">
        <f>C10-B10</f>
        <v/>
      </c>
      <c r="E10" s="5" t="inlineStr"/>
      <c r="F10" s="5" t="inlineStr">
        <is>
          <t>Weather delay possible</t>
        </is>
      </c>
    </row>
    <row r="11" ht="22" customHeight="1">
      <c r="A11" s="5" t="inlineStr">
        <is>
          <t>Foundation</t>
        </is>
      </c>
      <c r="B11" s="5" t="inlineStr">
        <is>
          <t>2024-02-01</t>
        </is>
      </c>
      <c r="C11" s="5" t="inlineStr">
        <is>
          <t>2024-02-14</t>
        </is>
      </c>
      <c r="D11" s="6">
        <f>C11-B11</f>
        <v/>
      </c>
      <c r="E11" s="5" t="inlineStr"/>
      <c r="F11" s="5" t="inlineStr">
        <is>
          <t>Weather delay possible</t>
        </is>
      </c>
    </row>
    <row r="12" ht="22" customHeight="1">
      <c r="A12" s="5" t="inlineStr">
        <is>
          <t>Foundation</t>
        </is>
      </c>
      <c r="B12" s="5" t="inlineStr">
        <is>
          <t>2024-02-01</t>
        </is>
      </c>
      <c r="C12" s="5" t="inlineStr">
        <is>
          <t>2024-02-14</t>
        </is>
      </c>
      <c r="D12" s="6">
        <f>C12-B12</f>
        <v/>
      </c>
      <c r="E12" s="5" t="inlineStr"/>
      <c r="F12" s="5" t="inlineStr">
        <is>
          <t>Weather delay possible</t>
        </is>
      </c>
    </row>
    <row r="13" ht="22" customHeight="1">
      <c r="A13" s="5" t="inlineStr">
        <is>
          <t>Foundation</t>
        </is>
      </c>
      <c r="B13" s="5" t="inlineStr">
        <is>
          <t>2024-02-01</t>
        </is>
      </c>
      <c r="C13" s="5" t="inlineStr">
        <is>
          <t>2024-02-14</t>
        </is>
      </c>
      <c r="D13" s="6">
        <f>C13-B13</f>
        <v/>
      </c>
      <c r="E13" s="5" t="inlineStr"/>
      <c r="F13" s="5" t="inlineStr">
        <is>
          <t>Weather delay possible</t>
        </is>
      </c>
    </row>
    <row r="14" ht="22" customHeight="1">
      <c r="A14" s="5" t="inlineStr">
        <is>
          <t>Foundation</t>
        </is>
      </c>
      <c r="B14" s="5" t="inlineStr">
        <is>
          <t>2024-02-01</t>
        </is>
      </c>
      <c r="C14" s="5" t="inlineStr">
        <is>
          <t>2024-02-14</t>
        </is>
      </c>
      <c r="D14" s="6">
        <f>C14-B14</f>
        <v/>
      </c>
      <c r="E14" s="5" t="inlineStr"/>
      <c r="F14" s="5" t="inlineStr">
        <is>
          <t>Weather delay possible</t>
        </is>
      </c>
    </row>
    <row r="15" ht="22" customHeight="1">
      <c r="A15" s="5" t="inlineStr">
        <is>
          <t>Foundation</t>
        </is>
      </c>
      <c r="B15" s="5" t="inlineStr">
        <is>
          <t>2024-02-01</t>
        </is>
      </c>
      <c r="C15" s="5" t="inlineStr">
        <is>
          <t>2024-02-14</t>
        </is>
      </c>
      <c r="D15" s="6">
        <f>C15-B15</f>
        <v/>
      </c>
      <c r="E15" s="5" t="inlineStr"/>
      <c r="F15" s="5" t="inlineStr">
        <is>
          <t>Weather delay possible</t>
        </is>
      </c>
    </row>
    <row r="16" ht="22" customHeight="1">
      <c r="A16" s="5" t="inlineStr">
        <is>
          <t>Foundation</t>
        </is>
      </c>
      <c r="B16" s="5" t="inlineStr">
        <is>
          <t>2024-02-01</t>
        </is>
      </c>
      <c r="C16" s="5" t="inlineStr">
        <is>
          <t>2024-02-14</t>
        </is>
      </c>
      <c r="D16" s="6">
        <f>C16-B16</f>
        <v/>
      </c>
      <c r="E16" s="5" t="inlineStr"/>
      <c r="F16" s="5" t="inlineStr">
        <is>
          <t>Weather delay possible</t>
        </is>
      </c>
    </row>
  </sheetData>
  <dataValidations count="1">
    <dataValidation sqref="E2 E3 E4 E5 E6 E7 E8 E9 E10 E11 E12 E13 E14 E15 E16" showDropDown="0" showInputMessage="0" showErrorMessage="0" allowBlank="1" type="list">
      <formula1>"Not Started","In Progress","Complete","Delayed"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EF4444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4" t="inlineStr">
        <is>
          <t>Item</t>
        </is>
      </c>
      <c r="B1" s="4" t="inlineStr">
        <is>
          <t>Amount $</t>
        </is>
      </c>
    </row>
    <row r="2" ht="22" customHeight="1">
      <c r="A2" s="5" t="inlineStr">
        <is>
          <t>Original Contract Value</t>
        </is>
      </c>
      <c r="B2" s="5" t="inlineStr">
        <is>
          <t>285000</t>
        </is>
      </c>
    </row>
    <row r="3" ht="22" customHeight="1">
      <c r="A3" s="5" t="inlineStr">
        <is>
          <t>Original Contract Value</t>
        </is>
      </c>
      <c r="B3" s="5" t="inlineStr">
        <is>
          <t>285000</t>
        </is>
      </c>
    </row>
    <row r="4" ht="22" customHeight="1">
      <c r="A4" s="5" t="inlineStr">
        <is>
          <t>Original Contract Value</t>
        </is>
      </c>
      <c r="B4" s="5" t="inlineStr">
        <is>
          <t>285000</t>
        </is>
      </c>
    </row>
    <row r="5" ht="22" customHeight="1">
      <c r="A5" s="5" t="inlineStr">
        <is>
          <t>Original Contract Value</t>
        </is>
      </c>
      <c r="B5" s="5" t="inlineStr">
        <is>
          <t>285000</t>
        </is>
      </c>
    </row>
    <row r="6" ht="22" customHeight="1">
      <c r="A6" s="5" t="inlineStr">
        <is>
          <t>Original Contract Value</t>
        </is>
      </c>
      <c r="B6" s="5" t="inlineStr">
        <is>
          <t>285000</t>
        </is>
      </c>
    </row>
    <row r="7" ht="22" customHeight="1">
      <c r="A7" s="5" t="inlineStr">
        <is>
          <t>Original Contract Value</t>
        </is>
      </c>
      <c r="B7" s="5" t="inlineStr">
        <is>
          <t>285000</t>
        </is>
      </c>
    </row>
    <row r="8" ht="22" customHeight="1">
      <c r="A8" s="5" t="inlineStr">
        <is>
          <t>Original Contract Value</t>
        </is>
      </c>
      <c r="B8" s="5" t="inlineStr">
        <is>
          <t>285000</t>
        </is>
      </c>
    </row>
    <row r="9" ht="22" customHeight="1">
      <c r="A9" s="5" t="inlineStr">
        <is>
          <t>Original Contract Value</t>
        </is>
      </c>
      <c r="B9" s="5" t="inlineStr">
        <is>
          <t>285000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2026-06-16T07:19:45Z</dcterms:created>
  <dcterms:modified xsi:type="dcterms:W3CDTF">2026-06-16T07:19:46Z</dcterms:modified>
</cp:coreProperties>
</file>