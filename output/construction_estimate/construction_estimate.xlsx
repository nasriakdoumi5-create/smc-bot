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stimate" sheetId="2" state="visible" r:id="rId2"/>
    <sheet name="Dashboard" sheetId="3" state="visible" r:id="rId3"/>
    <sheet name="Actuals" sheetId="4" state="visible" r:id="rId4"/>
    <sheet name="Schedule" sheetId="5" state="visible" r:id="rId5"/>
    <sheet name="ContractVal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C1000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D97706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C1000"/>
      </patternFill>
    </fill>
    <fill>
      <patternFill patternType="solid">
        <fgColor rgb="00FFF7F0"/>
      </patternFill>
    </fill>
    <fill>
      <patternFill patternType="solid">
        <fgColor rgb="00D97706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🏗️  CONSTRUCTION ESTIMATE</t>
        </is>
      </c>
    </row>
    <row r="3"/>
    <row r="4">
      <c r="B4" s="2" t="inlineStr">
        <is>
          <t>Project Cost Estimator &amp; Budget Tracker Google Sheets</t>
        </is>
      </c>
    </row>
    <row r="6">
      <c r="B6" s="3" t="inlineStr">
        <is>
          <t>STEP 1 — Fill in “Estimate”</t>
        </is>
      </c>
    </row>
    <row r="7" ht="28" customHeight="1">
      <c r="B7" s="4" t="inlineStr">
        <is>
          <t>Detailed cost estimate by trade and category.</t>
        </is>
      </c>
    </row>
    <row r="9">
      <c r="B9" s="3" t="inlineStr">
        <is>
          <t>STEP 2 — Fill in “Actuals”</t>
        </is>
      </c>
    </row>
    <row r="10" ht="28" customHeight="1">
      <c r="B10" s="4" t="inlineStr">
        <is>
          <t>Actual costs as work is completed.</t>
        </is>
      </c>
    </row>
    <row r="12">
      <c r="B12" s="3" t="inlineStr">
        <is>
          <t>STEP 3 — Fill in “Schedule”</t>
        </is>
      </c>
    </row>
    <row r="13" ht="28" customHeight="1">
      <c r="B13" s="4" t="inlineStr">
        <is>
          <t>Project milestone schedule with completion status.</t>
        </is>
      </c>
    </row>
    <row r="15">
      <c r="B15" s="3" t="inlineStr">
        <is>
          <t>STEP 4 — Fill in “ContractValue”</t>
        </is>
      </c>
    </row>
    <row r="16" ht="28" customHeight="1">
      <c r="B16" s="4" t="inlineStr">
        <is>
          <t>Contract value and change order tracker.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Trade</t>
        </is>
      </c>
      <c r="B1" s="6" t="inlineStr">
        <is>
          <t>Line Item</t>
        </is>
      </c>
      <c r="C1" s="6" t="inlineStr">
        <is>
          <t>Unit</t>
        </is>
      </c>
      <c r="D1" s="6" t="inlineStr">
        <is>
          <t>Quantity</t>
        </is>
      </c>
      <c r="E1" s="6" t="inlineStr">
        <is>
          <t>Material/Unit</t>
        </is>
      </c>
      <c r="F1" s="6" t="inlineStr">
        <is>
          <t>Labor/Unit</t>
        </is>
      </c>
      <c r="G1" s="6" t="inlineStr">
        <is>
          <t>Total/Unit</t>
        </is>
      </c>
      <c r="H1" s="6" t="inlineStr">
        <is>
          <t>Line Total</t>
        </is>
      </c>
    </row>
    <row r="2">
      <c r="A2" s="7" t="inlineStr">
        <is>
          <t>Foundation</t>
        </is>
      </c>
      <c r="B2" s="7" t="inlineStr">
        <is>
          <t>Kickoff meeting</t>
        </is>
      </c>
      <c r="C2" s="7" t="inlineStr">
        <is>
          <t>SF</t>
        </is>
      </c>
      <c r="D2" s="7" t="n">
        <v>1200</v>
      </c>
      <c r="E2" s="7" t="n">
        <v>4.5</v>
      </c>
      <c r="F2" s="7" t="n">
        <v>3</v>
      </c>
      <c r="G2" s="7">
        <f>E2+F2</f>
        <v/>
      </c>
      <c r="H2" s="7">
        <f>D2*G2</f>
        <v/>
      </c>
    </row>
    <row r="3">
      <c r="A3" s="8" t="inlineStr">
        <is>
          <t>Framing</t>
        </is>
      </c>
      <c r="B3" s="8" t="inlineStr">
        <is>
          <t>Send proposal</t>
        </is>
      </c>
      <c r="C3" s="8" t="inlineStr">
        <is>
          <t>SF</t>
        </is>
      </c>
      <c r="D3" s="8" t="n">
        <v>840</v>
      </c>
      <c r="E3" s="8" t="n">
        <v>3.15</v>
      </c>
      <c r="F3" s="8" t="n">
        <v>2.1</v>
      </c>
      <c r="G3" s="8">
        <f>E3+F3</f>
        <v/>
      </c>
      <c r="H3" s="8">
        <f>D3*G3</f>
        <v/>
      </c>
    </row>
    <row r="4">
      <c r="A4" s="7" t="inlineStr">
        <is>
          <t>Electrical</t>
        </is>
      </c>
      <c r="B4" s="7" t="inlineStr">
        <is>
          <t>Review feedback</t>
        </is>
      </c>
      <c r="C4" s="7" t="inlineStr"/>
      <c r="D4" s="7" t="n">
        <v>1560</v>
      </c>
      <c r="E4" s="7" t="n">
        <v>5.85</v>
      </c>
      <c r="F4" s="7" t="n">
        <v>3.9</v>
      </c>
      <c r="G4" s="7">
        <f>E4+F4</f>
        <v/>
      </c>
      <c r="H4" s="7">
        <f>D4*G4</f>
        <v/>
      </c>
    </row>
    <row r="5">
      <c r="A5" s="8" t="inlineStr">
        <is>
          <t>Plumbing</t>
        </is>
      </c>
      <c r="B5" s="8" t="inlineStr">
        <is>
          <t>Update website copy</t>
        </is>
      </c>
      <c r="C5" s="8" t="inlineStr">
        <is>
          <t>SF</t>
        </is>
      </c>
      <c r="D5" s="8" t="n">
        <v>1020</v>
      </c>
      <c r="E5" s="8" t="n">
        <v>3.82</v>
      </c>
      <c r="F5" s="8" t="n">
        <v>2.55</v>
      </c>
      <c r="G5" s="8">
        <f>E5+F5</f>
        <v/>
      </c>
      <c r="H5" s="8">
        <f>D5*G5</f>
        <v/>
      </c>
    </row>
    <row r="6">
      <c r="A6" s="7" t="inlineStr">
        <is>
          <t>HVAC</t>
        </is>
      </c>
      <c r="B6" s="7" t="inlineStr">
        <is>
          <t>Prepare invoice</t>
        </is>
      </c>
      <c r="C6" s="7" t="inlineStr">
        <is>
          <t>SF</t>
        </is>
      </c>
      <c r="D6" s="7" t="n">
        <v>1380</v>
      </c>
      <c r="E6" s="7" t="n">
        <v>5.17</v>
      </c>
      <c r="F6" s="7" t="n">
        <v>3.45</v>
      </c>
      <c r="G6" s="7">
        <f>E6+F6</f>
        <v/>
      </c>
      <c r="H6" s="7">
        <f>D6*G6</f>
        <v/>
      </c>
    </row>
    <row r="7">
      <c r="A7" s="8" t="inlineStr">
        <is>
          <t>Drywall</t>
        </is>
      </c>
      <c r="B7" s="8" t="inlineStr">
        <is>
          <t>Client call</t>
        </is>
      </c>
      <c r="C7" s="8" t="inlineStr"/>
      <c r="D7" s="8" t="n">
        <v>720</v>
      </c>
      <c r="E7" s="8" t="n">
        <v>2.7</v>
      </c>
      <c r="F7" s="8" t="n">
        <v>1.8</v>
      </c>
      <c r="G7" s="8">
        <f>E7+F7</f>
        <v/>
      </c>
      <c r="H7" s="8">
        <f>D7*G7</f>
        <v/>
      </c>
    </row>
    <row r="8">
      <c r="A8" s="7" t="inlineStr">
        <is>
          <t>Flooring</t>
        </is>
      </c>
      <c r="B8" s="7" t="inlineStr">
        <is>
          <t>Design first draft</t>
        </is>
      </c>
      <c r="C8" s="7" t="inlineStr">
        <is>
          <t>SF</t>
        </is>
      </c>
      <c r="D8" s="7" t="n">
        <v>1740</v>
      </c>
      <c r="E8" s="7" t="n">
        <v>6.52</v>
      </c>
      <c r="F8" s="7" t="n">
        <v>4.35</v>
      </c>
      <c r="G8" s="7">
        <f>E8+F8</f>
        <v/>
      </c>
      <c r="H8" s="7">
        <f>D8*G8</f>
        <v/>
      </c>
    </row>
    <row r="9">
      <c r="A9" s="8" t="inlineStr">
        <is>
          <t>Roofing</t>
        </is>
      </c>
      <c r="B9" s="8" t="inlineStr">
        <is>
          <t>Fix reported bug</t>
        </is>
      </c>
      <c r="C9" s="8" t="inlineStr">
        <is>
          <t>SF</t>
        </is>
      </c>
      <c r="D9" s="8" t="n">
        <v>1140</v>
      </c>
      <c r="E9" s="8" t="n">
        <v>4.27</v>
      </c>
      <c r="F9" s="8" t="n">
        <v>2.85</v>
      </c>
      <c r="G9" s="8">
        <f>E9+F9</f>
        <v/>
      </c>
      <c r="H9" s="8">
        <f>D9*G9</f>
        <v/>
      </c>
    </row>
    <row r="10">
      <c r="A10" s="7" t="inlineStr">
        <is>
          <t>Exterior</t>
        </is>
      </c>
      <c r="B10" s="7" t="inlineStr">
        <is>
          <t>Weekly report</t>
        </is>
      </c>
      <c r="C10" s="7" t="inlineStr"/>
      <c r="D10" s="7" t="n">
        <v>1500</v>
      </c>
      <c r="E10" s="7" t="n">
        <v>5.62</v>
      </c>
      <c r="F10" s="7" t="n">
        <v>3.75</v>
      </c>
      <c r="G10" s="7">
        <f>E10+F10</f>
        <v/>
      </c>
      <c r="H10" s="7">
        <f>D10*G10</f>
        <v/>
      </c>
    </row>
    <row r="11">
      <c r="A11" s="8" t="inlineStr">
        <is>
          <t>Finishes</t>
        </is>
      </c>
      <c r="B11" s="8" t="inlineStr">
        <is>
          <t>Plan next sprint</t>
        </is>
      </c>
      <c r="C11" s="8" t="inlineStr">
        <is>
          <t>SF</t>
        </is>
      </c>
      <c r="D11" s="8" t="n">
        <v>960</v>
      </c>
      <c r="E11" s="8" t="n">
        <v>3.6</v>
      </c>
      <c r="F11" s="8" t="n">
        <v>2.4</v>
      </c>
      <c r="G11" s="8">
        <f>E11+F11</f>
        <v/>
      </c>
      <c r="H11" s="8">
        <f>D11*G11</f>
        <v/>
      </c>
    </row>
    <row r="12">
      <c r="A12" s="7" t="inlineStr">
        <is>
          <t>Landscaping</t>
        </is>
      </c>
      <c r="B12" s="7" t="inlineStr">
        <is>
          <t>Publish blog post</t>
        </is>
      </c>
      <c r="C12" s="7" t="inlineStr">
        <is>
          <t>SF</t>
        </is>
      </c>
      <c r="D12" s="7" t="n">
        <v>1320</v>
      </c>
      <c r="E12" s="7" t="n">
        <v>4.95</v>
      </c>
      <c r="F12" s="7" t="n">
        <v>3.3</v>
      </c>
      <c r="G12" s="7">
        <f>E12+F12</f>
        <v/>
      </c>
      <c r="H12" s="7">
        <f>D12*G12</f>
        <v/>
      </c>
    </row>
    <row r="13">
      <c r="A13" s="8" t="inlineStr">
        <is>
          <t>Foundation</t>
        </is>
      </c>
      <c r="B13" s="8" t="inlineStr">
        <is>
          <t>Team sync</t>
        </is>
      </c>
      <c r="C13" s="8" t="inlineStr"/>
      <c r="D13" s="8" t="n">
        <v>900</v>
      </c>
      <c r="E13" s="8" t="n">
        <v>3.38</v>
      </c>
      <c r="F13" s="8" t="n">
        <v>2.25</v>
      </c>
      <c r="G13" s="8">
        <f>E13+F13</f>
        <v/>
      </c>
      <c r="H13" s="8">
        <f>D13*G13</f>
        <v/>
      </c>
    </row>
  </sheetData>
  <dataValidations count="1">
    <dataValidation sqref="A2:A500" showDropDown="0" showInputMessage="0" showErrorMessage="0" allowBlank="1" type="list">
      <formula1>"Foundation,Framing,Electrical,Plumbing,HVAC,Drywall,Flooring,Roofing,Exterior,Finishes,Landscaping"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9" t="inlineStr">
        <is>
          <t>📊  CONSTRUCTION ESTIMATE — DASHBOARD</t>
        </is>
      </c>
    </row>
    <row r="4">
      <c r="B4" s="10" t="inlineStr">
        <is>
          <t>TOTAL ESTIMATE $</t>
        </is>
      </c>
      <c r="D4" s="11" t="inlineStr">
        <is>
          <t>TOTAL ACTUAL $</t>
        </is>
      </c>
      <c r="F4" s="12" t="inlineStr">
        <is>
          <t>VARIANCE $</t>
        </is>
      </c>
      <c r="H4" s="13" t="inlineStr">
        <is>
          <t>GROSS MARGIN %</t>
        </is>
      </c>
    </row>
    <row r="5" ht="26" customHeight="1">
      <c r="B5" s="14">
        <f>SUM(Estimate!H:H)</f>
        <v/>
      </c>
      <c r="D5" s="15">
        <f>SUM(Actuals!F:F)</f>
        <v/>
      </c>
      <c r="F5" s="16">
        <f>SUM(Estimate!H:H)-SUM(Actuals!F:F)</f>
        <v/>
      </c>
      <c r="H5" s="17">
        <f>(ContractValue!B1-SUM(Estimate!H:H))/ContractValue!B1</f>
        <v/>
      </c>
    </row>
    <row r="8">
      <c r="B8" s="18" t="inlineStr">
        <is>
          <t>WHAT'S INSIDE</t>
        </is>
      </c>
    </row>
    <row r="9">
      <c r="B9" s="19" t="inlineStr">
        <is>
          <t>📋  Estimate — Detailed cost estimate by trade and category.</t>
        </is>
      </c>
    </row>
    <row r="10">
      <c r="B10" s="19" t="inlineStr">
        <is>
          <t>📊  Actuals — Actual costs as work is completed.</t>
        </is>
      </c>
    </row>
    <row r="11">
      <c r="B11" s="19" t="inlineStr">
        <is>
          <t>📅  Schedule — Project milestone schedule with completion status.</t>
        </is>
      </c>
    </row>
    <row r="12">
      <c r="B12" s="19" t="inlineStr">
        <is>
          <t>💰  ContractValue — Contract value and change order tracker.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6" customWidth="1" min="4" max="4"/>
    <col width="30" customWidth="1" min="5" max="5"/>
    <col width="14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Trade</t>
        </is>
      </c>
      <c r="C1" s="6" t="inlineStr">
        <is>
          <t>Vendor/Sub</t>
        </is>
      </c>
      <c r="D1" s="6" t="inlineStr">
        <is>
          <t>Invoice #</t>
        </is>
      </c>
      <c r="E1" s="6" t="inlineStr">
        <is>
          <t>Description</t>
        </is>
      </c>
      <c r="F1" s="6" t="inlineStr">
        <is>
          <t>Amount $</t>
        </is>
      </c>
      <c r="G1" s="6" t="inlineStr">
        <is>
          <t>Status</t>
        </is>
      </c>
    </row>
    <row r="2">
      <c r="A2" s="20" t="n">
        <v>46174</v>
      </c>
      <c r="B2" s="7" t="inlineStr">
        <is>
          <t>Framing</t>
        </is>
      </c>
      <c r="C2" s="7" t="inlineStr">
        <is>
          <t>BrightWave Studio</t>
        </is>
      </c>
      <c r="D2" s="7" t="inlineStr">
        <is>
          <t>INV-1042</t>
        </is>
      </c>
      <c r="E2" s="7" t="inlineStr">
        <is>
          <t>Rough framing complete</t>
        </is>
      </c>
      <c r="F2" s="21" t="n">
        <v>18500</v>
      </c>
      <c r="G2" s="7" t="inlineStr">
        <is>
          <t>Invoice Received</t>
        </is>
      </c>
    </row>
    <row r="3">
      <c r="A3" s="22" t="n">
        <v>46180</v>
      </c>
      <c r="B3" s="8" t="inlineStr">
        <is>
          <t>Framing</t>
        </is>
      </c>
      <c r="C3" s="8" t="inlineStr">
        <is>
          <t>GreenLeaf Co.</t>
        </is>
      </c>
      <c r="D3" s="8" t="inlineStr">
        <is>
          <t>INV-1043</t>
        </is>
      </c>
      <c r="E3" s="8" t="inlineStr">
        <is>
          <t>Rough framing complete</t>
        </is>
      </c>
      <c r="F3" s="23" t="n">
        <v>12950</v>
      </c>
      <c r="G3" s="8" t="inlineStr">
        <is>
          <t>Approved</t>
        </is>
      </c>
    </row>
    <row r="4">
      <c r="A4" s="20" t="n">
        <v>46186</v>
      </c>
      <c r="B4" s="7" t="inlineStr"/>
      <c r="C4" s="7" t="inlineStr">
        <is>
          <t>Nova Digital</t>
        </is>
      </c>
      <c r="D4" s="7" t="inlineStr">
        <is>
          <t>INV-1044</t>
        </is>
      </c>
      <c r="E4" s="7" t="inlineStr"/>
      <c r="F4" s="21" t="n">
        <v>24050</v>
      </c>
      <c r="G4" s="7" t="inlineStr">
        <is>
          <t>Paid</t>
        </is>
      </c>
    </row>
    <row r="5">
      <c r="A5" s="22" t="n">
        <v>46189</v>
      </c>
      <c r="B5" s="8" t="inlineStr">
        <is>
          <t>Framing</t>
        </is>
      </c>
      <c r="C5" s="8" t="inlineStr">
        <is>
          <t>Atlas Consulting</t>
        </is>
      </c>
      <c r="D5" s="8" t="inlineStr">
        <is>
          <t>INV-1045</t>
        </is>
      </c>
      <c r="E5" s="8" t="inlineStr">
        <is>
          <t>Rough framing complete</t>
        </is>
      </c>
      <c r="F5" s="23" t="n">
        <v>15725</v>
      </c>
      <c r="G5" s="8" t="inlineStr">
        <is>
          <t>Invoice Received</t>
        </is>
      </c>
    </row>
    <row r="6">
      <c r="A6" s="20" t="n">
        <v>46195</v>
      </c>
      <c r="B6" s="7" t="inlineStr">
        <is>
          <t>Framing</t>
        </is>
      </c>
      <c r="C6" s="7" t="inlineStr">
        <is>
          <t>Pixel &amp; Co</t>
        </is>
      </c>
      <c r="D6" s="7" t="inlineStr">
        <is>
          <t>INV-1046</t>
        </is>
      </c>
      <c r="E6" s="7" t="inlineStr">
        <is>
          <t>Rough framing complete</t>
        </is>
      </c>
      <c r="F6" s="21" t="n">
        <v>21275</v>
      </c>
      <c r="G6" s="7" t="inlineStr">
        <is>
          <t>Approved</t>
        </is>
      </c>
    </row>
    <row r="7">
      <c r="A7" s="22" t="n">
        <v>46201</v>
      </c>
      <c r="B7" s="8" t="inlineStr"/>
      <c r="C7" s="8" t="inlineStr">
        <is>
          <t>Blue Harbor Ltd</t>
        </is>
      </c>
      <c r="D7" s="8" t="inlineStr">
        <is>
          <t>INV-1047</t>
        </is>
      </c>
      <c r="E7" s="8" t="inlineStr"/>
      <c r="F7" s="23" t="n">
        <v>11100</v>
      </c>
      <c r="G7" s="8" t="inlineStr">
        <is>
          <t>Paid</t>
        </is>
      </c>
    </row>
    <row r="8">
      <c r="A8" s="20" t="n">
        <v>46176</v>
      </c>
      <c r="B8" s="7" t="inlineStr">
        <is>
          <t>Framing</t>
        </is>
      </c>
      <c r="C8" s="7" t="inlineStr">
        <is>
          <t>Sunrise Media</t>
        </is>
      </c>
      <c r="D8" s="7" t="inlineStr">
        <is>
          <t>INV-1048</t>
        </is>
      </c>
      <c r="E8" s="7" t="inlineStr">
        <is>
          <t>Rough framing complete</t>
        </is>
      </c>
      <c r="F8" s="21" t="n">
        <v>26825</v>
      </c>
      <c r="G8" s="7" t="inlineStr">
        <is>
          <t>Invoice Received</t>
        </is>
      </c>
    </row>
    <row r="9">
      <c r="A9" s="22" t="n">
        <v>46182</v>
      </c>
      <c r="B9" s="8" t="inlineStr">
        <is>
          <t>Framing</t>
        </is>
      </c>
      <c r="C9" s="8" t="inlineStr">
        <is>
          <t>UrbanCraft</t>
        </is>
      </c>
      <c r="D9" s="8" t="inlineStr">
        <is>
          <t>INV-1049</t>
        </is>
      </c>
      <c r="E9" s="8" t="inlineStr">
        <is>
          <t>Rough framing complete</t>
        </is>
      </c>
      <c r="F9" s="23" t="n">
        <v>17575</v>
      </c>
      <c r="G9" s="8" t="inlineStr">
        <is>
          <t>Approved</t>
        </is>
      </c>
    </row>
    <row r="10">
      <c r="A10" s="20" t="n">
        <v>46188</v>
      </c>
      <c r="B10" s="7" t="inlineStr"/>
      <c r="C10" s="7" t="inlineStr">
        <is>
          <t>PrimeWorks</t>
        </is>
      </c>
      <c r="D10" s="7" t="inlineStr">
        <is>
          <t>INV-1050</t>
        </is>
      </c>
      <c r="E10" s="7" t="inlineStr"/>
      <c r="F10" s="21" t="n">
        <v>23125</v>
      </c>
      <c r="G10" s="7" t="inlineStr">
        <is>
          <t>Paid</t>
        </is>
      </c>
    </row>
    <row r="11">
      <c r="A11" s="22" t="n">
        <v>46191</v>
      </c>
      <c r="B11" s="8" t="inlineStr">
        <is>
          <t>Framing</t>
        </is>
      </c>
      <c r="C11" s="8" t="inlineStr">
        <is>
          <t>EchoLab</t>
        </is>
      </c>
      <c r="D11" s="8" t="inlineStr">
        <is>
          <t>INV-1051</t>
        </is>
      </c>
      <c r="E11" s="8" t="inlineStr">
        <is>
          <t>Rough framing complete</t>
        </is>
      </c>
      <c r="F11" s="23" t="n">
        <v>14800</v>
      </c>
      <c r="G11" s="8" t="inlineStr">
        <is>
          <t>Invoice Received</t>
        </is>
      </c>
    </row>
    <row r="12">
      <c r="A12" s="20" t="n">
        <v>46197</v>
      </c>
      <c r="B12" s="7" t="inlineStr">
        <is>
          <t>Framing</t>
        </is>
      </c>
      <c r="C12" s="7" t="inlineStr">
        <is>
          <t>Vertex Group</t>
        </is>
      </c>
      <c r="D12" s="7" t="inlineStr">
        <is>
          <t>INV-1052</t>
        </is>
      </c>
      <c r="E12" s="7" t="inlineStr">
        <is>
          <t>Rough framing complete</t>
        </is>
      </c>
      <c r="F12" s="21" t="n">
        <v>20350</v>
      </c>
      <c r="G12" s="7" t="inlineStr">
        <is>
          <t>Approved</t>
        </is>
      </c>
    </row>
    <row r="13">
      <c r="A13" s="22" t="n">
        <v>46175</v>
      </c>
      <c r="B13" s="8" t="inlineStr"/>
      <c r="C13" s="8" t="inlineStr">
        <is>
          <t>ClearPath Inc</t>
        </is>
      </c>
      <c r="D13" s="8" t="inlineStr">
        <is>
          <t>INV-1053</t>
        </is>
      </c>
      <c r="E13" s="8" t="inlineStr"/>
      <c r="F13" s="23" t="n">
        <v>13875</v>
      </c>
      <c r="G13" s="8" t="inlineStr">
        <is>
          <t>Paid</t>
        </is>
      </c>
    </row>
  </sheetData>
  <dataValidations count="1">
    <dataValidation sqref="G2:G500" showDropDown="0" showInputMessage="0" showErrorMessage="0" allowBlank="1" type="list">
      <formula1>"Invoice Received,Approved,Paid"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  <col width="18" customWidth="1" min="5" max="5"/>
    <col width="30" customWidth="1" min="6" max="6"/>
  </cols>
  <sheetData>
    <row r="1">
      <c r="A1" s="6" t="inlineStr">
        <is>
          <t>Phase</t>
        </is>
      </c>
      <c r="B1" s="6" t="inlineStr">
        <is>
          <t>Start Date</t>
        </is>
      </c>
      <c r="C1" s="6" t="inlineStr">
        <is>
          <t>End Date</t>
        </is>
      </c>
      <c r="D1" s="6" t="inlineStr">
        <is>
          <t>Days</t>
        </is>
      </c>
      <c r="E1" s="6" t="inlineStr">
        <is>
          <t>Status</t>
        </is>
      </c>
      <c r="F1" s="6" t="inlineStr">
        <is>
          <t>Notes</t>
        </is>
      </c>
    </row>
    <row r="2">
      <c r="A2" s="7" t="inlineStr">
        <is>
          <t>Foundation</t>
        </is>
      </c>
      <c r="B2" s="20" t="n">
        <v>46174</v>
      </c>
      <c r="C2" s="20" t="n">
        <v>46174</v>
      </c>
      <c r="D2" s="7">
        <f>C2-B2</f>
        <v/>
      </c>
      <c r="E2" s="7" t="inlineStr">
        <is>
          <t>Not Started</t>
        </is>
      </c>
      <c r="F2" s="7" t="inlineStr"/>
    </row>
    <row r="3">
      <c r="A3" s="8" t="inlineStr">
        <is>
          <t>Foundation</t>
        </is>
      </c>
      <c r="B3" s="22" t="n">
        <v>46180</v>
      </c>
      <c r="C3" s="22" t="n">
        <v>46180</v>
      </c>
      <c r="D3" s="8">
        <f>C3-B3</f>
        <v/>
      </c>
      <c r="E3" s="8" t="inlineStr">
        <is>
          <t>In Progress</t>
        </is>
      </c>
      <c r="F3" s="8" t="inlineStr">
        <is>
          <t>Paid</t>
        </is>
      </c>
    </row>
    <row r="4">
      <c r="A4" s="7" t="inlineStr"/>
      <c r="B4" s="20" t="n">
        <v>46186</v>
      </c>
      <c r="C4" s="20" t="n">
        <v>46186</v>
      </c>
      <c r="D4" s="7">
        <f>C4-B4</f>
        <v/>
      </c>
      <c r="E4" s="7" t="inlineStr">
        <is>
          <t>Complete</t>
        </is>
      </c>
      <c r="F4" s="7" t="inlineStr">
        <is>
          <t>Urgent</t>
        </is>
      </c>
    </row>
    <row r="5">
      <c r="A5" s="8" t="inlineStr">
        <is>
          <t>Foundation</t>
        </is>
      </c>
      <c r="B5" s="22" t="n">
        <v>46189</v>
      </c>
      <c r="C5" s="22" t="n">
        <v>46189</v>
      </c>
      <c r="D5" s="8">
        <f>C5-B5</f>
        <v/>
      </c>
      <c r="E5" s="8" t="inlineStr">
        <is>
          <t>Delayed</t>
        </is>
      </c>
      <c r="F5" s="8" t="inlineStr">
        <is>
          <t>Follow up Friday</t>
        </is>
      </c>
    </row>
    <row r="6">
      <c r="A6" s="7" t="inlineStr">
        <is>
          <t>Foundation</t>
        </is>
      </c>
      <c r="B6" s="20" t="n">
        <v>46195</v>
      </c>
      <c r="C6" s="20" t="n">
        <v>46195</v>
      </c>
      <c r="D6" s="7">
        <f>C6-B6</f>
        <v/>
      </c>
      <c r="E6" s="7" t="inlineStr">
        <is>
          <t>Not Started</t>
        </is>
      </c>
      <c r="F6" s="7" t="inlineStr"/>
    </row>
    <row r="7">
      <c r="A7" s="8" t="inlineStr"/>
      <c r="B7" s="22" t="n">
        <v>46201</v>
      </c>
      <c r="C7" s="22" t="n">
        <v>46201</v>
      </c>
      <c r="D7" s="8">
        <f>C7-B7</f>
        <v/>
      </c>
      <c r="E7" s="8" t="inlineStr">
        <is>
          <t>In Progress</t>
        </is>
      </c>
      <c r="F7" s="8" t="inlineStr">
        <is>
          <t>Monthly</t>
        </is>
      </c>
    </row>
    <row r="8">
      <c r="A8" s="7" t="inlineStr">
        <is>
          <t>Foundation</t>
        </is>
      </c>
      <c r="B8" s="20" t="n">
        <v>46176</v>
      </c>
      <c r="C8" s="20" t="n">
        <v>46176</v>
      </c>
      <c r="D8" s="7">
        <f>C8-B8</f>
        <v/>
      </c>
      <c r="E8" s="7" t="inlineStr">
        <is>
          <t>Complete</t>
        </is>
      </c>
      <c r="F8" s="7" t="inlineStr">
        <is>
          <t>Confirmed</t>
        </is>
      </c>
    </row>
    <row r="9">
      <c r="A9" s="8" t="inlineStr">
        <is>
          <t>Foundation</t>
        </is>
      </c>
      <c r="B9" s="22" t="n">
        <v>46182</v>
      </c>
      <c r="C9" s="22" t="n">
        <v>46182</v>
      </c>
      <c r="D9" s="8">
        <f>C9-B9</f>
        <v/>
      </c>
      <c r="E9" s="8" t="inlineStr">
        <is>
          <t>Delayed</t>
        </is>
      </c>
      <c r="F9" s="8" t="inlineStr"/>
    </row>
    <row r="10">
      <c r="A10" s="7" t="inlineStr"/>
      <c r="B10" s="20" t="n">
        <v>46188</v>
      </c>
      <c r="C10" s="20" t="n">
        <v>46188</v>
      </c>
      <c r="D10" s="7">
        <f>C10-B10</f>
        <v/>
      </c>
      <c r="E10" s="7" t="inlineStr">
        <is>
          <t>Not Started</t>
        </is>
      </c>
      <c r="F10" s="7" t="inlineStr">
        <is>
          <t>Waiting reply</t>
        </is>
      </c>
    </row>
    <row r="11">
      <c r="A11" s="8" t="inlineStr">
        <is>
          <t>Foundation</t>
        </is>
      </c>
      <c r="B11" s="22" t="n">
        <v>46191</v>
      </c>
      <c r="C11" s="22" t="n">
        <v>46191</v>
      </c>
      <c r="D11" s="8">
        <f>C11-B11</f>
        <v/>
      </c>
      <c r="E11" s="8" t="inlineStr">
        <is>
          <t>In Progress</t>
        </is>
      </c>
      <c r="F11" s="8" t="inlineStr">
        <is>
          <t>Done early</t>
        </is>
      </c>
    </row>
    <row r="12">
      <c r="A12" s="7" t="inlineStr">
        <is>
          <t>Foundation</t>
        </is>
      </c>
      <c r="B12" s="20" t="n">
        <v>46197</v>
      </c>
      <c r="C12" s="20" t="n">
        <v>46197</v>
      </c>
      <c r="D12" s="7">
        <f>C12-B12</f>
        <v/>
      </c>
      <c r="E12" s="7" t="inlineStr">
        <is>
          <t>Complete</t>
        </is>
      </c>
      <c r="F12" s="7" t="inlineStr"/>
    </row>
    <row r="13">
      <c r="A13" s="8" t="inlineStr"/>
      <c r="B13" s="22" t="n">
        <v>46175</v>
      </c>
      <c r="C13" s="22" t="n">
        <v>46175</v>
      </c>
      <c r="D13" s="8">
        <f>C13-B13</f>
        <v/>
      </c>
      <c r="E13" s="8" t="inlineStr">
        <is>
          <t>Delayed</t>
        </is>
      </c>
      <c r="F13" s="8" t="inlineStr">
        <is>
          <t>Recheck</t>
        </is>
      </c>
    </row>
  </sheetData>
  <dataValidations count="1">
    <dataValidation sqref="E2:E500" showDropDown="0" showInputMessage="0" showErrorMessage="0" allowBlank="1" type="list">
      <formula1>"Not Started,In Progress,Complete,Delayed"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Item</t>
        </is>
      </c>
      <c r="B1" s="6" t="inlineStr">
        <is>
          <t>Amount $</t>
        </is>
      </c>
    </row>
    <row r="2">
      <c r="A2" s="7" t="inlineStr">
        <is>
          <t>Kickoff meeting</t>
        </is>
      </c>
      <c r="B2" s="21" t="n">
        <v>285000</v>
      </c>
    </row>
    <row r="3">
      <c r="A3" s="8" t="inlineStr">
        <is>
          <t>Send proposal</t>
        </is>
      </c>
      <c r="B3" s="23" t="n">
        <v>199500</v>
      </c>
    </row>
    <row r="4">
      <c r="A4" s="7" t="inlineStr">
        <is>
          <t>Review feedback</t>
        </is>
      </c>
      <c r="B4" s="21" t="n">
        <v>370500</v>
      </c>
    </row>
    <row r="5">
      <c r="A5" s="8" t="inlineStr">
        <is>
          <t>Update website copy</t>
        </is>
      </c>
      <c r="B5" s="23" t="n">
        <v>242250</v>
      </c>
    </row>
    <row r="6">
      <c r="A6" s="7" t="inlineStr">
        <is>
          <t>Prepare invoice</t>
        </is>
      </c>
      <c r="B6" s="21" t="n">
        <v>327750</v>
      </c>
    </row>
    <row r="7">
      <c r="A7" s="8" t="inlineStr">
        <is>
          <t>Client call</t>
        </is>
      </c>
      <c r="B7" s="23" t="n">
        <v>171000</v>
      </c>
    </row>
    <row r="8">
      <c r="A8" s="7" t="inlineStr">
        <is>
          <t>Design first draft</t>
        </is>
      </c>
      <c r="B8" s="21" t="n">
        <v>413250</v>
      </c>
    </row>
    <row r="9">
      <c r="A9" s="8" t="inlineStr">
        <is>
          <t>Fix reported bug</t>
        </is>
      </c>
      <c r="B9" s="23" t="n">
        <v>270750</v>
      </c>
    </row>
    <row r="10">
      <c r="A10" s="7" t="inlineStr">
        <is>
          <t>Weekly report</t>
        </is>
      </c>
      <c r="B10" s="21" t="n">
        <v>356250</v>
      </c>
    </row>
    <row r="11">
      <c r="A11" s="8" t="inlineStr">
        <is>
          <t>Plan next sprint</t>
        </is>
      </c>
      <c r="B11" s="23" t="n">
        <v>228000</v>
      </c>
    </row>
    <row r="12">
      <c r="A12" s="7" t="inlineStr">
        <is>
          <t>Publish blog post</t>
        </is>
      </c>
      <c r="B12" s="21" t="n">
        <v>313500</v>
      </c>
    </row>
    <row r="13">
      <c r="A13" s="8" t="inlineStr">
        <is>
          <t>Team sync</t>
        </is>
      </c>
      <c r="B13" s="23" t="n">
        <v>213750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