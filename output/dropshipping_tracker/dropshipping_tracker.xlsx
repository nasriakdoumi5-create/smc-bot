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Products" sheetId="2" state="visible" r:id="rId2"/>
    <sheet name="Dashboard" sheetId="3" state="visible" r:id="rId3"/>
    <sheet name="Orders" sheetId="4" state="visible" r:id="rId4"/>
    <sheet name="Suppliers" sheetId="5" state="visible" r:id="rId5"/>
    <sheet name="Monthly P&amp;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€&quot;#,##0.00"/>
    <numFmt numFmtId="165" formatCode="yyyy-mm-dd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0891B2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C4A6E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0C4A6E"/>
      </patternFill>
    </fill>
    <fill>
      <patternFill patternType="solid">
        <fgColor rgb="00FFF7F0"/>
      </patternFill>
    </fill>
    <fill>
      <patternFill patternType="solid">
        <fgColor rgb="000891B2"/>
      </patternFill>
    </fill>
    <fill>
      <patternFill patternType="solid">
        <fgColor rgb="00059669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165" fontId="2" fillId="3" borderId="1" pivotButton="0" quotePrefix="0" xfId="0"/>
    <xf numFmtId="165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164" fontId="5" fillId="0" borderId="1" pivotButton="0" quotePrefix="0" xfId="0"/>
    <xf numFmtId="164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🚚  DROPSHIPPING BUSINESS TRACKER</t>
        </is>
      </c>
    </row>
    <row r="3"/>
    <row r="4">
      <c r="B4" s="2" t="inlineStr">
        <is>
          <t>Orders, Suppliers &amp; Profit Margin Google Sheets</t>
        </is>
      </c>
    </row>
    <row r="6">
      <c r="B6" s="3" t="inlineStr">
        <is>
          <t>STEP 1 — Fill in “Products”</t>
        </is>
      </c>
    </row>
    <row r="7" ht="28" customHeight="1">
      <c r="B7" s="4" t="inlineStr">
        <is>
          <t>Product catalog with supplier cost and selling price.</t>
        </is>
      </c>
    </row>
    <row r="9">
      <c r="B9" s="3" t="inlineStr">
        <is>
          <t>STEP 2 — Fill in “Orders”</t>
        </is>
      </c>
    </row>
    <row r="10" ht="28" customHeight="1">
      <c r="B10" s="4" t="inlineStr">
        <is>
          <t>All customer orders with cost, revenue, and profit.</t>
        </is>
      </c>
    </row>
    <row r="12">
      <c r="B12" s="3" t="inlineStr">
        <is>
          <t>STEP 3 — Fill in “Suppliers”</t>
        </is>
      </c>
    </row>
    <row r="13" ht="28" customHeight="1">
      <c r="B13" s="4" t="inlineStr">
        <is>
          <t>Supplier directory with lead times and quality ratings.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16" customWidth="1" min="4" max="4"/>
    <col width="12" customWidth="1" min="5" max="5"/>
    <col width="12" customWidth="1" min="6" max="6"/>
    <col width="16" customWidth="1" min="7" max="7"/>
  </cols>
  <sheetData>
    <row r="1">
      <c r="A1" s="6" t="inlineStr">
        <is>
          <t>Product Name</t>
        </is>
      </c>
      <c r="B1" s="6" t="inlineStr">
        <is>
          <t>Supplier</t>
        </is>
      </c>
      <c r="C1" s="6" t="inlineStr">
        <is>
          <t>Supplier Cost $</t>
        </is>
      </c>
      <c r="D1" s="6" t="inlineStr">
        <is>
          <t>Selling Price $</t>
        </is>
      </c>
      <c r="E1" s="6" t="inlineStr">
        <is>
          <t>Margin $</t>
        </is>
      </c>
      <c r="F1" s="6" t="inlineStr">
        <is>
          <t>Margin %</t>
        </is>
      </c>
      <c r="G1" s="6" t="inlineStr">
        <is>
          <t>Status</t>
        </is>
      </c>
    </row>
    <row r="2">
      <c r="A2" s="7" t="inlineStr">
        <is>
          <t>Alex Martin</t>
        </is>
      </c>
      <c r="B2" s="7" t="inlineStr">
        <is>
          <t>BrightWave Studio</t>
        </is>
      </c>
      <c r="C2" s="8" t="n">
        <v>8.5</v>
      </c>
      <c r="D2" s="8" t="n">
        <v>24.99</v>
      </c>
      <c r="E2" s="7">
        <f>D2-C2</f>
        <v/>
      </c>
      <c r="F2" s="7">
        <f>TEXT((D2-C2)/D2,"0%")</f>
        <v/>
      </c>
      <c r="G2" s="7" t="inlineStr">
        <is>
          <t>Active</t>
        </is>
      </c>
    </row>
    <row r="3">
      <c r="A3" s="9" t="inlineStr">
        <is>
          <t>Sara Lopez</t>
        </is>
      </c>
      <c r="B3" s="9" t="inlineStr">
        <is>
          <t>GreenLeaf Co.</t>
        </is>
      </c>
      <c r="C3" s="10" t="n">
        <v>5.95</v>
      </c>
      <c r="D3" s="10" t="n">
        <v>17.49</v>
      </c>
      <c r="E3" s="9">
        <f>D3-C3</f>
        <v/>
      </c>
      <c r="F3" s="9">
        <f>TEXT((D3-C3)/D3,"0%")</f>
        <v/>
      </c>
      <c r="G3" s="9" t="inlineStr">
        <is>
          <t>Testing</t>
        </is>
      </c>
    </row>
    <row r="4">
      <c r="A4" s="7" t="inlineStr">
        <is>
          <t>Omar Haddad</t>
        </is>
      </c>
      <c r="B4" s="7" t="inlineStr">
        <is>
          <t>Nova Digital</t>
        </is>
      </c>
      <c r="C4" s="8" t="n">
        <v>11.05</v>
      </c>
      <c r="D4" s="8" t="n">
        <v>32.49</v>
      </c>
      <c r="E4" s="7">
        <f>D4-C4</f>
        <v/>
      </c>
      <c r="F4" s="7">
        <f>TEXT((D4-C4)/D4,"0%")</f>
        <v/>
      </c>
      <c r="G4" s="7" t="inlineStr">
        <is>
          <t>Paused</t>
        </is>
      </c>
    </row>
    <row r="5">
      <c r="A5" s="9" t="inlineStr">
        <is>
          <t>Emma Fischer</t>
        </is>
      </c>
      <c r="B5" s="9" t="inlineStr">
        <is>
          <t>Atlas Consulting</t>
        </is>
      </c>
      <c r="C5" s="10" t="n">
        <v>7.22</v>
      </c>
      <c r="D5" s="10" t="n">
        <v>21.24</v>
      </c>
      <c r="E5" s="9">
        <f>D5-C5</f>
        <v/>
      </c>
      <c r="F5" s="9">
        <f>TEXT((D5-C5)/D5,"0%")</f>
        <v/>
      </c>
      <c r="G5" s="9" t="inlineStr">
        <is>
          <t>Discontinued</t>
        </is>
      </c>
    </row>
    <row r="6">
      <c r="A6" s="7" t="inlineStr">
        <is>
          <t>Liam Carter</t>
        </is>
      </c>
      <c r="B6" s="7" t="inlineStr">
        <is>
          <t>Pixel &amp; Co</t>
        </is>
      </c>
      <c r="C6" s="8" t="n">
        <v>9.77</v>
      </c>
      <c r="D6" s="8" t="n">
        <v>28.74</v>
      </c>
      <c r="E6" s="7">
        <f>D6-C6</f>
        <v/>
      </c>
      <c r="F6" s="7">
        <f>TEXT((D6-C6)/D6,"0%")</f>
        <v/>
      </c>
      <c r="G6" s="7" t="inlineStr">
        <is>
          <t>Active</t>
        </is>
      </c>
    </row>
    <row r="7">
      <c r="A7" s="9" t="inlineStr">
        <is>
          <t>Nadia Rahali</t>
        </is>
      </c>
      <c r="B7" s="9" t="inlineStr">
        <is>
          <t>Blue Harbor Ltd</t>
        </is>
      </c>
      <c r="C7" s="10" t="n">
        <v>5.1</v>
      </c>
      <c r="D7" s="10" t="n">
        <v>14.99</v>
      </c>
      <c r="E7" s="9">
        <f>D7-C7</f>
        <v/>
      </c>
      <c r="F7" s="9">
        <f>TEXT((D7-C7)/D7,"0%")</f>
        <v/>
      </c>
      <c r="G7" s="9" t="inlineStr">
        <is>
          <t>Testing</t>
        </is>
      </c>
    </row>
    <row r="8">
      <c r="A8" s="7" t="inlineStr">
        <is>
          <t>Tom Becker</t>
        </is>
      </c>
      <c r="B8" s="7" t="inlineStr">
        <is>
          <t>Sunrise Media</t>
        </is>
      </c>
      <c r="C8" s="8" t="n">
        <v>12.32</v>
      </c>
      <c r="D8" s="8" t="n">
        <v>36.24</v>
      </c>
      <c r="E8" s="7">
        <f>D8-C8</f>
        <v/>
      </c>
      <c r="F8" s="7">
        <f>TEXT((D8-C8)/D8,"0%")</f>
        <v/>
      </c>
      <c r="G8" s="7" t="inlineStr">
        <is>
          <t>Paused</t>
        </is>
      </c>
    </row>
    <row r="9">
      <c r="A9" s="9" t="inlineStr">
        <is>
          <t>Julia Romero</t>
        </is>
      </c>
      <c r="B9" s="9" t="inlineStr">
        <is>
          <t>UrbanCraft</t>
        </is>
      </c>
      <c r="C9" s="10" t="n">
        <v>8.07</v>
      </c>
      <c r="D9" s="10" t="n">
        <v>23.74</v>
      </c>
      <c r="E9" s="9">
        <f>D9-C9</f>
        <v/>
      </c>
      <c r="F9" s="9">
        <f>TEXT((D9-C9)/D9,"0%")</f>
        <v/>
      </c>
      <c r="G9" s="9" t="inlineStr">
        <is>
          <t>Discontinued</t>
        </is>
      </c>
    </row>
    <row r="10">
      <c r="A10" s="7" t="inlineStr">
        <is>
          <t>Karim Ziani</t>
        </is>
      </c>
      <c r="B10" s="7" t="inlineStr">
        <is>
          <t>PrimeWorks</t>
        </is>
      </c>
      <c r="C10" s="8" t="n">
        <v>10.62</v>
      </c>
      <c r="D10" s="8" t="n">
        <v>31.24</v>
      </c>
      <c r="E10" s="7">
        <f>D10-C10</f>
        <v/>
      </c>
      <c r="F10" s="7">
        <f>TEXT((D10-C10)/D10,"0%")</f>
        <v/>
      </c>
      <c r="G10" s="7" t="inlineStr">
        <is>
          <t>Active</t>
        </is>
      </c>
    </row>
    <row r="11">
      <c r="A11" s="9" t="inlineStr">
        <is>
          <t>Anna Kowalska</t>
        </is>
      </c>
      <c r="B11" s="9" t="inlineStr">
        <is>
          <t>EchoLab</t>
        </is>
      </c>
      <c r="C11" s="10" t="n">
        <v>6.8</v>
      </c>
      <c r="D11" s="10" t="n">
        <v>19.99</v>
      </c>
      <c r="E11" s="9">
        <f>D11-C11</f>
        <v/>
      </c>
      <c r="F11" s="9">
        <f>TEXT((D11-C11)/D11,"0%")</f>
        <v/>
      </c>
      <c r="G11" s="9" t="inlineStr">
        <is>
          <t>Testing</t>
        </is>
      </c>
    </row>
    <row r="12">
      <c r="A12" s="7" t="inlineStr">
        <is>
          <t>David Chen</t>
        </is>
      </c>
      <c r="B12" s="7" t="inlineStr">
        <is>
          <t>Vertex Group</t>
        </is>
      </c>
      <c r="C12" s="8" t="n">
        <v>9.35</v>
      </c>
      <c r="D12" s="8" t="n">
        <v>27.49</v>
      </c>
      <c r="E12" s="7">
        <f>D12-C12</f>
        <v/>
      </c>
      <c r="F12" s="7">
        <f>TEXT((D12-C12)/D12,"0%")</f>
        <v/>
      </c>
      <c r="G12" s="7" t="inlineStr">
        <is>
          <t>Paused</t>
        </is>
      </c>
    </row>
    <row r="13">
      <c r="A13" s="9" t="inlineStr">
        <is>
          <t>Lea Moreau</t>
        </is>
      </c>
      <c r="B13" s="9" t="inlineStr">
        <is>
          <t>ClearPath Inc</t>
        </is>
      </c>
      <c r="C13" s="10" t="n">
        <v>6.38</v>
      </c>
      <c r="D13" s="10" t="n">
        <v>18.74</v>
      </c>
      <c r="E13" s="9">
        <f>D13-C13</f>
        <v/>
      </c>
      <c r="F13" s="9">
        <f>TEXT((D13-C13)/D13,"0%")</f>
        <v/>
      </c>
      <c r="G13" s="9" t="inlineStr">
        <is>
          <t>Discontinued</t>
        </is>
      </c>
    </row>
  </sheetData>
  <dataValidations count="1">
    <dataValidation sqref="G2:G500" showDropDown="0" showInputMessage="0" showErrorMessage="0" allowBlank="1" type="list">
      <formula1>"Active,Testing,Paused,Discontinued"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DROPSHIPPING BUSINESS TRACKER — DASHBOARD</t>
        </is>
      </c>
    </row>
    <row r="4">
      <c r="B4" s="12" t="inlineStr">
        <is>
          <t>TOTAL ORDERS</t>
        </is>
      </c>
      <c r="D4" s="13" t="inlineStr">
        <is>
          <t>TOTAL REVENUE $</t>
        </is>
      </c>
      <c r="F4" s="14" t="inlineStr">
        <is>
          <t>NET PROFIT $</t>
        </is>
      </c>
      <c r="H4" s="15" t="inlineStr">
        <is>
          <t>AVG MARGIN %</t>
        </is>
      </c>
    </row>
    <row r="5" ht="26" customHeight="1">
      <c r="B5" s="16">
        <f>COUNTA(Orders!A:A)-1</f>
        <v/>
      </c>
      <c r="D5" s="17">
        <f>SUM(Orders!F:F)</f>
        <v/>
      </c>
      <c r="F5" s="18">
        <f>SUM(Orders!I:I)</f>
        <v/>
      </c>
      <c r="H5" s="19">
        <f>AVERAGE(Orders!J:J)</f>
        <v/>
      </c>
    </row>
    <row r="8">
      <c r="B8" s="20" t="inlineStr">
        <is>
          <t>WHAT'S INSIDE</t>
        </is>
      </c>
    </row>
    <row r="9">
      <c r="B9" s="21" t="inlineStr">
        <is>
          <t>🏷️  Products — Product catalog with supplier cost and selling price.</t>
        </is>
      </c>
    </row>
    <row r="10">
      <c r="B10" s="21" t="inlineStr">
        <is>
          <t>📦  Orders — All customer orders with cost, revenue, and profit.</t>
        </is>
      </c>
    </row>
    <row r="11">
      <c r="B11" s="21" t="inlineStr">
        <is>
          <t>🏭  Suppliers — Supplier directory with lead times and quality ratings.</t>
        </is>
      </c>
    </row>
    <row r="12">
      <c r="B12" s="21" t="inlineStr">
        <is>
          <t>📊  Monthly P&amp;L — Monthly profit and loss summary.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6" customWidth="1" min="3" max="3"/>
    <col width="8" customWidth="1" min="4" max="4"/>
    <col width="18" customWidth="1" min="5" max="5"/>
    <col width="14" customWidth="1" min="6" max="6"/>
    <col width="16" customWidth="1" min="7" max="7"/>
    <col width="14" customWidth="1" min="8" max="8"/>
    <col width="16" customWidth="1" min="9" max="9"/>
    <col width="14" customWidth="1" min="10" max="10"/>
  </cols>
  <sheetData>
    <row r="1">
      <c r="A1" s="6" t="inlineStr">
        <is>
          <t>Order Date</t>
        </is>
      </c>
      <c r="B1" s="6" t="inlineStr">
        <is>
          <t>Order ID</t>
        </is>
      </c>
      <c r="C1" s="6" t="inlineStr">
        <is>
          <t>Product</t>
        </is>
      </c>
      <c r="D1" s="6" t="inlineStr">
        <is>
          <t>Qty</t>
        </is>
      </c>
      <c r="E1" s="6" t="inlineStr">
        <is>
          <t>Platform</t>
        </is>
      </c>
      <c r="F1" s="6" t="inlineStr">
        <is>
          <t>Revenue $</t>
        </is>
      </c>
      <c r="G1" s="6" t="inlineStr">
        <is>
          <t>Supplier Cost $</t>
        </is>
      </c>
      <c r="H1" s="6" t="inlineStr">
        <is>
          <t>Ads Cost $</t>
        </is>
      </c>
      <c r="I1" s="6" t="inlineStr">
        <is>
          <t>Platform Fee $</t>
        </is>
      </c>
      <c r="J1" s="6" t="inlineStr">
        <is>
          <t>Net Profit $</t>
        </is>
      </c>
    </row>
    <row r="2">
      <c r="A2" s="22" t="n">
        <v>46174</v>
      </c>
      <c r="B2" s="7" t="inlineStr">
        <is>
          <t>ORD-5829</t>
        </is>
      </c>
      <c r="C2" s="7" t="inlineStr">
        <is>
          <t>Wireless Phone Charger</t>
        </is>
      </c>
      <c r="D2" s="7" t="n">
        <v>2</v>
      </c>
      <c r="E2" s="7" t="inlineStr">
        <is>
          <t>Shopify</t>
        </is>
      </c>
      <c r="F2" s="8" t="n">
        <v>49.98</v>
      </c>
      <c r="G2" s="8" t="n">
        <v>17</v>
      </c>
      <c r="H2" s="8" t="n">
        <v>8</v>
      </c>
      <c r="I2" s="8" t="n">
        <v>2.5</v>
      </c>
      <c r="J2" s="7">
        <f>F2-G2-H2-I2</f>
        <v/>
      </c>
    </row>
    <row r="3">
      <c r="A3" s="23" t="n">
        <v>46180</v>
      </c>
      <c r="B3" s="9" t="inlineStr">
        <is>
          <t>ORD-5830</t>
        </is>
      </c>
      <c r="C3" s="9" t="inlineStr">
        <is>
          <t>Wireless Phone Charger</t>
        </is>
      </c>
      <c r="D3" s="9" t="n">
        <v>1.4</v>
      </c>
      <c r="E3" s="9" t="inlineStr">
        <is>
          <t>WooCommerce</t>
        </is>
      </c>
      <c r="F3" s="10" t="n">
        <v>34.99</v>
      </c>
      <c r="G3" s="10" t="n">
        <v>11.9</v>
      </c>
      <c r="H3" s="10" t="n">
        <v>5.6</v>
      </c>
      <c r="I3" s="10" t="n">
        <v>1.75</v>
      </c>
      <c r="J3" s="9">
        <f>F3-G3-H3-I3</f>
        <v/>
      </c>
    </row>
    <row r="4">
      <c r="A4" s="22" t="n">
        <v>46186</v>
      </c>
      <c r="B4" s="7" t="inlineStr">
        <is>
          <t>ORD-5831</t>
        </is>
      </c>
      <c r="C4" s="7" t="inlineStr"/>
      <c r="D4" s="7" t="n">
        <v>2.6</v>
      </c>
      <c r="E4" s="7" t="inlineStr">
        <is>
          <t>eBay</t>
        </is>
      </c>
      <c r="F4" s="8" t="n">
        <v>64.97</v>
      </c>
      <c r="G4" s="8" t="n">
        <v>22.1</v>
      </c>
      <c r="H4" s="8" t="n">
        <v>10.4</v>
      </c>
      <c r="I4" s="8" t="n">
        <v>3.25</v>
      </c>
      <c r="J4" s="7">
        <f>F4-G4-H4-I4</f>
        <v/>
      </c>
    </row>
    <row r="5">
      <c r="A5" s="23" t="n">
        <v>46189</v>
      </c>
      <c r="B5" s="9" t="inlineStr">
        <is>
          <t>ORD-5832</t>
        </is>
      </c>
      <c r="C5" s="9" t="inlineStr">
        <is>
          <t>Wireless Phone Charger</t>
        </is>
      </c>
      <c r="D5" s="9" t="n">
        <v>1.7</v>
      </c>
      <c r="E5" s="9" t="inlineStr">
        <is>
          <t>Amazon</t>
        </is>
      </c>
      <c r="F5" s="10" t="n">
        <v>42.48</v>
      </c>
      <c r="G5" s="10" t="n">
        <v>14.45</v>
      </c>
      <c r="H5" s="10" t="n">
        <v>6.8</v>
      </c>
      <c r="I5" s="10" t="n">
        <v>2.12</v>
      </c>
      <c r="J5" s="9">
        <f>F5-G5-H5-I5</f>
        <v/>
      </c>
    </row>
    <row r="6">
      <c r="A6" s="22" t="n">
        <v>46195</v>
      </c>
      <c r="B6" s="7" t="inlineStr">
        <is>
          <t>ORD-5833</t>
        </is>
      </c>
      <c r="C6" s="7" t="inlineStr">
        <is>
          <t>Wireless Phone Charger</t>
        </is>
      </c>
      <c r="D6" s="7" t="n">
        <v>2.3</v>
      </c>
      <c r="E6" s="7" t="inlineStr">
        <is>
          <t>Etsy</t>
        </is>
      </c>
      <c r="F6" s="8" t="n">
        <v>57.48</v>
      </c>
      <c r="G6" s="8" t="n">
        <v>19.55</v>
      </c>
      <c r="H6" s="8" t="n">
        <v>9.199999999999999</v>
      </c>
      <c r="I6" s="8" t="n">
        <v>2.88</v>
      </c>
      <c r="J6" s="7">
        <f>F6-G6-H6-I6</f>
        <v/>
      </c>
    </row>
    <row r="7">
      <c r="A7" s="23" t="n">
        <v>46201</v>
      </c>
      <c r="B7" s="9" t="inlineStr">
        <is>
          <t>ORD-5834</t>
        </is>
      </c>
      <c r="C7" s="9" t="inlineStr"/>
      <c r="D7" s="9" t="n">
        <v>1.2</v>
      </c>
      <c r="E7" s="9" t="inlineStr">
        <is>
          <t>TikTok Shop</t>
        </is>
      </c>
      <c r="F7" s="10" t="n">
        <v>29.99</v>
      </c>
      <c r="G7" s="10" t="n">
        <v>10.2</v>
      </c>
      <c r="H7" s="10" t="n">
        <v>4.8</v>
      </c>
      <c r="I7" s="10" t="n">
        <v>1.5</v>
      </c>
      <c r="J7" s="9">
        <f>F7-G7-H7-I7</f>
        <v/>
      </c>
    </row>
    <row r="8">
      <c r="A8" s="22" t="n">
        <v>46176</v>
      </c>
      <c r="B8" s="7" t="inlineStr">
        <is>
          <t>ORD-5835</t>
        </is>
      </c>
      <c r="C8" s="7" t="inlineStr">
        <is>
          <t>Wireless Phone Charger</t>
        </is>
      </c>
      <c r="D8" s="7" t="n">
        <v>2.9</v>
      </c>
      <c r="E8" s="7" t="inlineStr">
        <is>
          <t>Shopify</t>
        </is>
      </c>
      <c r="F8" s="8" t="n">
        <v>72.47</v>
      </c>
      <c r="G8" s="8" t="n">
        <v>24.65</v>
      </c>
      <c r="H8" s="8" t="n">
        <v>11.6</v>
      </c>
      <c r="I8" s="8" t="n">
        <v>3.62</v>
      </c>
      <c r="J8" s="7">
        <f>F8-G8-H8-I8</f>
        <v/>
      </c>
    </row>
    <row r="9">
      <c r="A9" s="23" t="n">
        <v>46182</v>
      </c>
      <c r="B9" s="9" t="inlineStr">
        <is>
          <t>ORD-5836</t>
        </is>
      </c>
      <c r="C9" s="9" t="inlineStr">
        <is>
          <t>Wireless Phone Charger</t>
        </is>
      </c>
      <c r="D9" s="9" t="n">
        <v>1.9</v>
      </c>
      <c r="E9" s="9" t="inlineStr">
        <is>
          <t>WooCommerce</t>
        </is>
      </c>
      <c r="F9" s="10" t="n">
        <v>47.48</v>
      </c>
      <c r="G9" s="10" t="n">
        <v>16.15</v>
      </c>
      <c r="H9" s="10" t="n">
        <v>7.6</v>
      </c>
      <c r="I9" s="10" t="n">
        <v>2.38</v>
      </c>
      <c r="J9" s="9">
        <f>F9-G9-H9-I9</f>
        <v/>
      </c>
    </row>
    <row r="10">
      <c r="A10" s="22" t="n">
        <v>46188</v>
      </c>
      <c r="B10" s="7" t="inlineStr">
        <is>
          <t>ORD-5837</t>
        </is>
      </c>
      <c r="C10" s="7" t="inlineStr"/>
      <c r="D10" s="7" t="n">
        <v>2.5</v>
      </c>
      <c r="E10" s="7" t="inlineStr">
        <is>
          <t>eBay</t>
        </is>
      </c>
      <c r="F10" s="8" t="n">
        <v>62.47</v>
      </c>
      <c r="G10" s="8" t="n">
        <v>21.25</v>
      </c>
      <c r="H10" s="8" t="n">
        <v>10</v>
      </c>
      <c r="I10" s="8" t="n">
        <v>3.12</v>
      </c>
      <c r="J10" s="7">
        <f>F10-G10-H10-I10</f>
        <v/>
      </c>
    </row>
    <row r="11">
      <c r="A11" s="23" t="n">
        <v>46191</v>
      </c>
      <c r="B11" s="9" t="inlineStr">
        <is>
          <t>ORD-5838</t>
        </is>
      </c>
      <c r="C11" s="9" t="inlineStr">
        <is>
          <t>Wireless Phone Charger</t>
        </is>
      </c>
      <c r="D11" s="9" t="n">
        <v>1.6</v>
      </c>
      <c r="E11" s="9" t="inlineStr">
        <is>
          <t>Amazon</t>
        </is>
      </c>
      <c r="F11" s="10" t="n">
        <v>39.98</v>
      </c>
      <c r="G11" s="10" t="n">
        <v>13.6</v>
      </c>
      <c r="H11" s="10" t="n">
        <v>6.4</v>
      </c>
      <c r="I11" s="10" t="n">
        <v>2</v>
      </c>
      <c r="J11" s="9">
        <f>F11-G11-H11-I11</f>
        <v/>
      </c>
    </row>
    <row r="12">
      <c r="A12" s="22" t="n">
        <v>46197</v>
      </c>
      <c r="B12" s="7" t="inlineStr">
        <is>
          <t>ORD-5839</t>
        </is>
      </c>
      <c r="C12" s="7" t="inlineStr">
        <is>
          <t>Wireless Phone Charger</t>
        </is>
      </c>
      <c r="D12" s="7" t="n">
        <v>2.2</v>
      </c>
      <c r="E12" s="7" t="inlineStr">
        <is>
          <t>Etsy</t>
        </is>
      </c>
      <c r="F12" s="8" t="n">
        <v>54.98</v>
      </c>
      <c r="G12" s="8" t="n">
        <v>18.7</v>
      </c>
      <c r="H12" s="8" t="n">
        <v>8.800000000000001</v>
      </c>
      <c r="I12" s="8" t="n">
        <v>2.75</v>
      </c>
      <c r="J12" s="7">
        <f>F12-G12-H12-I12</f>
        <v/>
      </c>
    </row>
    <row r="13">
      <c r="A13" s="23" t="n">
        <v>46175</v>
      </c>
      <c r="B13" s="9" t="inlineStr">
        <is>
          <t>ORD-5840</t>
        </is>
      </c>
      <c r="C13" s="9" t="inlineStr"/>
      <c r="D13" s="9" t="n">
        <v>1.5</v>
      </c>
      <c r="E13" s="9" t="inlineStr">
        <is>
          <t>TikTok Shop</t>
        </is>
      </c>
      <c r="F13" s="10" t="n">
        <v>37.48</v>
      </c>
      <c r="G13" s="10" t="n">
        <v>12.75</v>
      </c>
      <c r="H13" s="10" t="n">
        <v>6</v>
      </c>
      <c r="I13" s="10" t="n">
        <v>1.88</v>
      </c>
      <c r="J13" s="9">
        <f>F13-G13-H13-I13</f>
        <v/>
      </c>
    </row>
  </sheetData>
  <dataValidations count="1">
    <dataValidation sqref="E2:E500" showDropDown="0" showInputMessage="0" showErrorMessage="0" allowBlank="1" type="list">
      <formula1>"Shopify,WooCommerce,eBay,Amazon,Etsy,TikTok Shop"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26" customWidth="1" min="4" max="4"/>
    <col width="14" customWidth="1" min="5" max="5"/>
  </cols>
  <sheetData>
    <row r="1">
      <c r="A1" s="6" t="inlineStr">
        <is>
          <t>Supplier</t>
        </is>
      </c>
      <c r="B1" s="6" t="inlineStr">
        <is>
          <t>Platform</t>
        </is>
      </c>
      <c r="C1" s="6" t="inlineStr">
        <is>
          <t>Lead Time (days)</t>
        </is>
      </c>
      <c r="D1" s="6" t="inlineStr">
        <is>
          <t>Products</t>
        </is>
      </c>
      <c r="E1" s="6" t="inlineStr">
        <is>
          <t>Rating</t>
        </is>
      </c>
    </row>
    <row r="2">
      <c r="A2" s="7" t="inlineStr">
        <is>
          <t>BrightWave Studio</t>
        </is>
      </c>
      <c r="B2" s="7" t="inlineStr">
        <is>
          <t>AliExpress</t>
        </is>
      </c>
      <c r="C2" s="7" t="n">
        <v>14</v>
      </c>
      <c r="D2" s="7" t="inlineStr">
        <is>
          <t>Electronics, Phone accessories</t>
        </is>
      </c>
      <c r="E2" s="7" t="inlineStr">
        <is>
          <t>⭐⭐⭐⭐⭐</t>
        </is>
      </c>
    </row>
    <row r="3">
      <c r="A3" s="9" t="inlineStr">
        <is>
          <t>GreenLeaf Co.</t>
        </is>
      </c>
      <c r="B3" s="9" t="inlineStr">
        <is>
          <t>Zendrop</t>
        </is>
      </c>
      <c r="C3" s="9" t="n">
        <v>9.800000000000001</v>
      </c>
      <c r="D3" s="9" t="inlineStr">
        <is>
          <t>Electronics, Phone accessories</t>
        </is>
      </c>
      <c r="E3" s="9" t="inlineStr">
        <is>
          <t>⭐⭐⭐⭐</t>
        </is>
      </c>
    </row>
    <row r="4">
      <c r="A4" s="7" t="inlineStr">
        <is>
          <t>Nova Digital</t>
        </is>
      </c>
      <c r="B4" s="7" t="inlineStr">
        <is>
          <t>Spocket</t>
        </is>
      </c>
      <c r="C4" s="7" t="n">
        <v>18.2</v>
      </c>
      <c r="D4" s="7" t="inlineStr"/>
      <c r="E4" s="7" t="inlineStr">
        <is>
          <t>⭐⭐⭐</t>
        </is>
      </c>
    </row>
    <row r="5">
      <c r="A5" s="9" t="inlineStr">
        <is>
          <t>Atlas Consulting</t>
        </is>
      </c>
      <c r="B5" s="9" t="inlineStr">
        <is>
          <t>CJDropshipping</t>
        </is>
      </c>
      <c r="C5" s="9" t="n">
        <v>11.9</v>
      </c>
      <c r="D5" s="9" t="inlineStr">
        <is>
          <t>Electronics, Phone accessories</t>
        </is>
      </c>
      <c r="E5" s="9" t="inlineStr">
        <is>
          <t>⭐⭐</t>
        </is>
      </c>
    </row>
    <row r="6">
      <c r="A6" s="7" t="inlineStr">
        <is>
          <t>Pixel &amp; Co</t>
        </is>
      </c>
      <c r="B6" s="7" t="inlineStr">
        <is>
          <t>US Supplier</t>
        </is>
      </c>
      <c r="C6" s="7" t="n">
        <v>16.1</v>
      </c>
      <c r="D6" s="7" t="inlineStr">
        <is>
          <t>Electronics, Phone accessories</t>
        </is>
      </c>
      <c r="E6" s="7" t="inlineStr">
        <is>
          <t>⭐</t>
        </is>
      </c>
    </row>
    <row r="7">
      <c r="A7" s="9" t="inlineStr">
        <is>
          <t>Blue Harbor Ltd</t>
        </is>
      </c>
      <c r="B7" s="9" t="inlineStr">
        <is>
          <t>Other</t>
        </is>
      </c>
      <c r="C7" s="9" t="n">
        <v>8.4</v>
      </c>
      <c r="D7" s="9" t="inlineStr"/>
      <c r="E7" s="9" t="inlineStr">
        <is>
          <t>⭐⭐⭐⭐⭐</t>
        </is>
      </c>
    </row>
    <row r="8">
      <c r="A8" s="7" t="inlineStr">
        <is>
          <t>Sunrise Media</t>
        </is>
      </c>
      <c r="B8" s="7" t="inlineStr">
        <is>
          <t>AliExpress</t>
        </is>
      </c>
      <c r="C8" s="7" t="n">
        <v>20.3</v>
      </c>
      <c r="D8" s="7" t="inlineStr">
        <is>
          <t>Electronics, Phone accessories</t>
        </is>
      </c>
      <c r="E8" s="7" t="inlineStr">
        <is>
          <t>⭐⭐⭐⭐</t>
        </is>
      </c>
    </row>
    <row r="9">
      <c r="A9" s="9" t="inlineStr">
        <is>
          <t>UrbanCraft</t>
        </is>
      </c>
      <c r="B9" s="9" t="inlineStr">
        <is>
          <t>Zendrop</t>
        </is>
      </c>
      <c r="C9" s="9" t="n">
        <v>13.3</v>
      </c>
      <c r="D9" s="9" t="inlineStr">
        <is>
          <t>Electronics, Phone accessories</t>
        </is>
      </c>
      <c r="E9" s="9" t="inlineStr">
        <is>
          <t>⭐⭐⭐</t>
        </is>
      </c>
    </row>
    <row r="10">
      <c r="A10" s="7" t="inlineStr">
        <is>
          <t>PrimeWorks</t>
        </is>
      </c>
      <c r="B10" s="7" t="inlineStr">
        <is>
          <t>Spocket</t>
        </is>
      </c>
      <c r="C10" s="7" t="n">
        <v>17.5</v>
      </c>
      <c r="D10" s="7" t="inlineStr"/>
      <c r="E10" s="7" t="inlineStr">
        <is>
          <t>⭐⭐</t>
        </is>
      </c>
    </row>
    <row r="11">
      <c r="A11" s="9" t="inlineStr">
        <is>
          <t>EchoLab</t>
        </is>
      </c>
      <c r="B11" s="9" t="inlineStr">
        <is>
          <t>CJDropshipping</t>
        </is>
      </c>
      <c r="C11" s="9" t="n">
        <v>11.2</v>
      </c>
      <c r="D11" s="9" t="inlineStr">
        <is>
          <t>Electronics, Phone accessories</t>
        </is>
      </c>
      <c r="E11" s="9" t="inlineStr">
        <is>
          <t>⭐</t>
        </is>
      </c>
    </row>
    <row r="12">
      <c r="A12" s="7" t="inlineStr">
        <is>
          <t>Vertex Group</t>
        </is>
      </c>
      <c r="B12" s="7" t="inlineStr">
        <is>
          <t>US Supplier</t>
        </is>
      </c>
      <c r="C12" s="7" t="n">
        <v>15.4</v>
      </c>
      <c r="D12" s="7" t="inlineStr">
        <is>
          <t>Electronics, Phone accessories</t>
        </is>
      </c>
      <c r="E12" s="7" t="inlineStr">
        <is>
          <t>⭐⭐⭐⭐⭐</t>
        </is>
      </c>
    </row>
    <row r="13">
      <c r="A13" s="9" t="inlineStr">
        <is>
          <t>ClearPath Inc</t>
        </is>
      </c>
      <c r="B13" s="9" t="inlineStr">
        <is>
          <t>Other</t>
        </is>
      </c>
      <c r="C13" s="9" t="n">
        <v>10.5</v>
      </c>
      <c r="D13" s="9" t="inlineStr"/>
      <c r="E13" s="9" t="inlineStr">
        <is>
          <t>⭐⭐⭐⭐</t>
        </is>
      </c>
    </row>
  </sheetData>
  <dataValidations count="2">
    <dataValidation sqref="B2:B500" showDropDown="0" showInputMessage="0" showErrorMessage="0" allowBlank="1" type="list">
      <formula1>"AliExpress,Zendrop,Spocket,CJDropshipping,US Supplier,Other"</formula1>
    </dataValidation>
    <dataValidation sqref="E2:E500" showDropDown="0" showInputMessage="0" showErrorMessage="0" allowBlank="1" type="list">
      <formula1>"⭐⭐⭐⭐⭐,⭐⭐⭐⭐,⭐⭐⭐,⭐⭐,⭐"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4" t="inlineStr">
        <is>
          <t>📈  MONTHLY P&amp;L</t>
        </is>
      </c>
    </row>
    <row r="4">
      <c r="B4" s="3" t="inlineStr">
        <is>
          <t>Business Summary</t>
        </is>
      </c>
    </row>
    <row r="5">
      <c r="B5" s="9" t="inlineStr">
        <is>
          <t>Total Orders</t>
        </is>
      </c>
      <c r="C5" s="25">
        <f>COUNTA(Orders!A:A)-1</f>
        <v/>
      </c>
    </row>
    <row r="6">
      <c r="B6" s="7" t="inlineStr">
        <is>
          <t>Gross Revenue</t>
        </is>
      </c>
      <c r="C6" s="26">
        <f>SUM(Orders!F:F)</f>
        <v/>
      </c>
    </row>
    <row r="7">
      <c r="B7" s="9" t="inlineStr">
        <is>
          <t>Net Profit</t>
        </is>
      </c>
      <c r="C7" s="25">
        <f>SUM(Orders!J:J)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2026-07-16T21:44:39Z</dcterms:created>
  <dcterms:modified xsi:type="dcterms:W3CDTF">2026-07-16T21:44:39Z</dcterms:modified>
</cp:coreProperties>
</file>