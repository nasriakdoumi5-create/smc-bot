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Workouts" sheetId="2" state="visible" r:id="rId2"/>
    <sheet name="Dashboard" sheetId="3" state="visible" r:id="rId3"/>
    <sheet name="Exercise Log" sheetId="4" state="visible" r:id="rId4"/>
    <sheet name="Records" sheetId="5" state="visible" r:id="rId5"/>
    <sheet name="Progres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€&quot;#,##0.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4"/>
    </font>
    <font>
      <name val="Arial"/>
      <b val="1"/>
      <color rgb="00DC2626"/>
      <sz val="12"/>
    </font>
    <font>
      <name val="Arial"/>
      <b val="1"/>
      <color rgb="00222222"/>
      <sz val="11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1C1917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1C1917"/>
      </patternFill>
    </fill>
    <fill>
      <patternFill patternType="solid">
        <fgColor rgb="00FFF7F0"/>
      </patternFill>
    </fill>
    <fill>
      <patternFill patternType="solid">
        <fgColor rgb="00DC2626"/>
      </patternFill>
    </fill>
    <fill>
      <patternFill patternType="solid">
        <fgColor rgb="0016A34A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6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/>
    </xf>
    <xf numFmtId="165" fontId="5" fillId="0" borderId="1" pivotButton="0" quotePrefix="0" xfId="0"/>
    <xf numFmtId="165" fontId="5" fillId="3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💪  WORKOUT &amp; FITNESS TRACKER</t>
        </is>
      </c>
    </row>
    <row r="3"/>
    <row r="4">
      <c r="B4" s="2" t="inlineStr">
        <is>
          <t>Gym Log &amp; Progress Tracker Google Sheets Template</t>
        </is>
      </c>
    </row>
    <row r="6">
      <c r="B6" s="3" t="inlineStr">
        <is>
          <t>STEP 1 — Fill in “Workouts”</t>
        </is>
      </c>
    </row>
    <row r="7" ht="28" customHeight="1">
      <c r="B7" s="4" t="inlineStr">
        <is>
          <t>Log every workout session with exercises, sets, and reps.</t>
        </is>
      </c>
    </row>
    <row r="9">
      <c r="B9" s="3" t="inlineStr">
        <is>
          <t>STEP 2 — Fill in “Exercise Log”</t>
        </is>
      </c>
    </row>
    <row r="10" ht="28" customHeight="1">
      <c r="B10" s="4" t="inlineStr">
        <is>
          <t>Detailed sets and reps for each exercise.</t>
        </is>
      </c>
    </row>
    <row r="12">
      <c r="B12" s="3" t="inlineStr">
        <is>
          <t>STEP 3 — Fill in “Records”</t>
        </is>
      </c>
    </row>
    <row r="13" ht="28" customHeight="1">
      <c r="B13" s="4" t="inlineStr">
        <is>
          <t>Personal records (PRs) for all main lifts.</t>
        </is>
      </c>
    </row>
    <row r="15">
      <c r="B15" s="3" t="inlineStr">
        <is>
          <t>Then open the Dashboard — everything calculates automatically.</t>
        </is>
      </c>
    </row>
    <row r="17">
      <c r="B17" s="5" t="inlineStr">
        <is>
          <t>TIP: Delete the sample rows once you've seen how it works.</t>
        </is>
      </c>
    </row>
    <row r="19">
      <c r="B19" s="5" t="inlineStr">
        <is>
          <t>TIP: On Google Sheets? File → Make a copy first, then edit your copy.</t>
        </is>
      </c>
    </row>
    <row r="21">
      <c r="B21" s="5" t="inlineStr">
        <is>
          <t>TIP: Columns with dropdowns keep your data clean — use them.</t>
        </is>
      </c>
    </row>
    <row r="23">
      <c r="B23" s="5" t="inlineStr">
        <is>
          <t>Need help? Message NasriTools on Etsy — I reply fast. 🧡</t>
        </is>
      </c>
    </row>
  </sheetData>
  <mergeCells count="13">
    <mergeCell ref="B4:F4"/>
    <mergeCell ref="B21:F21"/>
    <mergeCell ref="B12:F12"/>
    <mergeCell ref="B7:F7"/>
    <mergeCell ref="B6:F6"/>
    <mergeCell ref="B15:F15"/>
    <mergeCell ref="B2:F3"/>
    <mergeCell ref="B10:F10"/>
    <mergeCell ref="B19:F19"/>
    <mergeCell ref="B23:F23"/>
    <mergeCell ref="B17:F17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16" customWidth="1" min="4" max="4"/>
    <col width="34" customWidth="1" min="5" max="5"/>
    <col width="14" customWidth="1" min="6" max="6"/>
    <col width="12" customWidth="1" min="7" max="7"/>
  </cols>
  <sheetData>
    <row r="1">
      <c r="A1" s="6" t="inlineStr">
        <is>
          <t>Workout #</t>
        </is>
      </c>
      <c r="B1" s="6" t="inlineStr">
        <is>
          <t>Date</t>
        </is>
      </c>
      <c r="C1" s="6" t="inlineStr">
        <is>
          <t>Type</t>
        </is>
      </c>
      <c r="D1" s="6" t="inlineStr">
        <is>
          <t>Duration (min)</t>
        </is>
      </c>
      <c r="E1" s="6" t="inlineStr">
        <is>
          <t>Exercises</t>
        </is>
      </c>
      <c r="F1" s="6" t="inlineStr">
        <is>
          <t>Volume (kg)</t>
        </is>
      </c>
      <c r="G1" s="6" t="inlineStr">
        <is>
          <t>Rating</t>
        </is>
      </c>
    </row>
    <row r="2">
      <c r="A2" s="7" t="inlineStr">
        <is>
          <t>W001</t>
        </is>
      </c>
      <c r="B2" s="8" t="n">
        <v>46174</v>
      </c>
      <c r="C2" s="7" t="inlineStr">
        <is>
          <t>Push</t>
        </is>
      </c>
      <c r="D2" s="7" t="n">
        <v>60</v>
      </c>
      <c r="E2" s="7" t="inlineStr">
        <is>
          <t>Bench Press, Squat, Deadlift</t>
        </is>
      </c>
      <c r="F2" s="7" t="n">
        <v>4500</v>
      </c>
      <c r="G2" s="7" t="inlineStr">
        <is>
          <t>🔥 Beast</t>
        </is>
      </c>
    </row>
    <row r="3">
      <c r="A3" s="9" t="inlineStr">
        <is>
          <t>W002</t>
        </is>
      </c>
      <c r="B3" s="10" t="n">
        <v>46180</v>
      </c>
      <c r="C3" s="9" t="inlineStr">
        <is>
          <t>Pull</t>
        </is>
      </c>
      <c r="D3" s="9" t="n">
        <v>42</v>
      </c>
      <c r="E3" s="9" t="inlineStr">
        <is>
          <t>Bench Press, Squat, Deadlift</t>
        </is>
      </c>
      <c r="F3" s="9" t="n">
        <v>3150</v>
      </c>
      <c r="G3" s="9" t="inlineStr">
        <is>
          <t>Great</t>
        </is>
      </c>
    </row>
    <row r="4">
      <c r="A4" s="7" t="inlineStr">
        <is>
          <t>W003</t>
        </is>
      </c>
      <c r="B4" s="8" t="n">
        <v>46186</v>
      </c>
      <c r="C4" s="7" t="inlineStr">
        <is>
          <t>Legs</t>
        </is>
      </c>
      <c r="D4" s="7" t="n">
        <v>78</v>
      </c>
      <c r="E4" s="7" t="inlineStr"/>
      <c r="F4" s="7" t="n">
        <v>5850</v>
      </c>
      <c r="G4" s="7" t="inlineStr">
        <is>
          <t>Good</t>
        </is>
      </c>
    </row>
    <row r="5">
      <c r="A5" s="9" t="inlineStr">
        <is>
          <t>W004</t>
        </is>
      </c>
      <c r="B5" s="10" t="n">
        <v>46189</v>
      </c>
      <c r="C5" s="9" t="inlineStr">
        <is>
          <t>Upper</t>
        </is>
      </c>
      <c r="D5" s="9" t="n">
        <v>51</v>
      </c>
      <c r="E5" s="9" t="inlineStr">
        <is>
          <t>Bench Press, Squat, Deadlift</t>
        </is>
      </c>
      <c r="F5" s="9" t="n">
        <v>3825</v>
      </c>
      <c r="G5" s="9" t="inlineStr">
        <is>
          <t>OK</t>
        </is>
      </c>
    </row>
    <row r="6">
      <c r="A6" s="7" t="inlineStr">
        <is>
          <t>W005</t>
        </is>
      </c>
      <c r="B6" s="8" t="n">
        <v>46195</v>
      </c>
      <c r="C6" s="7" t="inlineStr">
        <is>
          <t>Lower</t>
        </is>
      </c>
      <c r="D6" s="7" t="n">
        <v>69</v>
      </c>
      <c r="E6" s="7" t="inlineStr">
        <is>
          <t>Bench Press, Squat, Deadlift</t>
        </is>
      </c>
      <c r="F6" s="7" t="n">
        <v>5175</v>
      </c>
      <c r="G6" s="7" t="inlineStr">
        <is>
          <t>Bad</t>
        </is>
      </c>
    </row>
    <row r="7">
      <c r="A7" s="9" t="inlineStr">
        <is>
          <t>W006</t>
        </is>
      </c>
      <c r="B7" s="10" t="n">
        <v>46201</v>
      </c>
      <c r="C7" s="9" t="inlineStr">
        <is>
          <t>Full Body</t>
        </is>
      </c>
      <c r="D7" s="9" t="n">
        <v>36</v>
      </c>
      <c r="E7" s="9" t="inlineStr"/>
      <c r="F7" s="9" t="n">
        <v>2700</v>
      </c>
      <c r="G7" s="9" t="inlineStr">
        <is>
          <t>🔥 Beast</t>
        </is>
      </c>
    </row>
    <row r="8">
      <c r="A8" s="7" t="inlineStr">
        <is>
          <t>W007</t>
        </is>
      </c>
      <c r="B8" s="8" t="n">
        <v>46176</v>
      </c>
      <c r="C8" s="7" t="inlineStr">
        <is>
          <t>Cardio</t>
        </is>
      </c>
      <c r="D8" s="7" t="n">
        <v>87</v>
      </c>
      <c r="E8" s="7" t="inlineStr">
        <is>
          <t>Bench Press, Squat, Deadlift</t>
        </is>
      </c>
      <c r="F8" s="7" t="n">
        <v>6525</v>
      </c>
      <c r="G8" s="7" t="inlineStr">
        <is>
          <t>Great</t>
        </is>
      </c>
    </row>
    <row r="9">
      <c r="A9" s="9" t="inlineStr">
        <is>
          <t>W008</t>
        </is>
      </c>
      <c r="B9" s="10" t="n">
        <v>46182</v>
      </c>
      <c r="C9" s="9" t="inlineStr">
        <is>
          <t>HIIT</t>
        </is>
      </c>
      <c r="D9" s="9" t="n">
        <v>57</v>
      </c>
      <c r="E9" s="9" t="inlineStr">
        <is>
          <t>Bench Press, Squat, Deadlift</t>
        </is>
      </c>
      <c r="F9" s="9" t="n">
        <v>4275</v>
      </c>
      <c r="G9" s="9" t="inlineStr">
        <is>
          <t>Good</t>
        </is>
      </c>
    </row>
    <row r="10">
      <c r="A10" s="7" t="inlineStr">
        <is>
          <t>W009</t>
        </is>
      </c>
      <c r="B10" s="8" t="n">
        <v>46188</v>
      </c>
      <c r="C10" s="7" t="inlineStr">
        <is>
          <t>Yoga</t>
        </is>
      </c>
      <c r="D10" s="7" t="n">
        <v>75</v>
      </c>
      <c r="E10" s="7" t="inlineStr"/>
      <c r="F10" s="7" t="n">
        <v>5625</v>
      </c>
      <c r="G10" s="7" t="inlineStr">
        <is>
          <t>OK</t>
        </is>
      </c>
    </row>
    <row r="11">
      <c r="A11" s="9" t="inlineStr">
        <is>
          <t>W010</t>
        </is>
      </c>
      <c r="B11" s="10" t="n">
        <v>46191</v>
      </c>
      <c r="C11" s="9" t="inlineStr">
        <is>
          <t>Other</t>
        </is>
      </c>
      <c r="D11" s="9" t="n">
        <v>48</v>
      </c>
      <c r="E11" s="9" t="inlineStr">
        <is>
          <t>Bench Press, Squat, Deadlift</t>
        </is>
      </c>
      <c r="F11" s="9" t="n">
        <v>3600</v>
      </c>
      <c r="G11" s="9" t="inlineStr">
        <is>
          <t>Bad</t>
        </is>
      </c>
    </row>
    <row r="12">
      <c r="A12" s="7" t="inlineStr">
        <is>
          <t>W011</t>
        </is>
      </c>
      <c r="B12" s="8" t="n">
        <v>46197</v>
      </c>
      <c r="C12" s="7" t="inlineStr">
        <is>
          <t>Push</t>
        </is>
      </c>
      <c r="D12" s="7" t="n">
        <v>66</v>
      </c>
      <c r="E12" s="7" t="inlineStr">
        <is>
          <t>Bench Press, Squat, Deadlift</t>
        </is>
      </c>
      <c r="F12" s="7" t="n">
        <v>4950</v>
      </c>
      <c r="G12" s="7" t="inlineStr">
        <is>
          <t>🔥 Beast</t>
        </is>
      </c>
    </row>
    <row r="13">
      <c r="A13" s="9" t="inlineStr">
        <is>
          <t>W012</t>
        </is>
      </c>
      <c r="B13" s="10" t="n">
        <v>46175</v>
      </c>
      <c r="C13" s="9" t="inlineStr">
        <is>
          <t>Pull</t>
        </is>
      </c>
      <c r="D13" s="9" t="n">
        <v>45</v>
      </c>
      <c r="E13" s="9" t="inlineStr"/>
      <c r="F13" s="9" t="n">
        <v>3375</v>
      </c>
      <c r="G13" s="9" t="inlineStr">
        <is>
          <t>Great</t>
        </is>
      </c>
    </row>
  </sheetData>
  <dataValidations count="2">
    <dataValidation sqref="C2:C500" showDropDown="0" showInputMessage="0" showErrorMessage="0" allowBlank="1" type="list">
      <formula1>"Push,Pull,Legs,Upper,Lower,Full Body,Cardio,HIIT,Yoga,Other"</formula1>
    </dataValidation>
    <dataValidation sqref="G2:G500" showDropDown="0" showInputMessage="0" showErrorMessage="0" allowBlank="1" type="list">
      <formula1>"🔥 Beast,Great,Good,OK,Bad"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1" t="inlineStr">
        <is>
          <t>📊  WORKOUT &amp; FITNESS TRACKER — DASHBOARD</t>
        </is>
      </c>
    </row>
    <row r="4">
      <c r="B4" s="12" t="inlineStr">
        <is>
          <t>TOTAL WORKOUTS</t>
        </is>
      </c>
      <c r="D4" s="13" t="inlineStr">
        <is>
          <t>THIS MONTH</t>
        </is>
      </c>
      <c r="F4" s="14" t="inlineStr">
        <is>
          <t>TOTAL VOLUME (KG)</t>
        </is>
      </c>
      <c r="H4" s="15" t="inlineStr">
        <is>
          <t>PRS SET</t>
        </is>
      </c>
    </row>
    <row r="5" ht="26" customHeight="1">
      <c r="B5" s="16">
        <f>COUNTA(Workouts!A:A)-1</f>
        <v/>
      </c>
      <c r="D5" s="17">
        <f>COUNTIF(Workouts!B:B,TEXT(TODAY(),"YYYY-MM")&amp;"*")</f>
        <v/>
      </c>
      <c r="F5" s="18">
        <f>SUM(Workouts!F:F)</f>
        <v/>
      </c>
      <c r="H5" s="19">
        <f>COUNTIF(Records!E:E,"PR")</f>
        <v/>
      </c>
    </row>
    <row r="8">
      <c r="B8" s="20" t="inlineStr">
        <is>
          <t>WHAT'S INSIDE</t>
        </is>
      </c>
    </row>
    <row r="9">
      <c r="B9" s="21" t="inlineStr">
        <is>
          <t>🏋️  Workouts — Log every workout session with exercises, sets, and reps.</t>
        </is>
      </c>
    </row>
    <row r="10">
      <c r="B10" s="21" t="inlineStr">
        <is>
          <t>📋  Exercise Log — Detailed sets and reps for each exercise.</t>
        </is>
      </c>
    </row>
    <row r="11">
      <c r="B11" s="21" t="inlineStr">
        <is>
          <t>🏆  Records — Personal records (PRs) for all main lifts.</t>
        </is>
      </c>
    </row>
    <row r="12">
      <c r="B12" s="21" t="inlineStr">
        <is>
          <t>📊  Progress — Monthly workout count, volume trend, and PRs achieved.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  <col width="12" customWidth="1" min="4" max="4"/>
    <col width="12" customWidth="1" min="5" max="5"/>
    <col width="14" customWidth="1" min="6" max="6"/>
    <col width="22" customWidth="1" min="7" max="7"/>
  </cols>
  <sheetData>
    <row r="1">
      <c r="A1" s="6" t="inlineStr">
        <is>
          <t>Date</t>
        </is>
      </c>
      <c r="B1" s="6" t="inlineStr">
        <is>
          <t>Exercise</t>
        </is>
      </c>
      <c r="C1" s="6" t="inlineStr">
        <is>
          <t>Set 1</t>
        </is>
      </c>
      <c r="D1" s="6" t="inlineStr">
        <is>
          <t>Set 2</t>
        </is>
      </c>
      <c r="E1" s="6" t="inlineStr">
        <is>
          <t>Set 3</t>
        </is>
      </c>
      <c r="F1" s="6" t="inlineStr">
        <is>
          <t>Best Set</t>
        </is>
      </c>
      <c r="G1" s="6" t="inlineStr">
        <is>
          <t>Notes</t>
        </is>
      </c>
    </row>
    <row r="2">
      <c r="A2" s="8" t="n">
        <v>46174</v>
      </c>
      <c r="B2" s="7" t="inlineStr">
        <is>
          <t>Bench Press</t>
        </is>
      </c>
      <c r="C2" s="7" t="inlineStr">
        <is>
          <t>60kg x 8</t>
        </is>
      </c>
      <c r="D2" s="7" t="inlineStr">
        <is>
          <t>70kg x 6</t>
        </is>
      </c>
      <c r="E2" s="7" t="inlineStr">
        <is>
          <t>75kg x 5</t>
        </is>
      </c>
      <c r="F2" s="7" t="inlineStr">
        <is>
          <t>75kg x 5</t>
        </is>
      </c>
      <c r="G2" s="7" t="inlineStr"/>
    </row>
    <row r="3">
      <c r="A3" s="10" t="n">
        <v>46180</v>
      </c>
      <c r="B3" s="9" t="inlineStr">
        <is>
          <t>Bench Press</t>
        </is>
      </c>
      <c r="C3" s="9" t="inlineStr">
        <is>
          <t>60kg x 9</t>
        </is>
      </c>
      <c r="D3" s="9" t="inlineStr">
        <is>
          <t>70kg x 7</t>
        </is>
      </c>
      <c r="E3" s="9" t="inlineStr">
        <is>
          <t>75kg x 6</t>
        </is>
      </c>
      <c r="F3" s="9" t="inlineStr">
        <is>
          <t>75kg x 6</t>
        </is>
      </c>
      <c r="G3" s="9" t="inlineStr">
        <is>
          <t>Paid</t>
        </is>
      </c>
    </row>
    <row r="4">
      <c r="A4" s="8" t="n">
        <v>46186</v>
      </c>
      <c r="B4" s="7" t="inlineStr"/>
      <c r="C4" s="7" t="inlineStr">
        <is>
          <t>60kg x 10</t>
        </is>
      </c>
      <c r="D4" s="7" t="inlineStr">
        <is>
          <t>70kg x 8</t>
        </is>
      </c>
      <c r="E4" s="7" t="inlineStr">
        <is>
          <t>75kg x 7</t>
        </is>
      </c>
      <c r="F4" s="7" t="inlineStr">
        <is>
          <t>75kg x 7</t>
        </is>
      </c>
      <c r="G4" s="7" t="inlineStr">
        <is>
          <t>Urgent</t>
        </is>
      </c>
    </row>
    <row r="5">
      <c r="A5" s="10" t="n">
        <v>46189</v>
      </c>
      <c r="B5" s="9" t="inlineStr">
        <is>
          <t>Bench Press</t>
        </is>
      </c>
      <c r="C5" s="9" t="inlineStr">
        <is>
          <t>60kg x 11</t>
        </is>
      </c>
      <c r="D5" s="9" t="inlineStr">
        <is>
          <t>70kg x 9</t>
        </is>
      </c>
      <c r="E5" s="9" t="inlineStr">
        <is>
          <t>75kg x 8</t>
        </is>
      </c>
      <c r="F5" s="9" t="inlineStr">
        <is>
          <t>75kg x 8</t>
        </is>
      </c>
      <c r="G5" s="9" t="inlineStr">
        <is>
          <t>Follow up Friday</t>
        </is>
      </c>
    </row>
    <row r="6">
      <c r="A6" s="8" t="n">
        <v>46195</v>
      </c>
      <c r="B6" s="7" t="inlineStr">
        <is>
          <t>Bench Press</t>
        </is>
      </c>
      <c r="C6" s="7" t="inlineStr">
        <is>
          <t>60kg x 12</t>
        </is>
      </c>
      <c r="D6" s="7" t="inlineStr">
        <is>
          <t>70kg x 10</t>
        </is>
      </c>
      <c r="E6" s="7" t="inlineStr">
        <is>
          <t>75kg x 9</t>
        </is>
      </c>
      <c r="F6" s="7" t="inlineStr">
        <is>
          <t>75kg x 9</t>
        </is>
      </c>
      <c r="G6" s="7" t="inlineStr"/>
    </row>
    <row r="7">
      <c r="A7" s="10" t="n">
        <v>46201</v>
      </c>
      <c r="B7" s="9" t="inlineStr"/>
      <c r="C7" s="9" t="inlineStr">
        <is>
          <t>60kg x 13</t>
        </is>
      </c>
      <c r="D7" s="9" t="inlineStr">
        <is>
          <t>70kg x 11</t>
        </is>
      </c>
      <c r="E7" s="9" t="inlineStr">
        <is>
          <t>75kg x 10</t>
        </is>
      </c>
      <c r="F7" s="9" t="inlineStr">
        <is>
          <t>75kg x 10</t>
        </is>
      </c>
      <c r="G7" s="9" t="inlineStr">
        <is>
          <t>Monthly</t>
        </is>
      </c>
    </row>
    <row r="8">
      <c r="A8" s="8" t="n">
        <v>46176</v>
      </c>
      <c r="B8" s="7" t="inlineStr">
        <is>
          <t>Bench Press</t>
        </is>
      </c>
      <c r="C8" s="7" t="inlineStr">
        <is>
          <t>60kg x 14</t>
        </is>
      </c>
      <c r="D8" s="7" t="inlineStr">
        <is>
          <t>70kg x 12</t>
        </is>
      </c>
      <c r="E8" s="7" t="inlineStr">
        <is>
          <t>75kg x 11</t>
        </is>
      </c>
      <c r="F8" s="7" t="inlineStr">
        <is>
          <t>75kg x 11</t>
        </is>
      </c>
      <c r="G8" s="7" t="inlineStr">
        <is>
          <t>Confirmed</t>
        </is>
      </c>
    </row>
    <row r="9">
      <c r="A9" s="10" t="n">
        <v>46182</v>
      </c>
      <c r="B9" s="9" t="inlineStr">
        <is>
          <t>Bench Press</t>
        </is>
      </c>
      <c r="C9" s="9" t="inlineStr">
        <is>
          <t>60kg x 15</t>
        </is>
      </c>
      <c r="D9" s="9" t="inlineStr">
        <is>
          <t>70kg x 13</t>
        </is>
      </c>
      <c r="E9" s="9" t="inlineStr">
        <is>
          <t>75kg x 12</t>
        </is>
      </c>
      <c r="F9" s="9" t="inlineStr">
        <is>
          <t>75kg x 12</t>
        </is>
      </c>
      <c r="G9" s="9" t="inlineStr"/>
    </row>
    <row r="10">
      <c r="A10" s="8" t="n">
        <v>46188</v>
      </c>
      <c r="B10" s="7" t="inlineStr"/>
      <c r="C10" s="7" t="inlineStr">
        <is>
          <t>60kg x 16</t>
        </is>
      </c>
      <c r="D10" s="7" t="inlineStr">
        <is>
          <t>70kg x 14</t>
        </is>
      </c>
      <c r="E10" s="7" t="inlineStr">
        <is>
          <t>75kg x 13</t>
        </is>
      </c>
      <c r="F10" s="7" t="inlineStr">
        <is>
          <t>75kg x 13</t>
        </is>
      </c>
      <c r="G10" s="7" t="inlineStr">
        <is>
          <t>Waiting reply</t>
        </is>
      </c>
    </row>
    <row r="11">
      <c r="A11" s="10" t="n">
        <v>46191</v>
      </c>
      <c r="B11" s="9" t="inlineStr">
        <is>
          <t>Bench Press</t>
        </is>
      </c>
      <c r="C11" s="9" t="inlineStr">
        <is>
          <t>60kg x 17</t>
        </is>
      </c>
      <c r="D11" s="9" t="inlineStr">
        <is>
          <t>70kg x 15</t>
        </is>
      </c>
      <c r="E11" s="9" t="inlineStr">
        <is>
          <t>75kg x 14</t>
        </is>
      </c>
      <c r="F11" s="9" t="inlineStr">
        <is>
          <t>75kg x 14</t>
        </is>
      </c>
      <c r="G11" s="9" t="inlineStr">
        <is>
          <t>Done early</t>
        </is>
      </c>
    </row>
    <row r="12">
      <c r="A12" s="8" t="n">
        <v>46197</v>
      </c>
      <c r="B12" s="7" t="inlineStr">
        <is>
          <t>Bench Press</t>
        </is>
      </c>
      <c r="C12" s="7" t="inlineStr">
        <is>
          <t>60kg x 18</t>
        </is>
      </c>
      <c r="D12" s="7" t="inlineStr">
        <is>
          <t>70kg x 16</t>
        </is>
      </c>
      <c r="E12" s="7" t="inlineStr">
        <is>
          <t>75kg x 15</t>
        </is>
      </c>
      <c r="F12" s="7" t="inlineStr">
        <is>
          <t>75kg x 15</t>
        </is>
      </c>
      <c r="G12" s="7" t="inlineStr"/>
    </row>
    <row r="13">
      <c r="A13" s="10" t="n">
        <v>46175</v>
      </c>
      <c r="B13" s="9" t="inlineStr"/>
      <c r="C13" s="9" t="inlineStr">
        <is>
          <t>60kg x 19</t>
        </is>
      </c>
      <c r="D13" s="9" t="inlineStr">
        <is>
          <t>70kg x 17</t>
        </is>
      </c>
      <c r="E13" s="9" t="inlineStr">
        <is>
          <t>75kg x 16</t>
        </is>
      </c>
      <c r="F13" s="9" t="inlineStr">
        <is>
          <t>75kg x 16</t>
        </is>
      </c>
      <c r="G13" s="9" t="inlineStr">
        <is>
          <t>Recheck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4" customWidth="1" min="4" max="4"/>
    <col width="14" customWidth="1" min="5" max="5"/>
  </cols>
  <sheetData>
    <row r="1">
      <c r="A1" s="6" t="inlineStr">
        <is>
          <t>Exercise</t>
        </is>
      </c>
      <c r="B1" s="6" t="inlineStr">
        <is>
          <t>Previous PR</t>
        </is>
      </c>
      <c r="C1" s="6" t="inlineStr">
        <is>
          <t>Current PR</t>
        </is>
      </c>
      <c r="D1" s="6" t="inlineStr">
        <is>
          <t>Date Set</t>
        </is>
      </c>
      <c r="E1" s="6" t="inlineStr">
        <is>
          <t>Status</t>
        </is>
      </c>
    </row>
    <row r="2">
      <c r="A2" s="7" t="inlineStr">
        <is>
          <t>Bench Press</t>
        </is>
      </c>
      <c r="B2" s="7" t="inlineStr">
        <is>
          <t>70kg</t>
        </is>
      </c>
      <c r="C2" s="7" t="inlineStr">
        <is>
          <t>75kg</t>
        </is>
      </c>
      <c r="D2" s="8" t="n">
        <v>46174</v>
      </c>
      <c r="E2" s="7" t="inlineStr">
        <is>
          <t>PR</t>
        </is>
      </c>
    </row>
    <row r="3">
      <c r="A3" s="9" t="inlineStr">
        <is>
          <t>Bench Press</t>
        </is>
      </c>
      <c r="B3" s="9" t="inlineStr">
        <is>
          <t>70kg</t>
        </is>
      </c>
      <c r="C3" s="9" t="inlineStr">
        <is>
          <t>75kg</t>
        </is>
      </c>
      <c r="D3" s="10" t="n">
        <v>46180</v>
      </c>
      <c r="E3" s="9" t="inlineStr">
        <is>
          <t>Tied</t>
        </is>
      </c>
    </row>
    <row r="4">
      <c r="A4" s="7" t="inlineStr"/>
      <c r="B4" s="7" t="inlineStr"/>
      <c r="C4" s="7" t="inlineStr"/>
      <c r="D4" s="8" t="n">
        <v>46186</v>
      </c>
      <c r="E4" s="7" t="inlineStr">
        <is>
          <t>Previous</t>
        </is>
      </c>
    </row>
    <row r="5">
      <c r="A5" s="9" t="inlineStr">
        <is>
          <t>Bench Press</t>
        </is>
      </c>
      <c r="B5" s="9" t="inlineStr">
        <is>
          <t>70kg</t>
        </is>
      </c>
      <c r="C5" s="9" t="inlineStr">
        <is>
          <t>75kg</t>
        </is>
      </c>
      <c r="D5" s="10" t="n">
        <v>46189</v>
      </c>
      <c r="E5" s="9" t="inlineStr">
        <is>
          <t>PR</t>
        </is>
      </c>
    </row>
    <row r="6">
      <c r="A6" s="7" t="inlineStr">
        <is>
          <t>Bench Press</t>
        </is>
      </c>
      <c r="B6" s="7" t="inlineStr">
        <is>
          <t>70kg</t>
        </is>
      </c>
      <c r="C6" s="7" t="inlineStr">
        <is>
          <t>75kg</t>
        </is>
      </c>
      <c r="D6" s="8" t="n">
        <v>46195</v>
      </c>
      <c r="E6" s="7" t="inlineStr">
        <is>
          <t>Tied</t>
        </is>
      </c>
    </row>
    <row r="7">
      <c r="A7" s="9" t="inlineStr"/>
      <c r="B7" s="9" t="inlineStr"/>
      <c r="C7" s="9" t="inlineStr"/>
      <c r="D7" s="10" t="n">
        <v>46201</v>
      </c>
      <c r="E7" s="9" t="inlineStr">
        <is>
          <t>Previous</t>
        </is>
      </c>
    </row>
    <row r="8">
      <c r="A8" s="7" t="inlineStr">
        <is>
          <t>Bench Press</t>
        </is>
      </c>
      <c r="B8" s="7" t="inlineStr">
        <is>
          <t>70kg</t>
        </is>
      </c>
      <c r="C8" s="7" t="inlineStr">
        <is>
          <t>75kg</t>
        </is>
      </c>
      <c r="D8" s="8" t="n">
        <v>46176</v>
      </c>
      <c r="E8" s="7" t="inlineStr">
        <is>
          <t>PR</t>
        </is>
      </c>
    </row>
    <row r="9">
      <c r="A9" s="9" t="inlineStr">
        <is>
          <t>Bench Press</t>
        </is>
      </c>
      <c r="B9" s="9" t="inlineStr">
        <is>
          <t>70kg</t>
        </is>
      </c>
      <c r="C9" s="9" t="inlineStr">
        <is>
          <t>75kg</t>
        </is>
      </c>
      <c r="D9" s="10" t="n">
        <v>46182</v>
      </c>
      <c r="E9" s="9" t="inlineStr">
        <is>
          <t>Tied</t>
        </is>
      </c>
    </row>
    <row r="10">
      <c r="A10" s="7" t="inlineStr"/>
      <c r="B10" s="7" t="inlineStr"/>
      <c r="C10" s="7" t="inlineStr"/>
      <c r="D10" s="8" t="n">
        <v>46188</v>
      </c>
      <c r="E10" s="7" t="inlineStr">
        <is>
          <t>Previous</t>
        </is>
      </c>
    </row>
    <row r="11">
      <c r="A11" s="9" t="inlineStr">
        <is>
          <t>Bench Press</t>
        </is>
      </c>
      <c r="B11" s="9" t="inlineStr">
        <is>
          <t>70kg</t>
        </is>
      </c>
      <c r="C11" s="9" t="inlineStr">
        <is>
          <t>75kg</t>
        </is>
      </c>
      <c r="D11" s="10" t="n">
        <v>46191</v>
      </c>
      <c r="E11" s="9" t="inlineStr">
        <is>
          <t>PR</t>
        </is>
      </c>
    </row>
    <row r="12">
      <c r="A12" s="7" t="inlineStr">
        <is>
          <t>Bench Press</t>
        </is>
      </c>
      <c r="B12" s="7" t="inlineStr">
        <is>
          <t>70kg</t>
        </is>
      </c>
      <c r="C12" s="7" t="inlineStr">
        <is>
          <t>75kg</t>
        </is>
      </c>
      <c r="D12" s="8" t="n">
        <v>46197</v>
      </c>
      <c r="E12" s="7" t="inlineStr">
        <is>
          <t>Tied</t>
        </is>
      </c>
    </row>
    <row r="13">
      <c r="A13" s="9" t="inlineStr"/>
      <c r="B13" s="9" t="inlineStr"/>
      <c r="C13" s="9" t="inlineStr"/>
      <c r="D13" s="10" t="n">
        <v>46175</v>
      </c>
      <c r="E13" s="9" t="inlineStr">
        <is>
          <t>Previous</t>
        </is>
      </c>
    </row>
  </sheetData>
  <dataValidations count="1">
    <dataValidation sqref="E2:E500" showDropDown="0" showInputMessage="0" showErrorMessage="0" allowBlank="1" type="list">
      <formula1>"PR,Tied,Previous"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</cols>
  <sheetData>
    <row r="2">
      <c r="B2" s="22" t="inlineStr">
        <is>
          <t>📈  PROGRESS</t>
        </is>
      </c>
    </row>
    <row r="4">
      <c r="B4" s="3" t="inlineStr">
        <is>
          <t>Fitness Summary</t>
        </is>
      </c>
    </row>
    <row r="5">
      <c r="B5" s="9" t="inlineStr">
        <is>
          <t>Total Workouts</t>
        </is>
      </c>
      <c r="C5" s="23">
        <f>COUNTA(Workouts!A:A)-1</f>
        <v/>
      </c>
    </row>
    <row r="6">
      <c r="B6" s="7" t="inlineStr">
        <is>
          <t>Total Volume</t>
        </is>
      </c>
      <c r="C6" s="24">
        <f>SUM(Workouts!F:F)</f>
        <v/>
      </c>
    </row>
    <row r="7">
      <c r="B7" s="9" t="inlineStr">
        <is>
          <t>PRs Achieved</t>
        </is>
      </c>
      <c r="C7" s="25">
        <f>COUNTIF(Records!E:E,"PR")</f>
        <v/>
      </c>
    </row>
  </sheetData>
  <mergeCells count="2">
    <mergeCell ref="B4:C4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2026-07-16T21:44:37Z</dcterms:created>
  <dcterms:modified xsi:type="dcterms:W3CDTF">2026-07-16T21:44:37Z</dcterms:modified>
</cp:coreProperties>
</file>