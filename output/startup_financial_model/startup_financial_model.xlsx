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Revenue" sheetId="2" state="visible" r:id="rId2"/>
    <sheet name="Dashboard" sheetId="3" state="visible" r:id="rId3"/>
    <sheet name="Expenses" sheetId="4" state="visible" r:id="rId4"/>
    <sheet name="Team" sheetId="5" state="visible" r:id="rId5"/>
    <sheet name="Fundin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€&quot;#,##0.00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22222"/>
      <sz val="10"/>
    </font>
    <font>
      <name val="Arial"/>
      <b val="1"/>
      <color rgb="00FFFFFF"/>
      <sz val="15"/>
    </font>
    <font>
      <name val="Arial"/>
      <b val="1"/>
      <color rgb="00FFFFFF"/>
      <sz val="16"/>
    </font>
    <font>
      <name val="Arial"/>
      <b val="1"/>
      <color rgb="000F172A"/>
      <sz val="12"/>
    </font>
    <font>
      <name val="Arial"/>
      <color rgb="00444444"/>
      <sz val="10"/>
    </font>
    <font>
      <name val="Arial"/>
      <i val="1"/>
      <color rgb="00777777"/>
      <sz val="10"/>
    </font>
    <font>
      <name val="Arial"/>
      <b val="1"/>
      <color rgb="00FFFFFF"/>
      <sz val="20"/>
    </font>
    <font>
      <name val="Arial"/>
      <color rgb="00DDDDDD"/>
      <sz val="11"/>
    </font>
    <font>
      <name val="Arial"/>
      <b val="1"/>
      <color rgb="006366F1"/>
      <sz val="12"/>
    </font>
    <font>
      <name val="Arial"/>
      <color rgb="00333333"/>
      <sz val="11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7F0"/>
      </patternFill>
    </fill>
    <fill>
      <patternFill patternType="solid">
        <fgColor rgb="006366F1"/>
      </patternFill>
    </fill>
    <fill>
      <patternFill patternType="solid">
        <fgColor rgb="0022C55E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8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center"/>
    </xf>
    <xf numFmtId="0" fontId="10" fillId="0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0" borderId="1" pivotButton="0" quotePrefix="0" xfId="0"/>
    <xf numFmtId="0" fontId="3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applyAlignment="1" pivotButton="0" quotePrefix="0" xfId="0">
      <alignment horizontal="left" vertical="center" wrapText="1"/>
    </xf>
    <xf numFmtId="164" fontId="2" fillId="3" borderId="1" pivotButton="0" quotePrefix="0" xfId="0"/>
    <xf numFmtId="164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0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🚀  STARTUP FINANCIAL MODEL</t>
        </is>
      </c>
    </row>
    <row r="3"/>
    <row r="4">
      <c r="B4" s="2" t="inlineStr">
        <is>
          <t>3-Year Revenue &amp; Expense Projections Google Sheets</t>
        </is>
      </c>
    </row>
    <row r="6">
      <c r="B6" s="3" t="inlineStr">
        <is>
          <t>STEP 1 — Fill in “Revenue”</t>
        </is>
      </c>
    </row>
    <row r="7" ht="28" customHeight="1">
      <c r="B7" s="4" t="inlineStr">
        <is>
          <t>Monthly revenue projections by product/service line.</t>
        </is>
      </c>
    </row>
    <row r="9">
      <c r="B9" s="3" t="inlineStr">
        <is>
          <t>STEP 2 — Fill in “Expenses”</t>
        </is>
      </c>
    </row>
    <row r="10" ht="28" customHeight="1">
      <c r="B10" s="4" t="inlineStr">
        <is>
          <t>Monthly operating expenses by category.</t>
        </is>
      </c>
    </row>
    <row r="12">
      <c r="B12" s="3" t="inlineStr">
        <is>
          <t>STEP 3 — Fill in “Team”</t>
        </is>
      </c>
    </row>
    <row r="13" ht="28" customHeight="1">
      <c r="B13" s="4" t="inlineStr">
        <is>
          <t>Headcount plan with salary and start date.</t>
        </is>
      </c>
    </row>
    <row r="15">
      <c r="B15" s="3" t="inlineStr">
        <is>
          <t>STEP 4 — Fill in “Funding”</t>
        </is>
      </c>
    </row>
    <row r="16" ht="28" customHeight="1">
      <c r="B16" s="4" t="inlineStr">
        <is>
          <t>Funding rounds and cash position over time.</t>
        </is>
      </c>
    </row>
    <row r="18">
      <c r="B18" s="3" t="inlineStr">
        <is>
          <t>Then open the Dashboard — everything calculates automatically.</t>
        </is>
      </c>
    </row>
    <row r="20">
      <c r="B20" s="5" t="inlineStr">
        <is>
          <t>TIP: Delete the sample rows once you've seen how it works.</t>
        </is>
      </c>
    </row>
    <row r="22">
      <c r="B22" s="5" t="inlineStr">
        <is>
          <t>TIP: On Google Sheets? File → Make a copy first, then edit your copy.</t>
        </is>
      </c>
    </row>
    <row r="24">
      <c r="B24" s="5" t="inlineStr">
        <is>
          <t>TIP: Columns with dropdowns keep your data clean — use them.</t>
        </is>
      </c>
    </row>
    <row r="26">
      <c r="B26" s="5" t="inlineStr">
        <is>
          <t>Need help? Message NasriTools on Etsy — I reply fast. 🧡</t>
        </is>
      </c>
    </row>
  </sheetData>
  <mergeCells count="15">
    <mergeCell ref="B4:F4"/>
    <mergeCell ref="B12:F12"/>
    <mergeCell ref="B7:F7"/>
    <mergeCell ref="B6:F6"/>
    <mergeCell ref="B24:F24"/>
    <mergeCell ref="B16:F16"/>
    <mergeCell ref="B20:F20"/>
    <mergeCell ref="B15:F15"/>
    <mergeCell ref="B2:F3"/>
    <mergeCell ref="B10:F10"/>
    <mergeCell ref="B18:F18"/>
    <mergeCell ref="B22:F22"/>
    <mergeCell ref="B26:F26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Month</t>
        </is>
      </c>
      <c r="B1" s="6" t="inlineStr">
        <is>
          <t>Product A</t>
        </is>
      </c>
      <c r="C1" s="6" t="inlineStr">
        <is>
          <t>Product B</t>
        </is>
      </c>
      <c r="D1" s="6" t="inlineStr">
        <is>
          <t>Services</t>
        </is>
      </c>
      <c r="E1" s="6" t="inlineStr">
        <is>
          <t>Total Revenue</t>
        </is>
      </c>
      <c r="F1" s="6" t="inlineStr">
        <is>
          <t>MoM Growth %</t>
        </is>
      </c>
    </row>
    <row r="2">
      <c r="A2" s="7" t="inlineStr">
        <is>
          <t>Jan 2025</t>
        </is>
      </c>
      <c r="B2" s="7" t="n">
        <v>5000</v>
      </c>
      <c r="C2" s="7" t="n">
        <v>3000</v>
      </c>
      <c r="D2" s="7" t="n">
        <v>2000</v>
      </c>
      <c r="E2" s="7">
        <f>SUM(B2:D2)</f>
        <v/>
      </c>
      <c r="F2" s="7" t="inlineStr">
        <is>
          <t>12%</t>
        </is>
      </c>
    </row>
    <row r="3">
      <c r="A3" s="8" t="inlineStr">
        <is>
          <t>Jan 2026</t>
        </is>
      </c>
      <c r="B3" s="8" t="n">
        <v>3500</v>
      </c>
      <c r="C3" s="8" t="n">
        <v>2100</v>
      </c>
      <c r="D3" s="8" t="n">
        <v>1400</v>
      </c>
      <c r="E3" s="8">
        <f>SUM(B3:D3)</f>
        <v/>
      </c>
      <c r="F3" s="8" t="inlineStr">
        <is>
          <t>12%</t>
        </is>
      </c>
    </row>
    <row r="4">
      <c r="A4" s="7" t="inlineStr">
        <is>
          <t>Jan 2027</t>
        </is>
      </c>
      <c r="B4" s="7" t="n">
        <v>6500</v>
      </c>
      <c r="C4" s="7" t="n">
        <v>3900</v>
      </c>
      <c r="D4" s="7" t="n">
        <v>2600</v>
      </c>
      <c r="E4" s="7">
        <f>SUM(B4:D4)</f>
        <v/>
      </c>
      <c r="F4" s="7" t="inlineStr"/>
    </row>
    <row r="5">
      <c r="A5" s="8" t="inlineStr">
        <is>
          <t>Jan 2028</t>
        </is>
      </c>
      <c r="B5" s="8" t="n">
        <v>4250</v>
      </c>
      <c r="C5" s="8" t="n">
        <v>2550</v>
      </c>
      <c r="D5" s="8" t="n">
        <v>1700</v>
      </c>
      <c r="E5" s="8">
        <f>SUM(B5:D5)</f>
        <v/>
      </c>
      <c r="F5" s="8" t="inlineStr">
        <is>
          <t>12%</t>
        </is>
      </c>
    </row>
    <row r="6">
      <c r="A6" s="7" t="inlineStr">
        <is>
          <t>Jan 2029</t>
        </is>
      </c>
      <c r="B6" s="7" t="n">
        <v>5750</v>
      </c>
      <c r="C6" s="7" t="n">
        <v>3450</v>
      </c>
      <c r="D6" s="7" t="n">
        <v>2300</v>
      </c>
      <c r="E6" s="7">
        <f>SUM(B6:D6)</f>
        <v/>
      </c>
      <c r="F6" s="7" t="inlineStr">
        <is>
          <t>12%</t>
        </is>
      </c>
    </row>
    <row r="7">
      <c r="A7" s="8" t="inlineStr">
        <is>
          <t>Jan 2030</t>
        </is>
      </c>
      <c r="B7" s="8" t="n">
        <v>3000</v>
      </c>
      <c r="C7" s="8" t="n">
        <v>1800</v>
      </c>
      <c r="D7" s="8" t="n">
        <v>1200</v>
      </c>
      <c r="E7" s="8">
        <f>SUM(B7:D7)</f>
        <v/>
      </c>
      <c r="F7" s="8" t="inlineStr"/>
    </row>
    <row r="8">
      <c r="A8" s="7" t="inlineStr">
        <is>
          <t>Jan 2031</t>
        </is>
      </c>
      <c r="B8" s="7" t="n">
        <v>7250</v>
      </c>
      <c r="C8" s="7" t="n">
        <v>4350</v>
      </c>
      <c r="D8" s="7" t="n">
        <v>2900</v>
      </c>
      <c r="E8" s="7">
        <f>SUM(B8:D8)</f>
        <v/>
      </c>
      <c r="F8" s="7" t="inlineStr">
        <is>
          <t>12%</t>
        </is>
      </c>
    </row>
    <row r="9">
      <c r="A9" s="8" t="inlineStr">
        <is>
          <t>Jan 2032</t>
        </is>
      </c>
      <c r="B9" s="8" t="n">
        <v>4750</v>
      </c>
      <c r="C9" s="8" t="n">
        <v>2850</v>
      </c>
      <c r="D9" s="8" t="n">
        <v>1900</v>
      </c>
      <c r="E9" s="8">
        <f>SUM(B9:D9)</f>
        <v/>
      </c>
      <c r="F9" s="8" t="inlineStr">
        <is>
          <t>12%</t>
        </is>
      </c>
    </row>
    <row r="10">
      <c r="A10" s="7" t="inlineStr">
        <is>
          <t>Jan 2033</t>
        </is>
      </c>
      <c r="B10" s="7" t="n">
        <v>6250</v>
      </c>
      <c r="C10" s="7" t="n">
        <v>3750</v>
      </c>
      <c r="D10" s="7" t="n">
        <v>2500</v>
      </c>
      <c r="E10" s="7">
        <f>SUM(B10:D10)</f>
        <v/>
      </c>
      <c r="F10" s="7" t="inlineStr"/>
    </row>
    <row r="11">
      <c r="A11" s="8" t="inlineStr">
        <is>
          <t>Jan 2034</t>
        </is>
      </c>
      <c r="B11" s="8" t="n">
        <v>4000</v>
      </c>
      <c r="C11" s="8" t="n">
        <v>2400</v>
      </c>
      <c r="D11" s="8" t="n">
        <v>1600</v>
      </c>
      <c r="E11" s="8">
        <f>SUM(B11:D11)</f>
        <v/>
      </c>
      <c r="F11" s="8" t="inlineStr">
        <is>
          <t>12%</t>
        </is>
      </c>
    </row>
    <row r="12">
      <c r="A12" s="7" t="inlineStr">
        <is>
          <t>Jan 2035</t>
        </is>
      </c>
      <c r="B12" s="7" t="n">
        <v>5500</v>
      </c>
      <c r="C12" s="7" t="n">
        <v>3300</v>
      </c>
      <c r="D12" s="7" t="n">
        <v>2200</v>
      </c>
      <c r="E12" s="7">
        <f>SUM(B12:D12)</f>
        <v/>
      </c>
      <c r="F12" s="7" t="inlineStr">
        <is>
          <t>12%</t>
        </is>
      </c>
    </row>
    <row r="13">
      <c r="A13" s="8" t="inlineStr">
        <is>
          <t>Jan 2036</t>
        </is>
      </c>
      <c r="B13" s="8" t="n">
        <v>3750</v>
      </c>
      <c r="C13" s="8" t="n">
        <v>2250</v>
      </c>
      <c r="D13" s="8" t="n">
        <v>1500</v>
      </c>
      <c r="E13" s="8">
        <f>SUM(B13:D13)</f>
        <v/>
      </c>
      <c r="F13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2" ht="28" customHeight="1">
      <c r="B2" s="9" t="inlineStr">
        <is>
          <t>📊  STARTUP FINANCIAL MODEL — DASHBOARD</t>
        </is>
      </c>
    </row>
    <row r="4">
      <c r="B4" s="10" t="inlineStr">
        <is>
          <t>MRR</t>
        </is>
      </c>
      <c r="D4" s="11" t="inlineStr">
        <is>
          <t>MONTHLY BURN</t>
        </is>
      </c>
      <c r="F4" s="12" t="inlineStr">
        <is>
          <t>RUNWAY (MO)</t>
        </is>
      </c>
      <c r="H4" s="10" t="inlineStr">
        <is>
          <t>HEADCOUNT</t>
        </is>
      </c>
    </row>
    <row r="5" ht="26" customHeight="1">
      <c r="B5" s="13">
        <f>Revenue!B38</f>
        <v/>
      </c>
      <c r="D5" s="14">
        <f>Expenses!B38</f>
        <v/>
      </c>
      <c r="F5" s="15">
        <f>Funding!B5/Expenses!B38</f>
        <v/>
      </c>
      <c r="H5" s="13">
        <f>COUNTA(Team!A:A)-1</f>
        <v/>
      </c>
    </row>
    <row r="8">
      <c r="B8" s="16" t="inlineStr">
        <is>
          <t>WHAT'S INSIDE</t>
        </is>
      </c>
    </row>
    <row r="9">
      <c r="B9" s="17" t="inlineStr">
        <is>
          <t>💰  Revenue — Monthly revenue projections by product/service line.</t>
        </is>
      </c>
    </row>
    <row r="10">
      <c r="B10" s="17" t="inlineStr">
        <is>
          <t>📤  Expenses — Monthly operating expenses by category.</t>
        </is>
      </c>
    </row>
    <row r="11">
      <c r="B11" s="17" t="inlineStr">
        <is>
          <t>👥  Team — Headcount plan with salary and start date.</t>
        </is>
      </c>
    </row>
    <row r="12">
      <c r="B12" s="17" t="inlineStr">
        <is>
          <t>🏦  Funding — Funding rounds and cash position over time.</t>
        </is>
      </c>
    </row>
    <row r="14">
      <c r="B14" s="5" t="inlineStr">
        <is>
          <t>Numbers update automatically as you fill the other tabs. Start with sample data deleted.</t>
        </is>
      </c>
    </row>
  </sheetData>
  <mergeCells count="14">
    <mergeCell ref="B9:I9"/>
    <mergeCell ref="F4:G4"/>
    <mergeCell ref="B12:I12"/>
    <mergeCell ref="B11:I11"/>
    <mergeCell ref="B5:C5"/>
    <mergeCell ref="B2:I2"/>
    <mergeCell ref="F5:G5"/>
    <mergeCell ref="D5:E5"/>
    <mergeCell ref="B10:I10"/>
    <mergeCell ref="H5:I5"/>
    <mergeCell ref="D4:E4"/>
    <mergeCell ref="B14:I14"/>
    <mergeCell ref="H4:I4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4" customWidth="1" min="5" max="5"/>
    <col width="16" customWidth="1" min="6" max="6"/>
    <col width="16" customWidth="1" min="7" max="7"/>
  </cols>
  <sheetData>
    <row r="1">
      <c r="A1" s="6" t="inlineStr">
        <is>
          <t>Month</t>
        </is>
      </c>
      <c r="B1" s="6" t="inlineStr">
        <is>
          <t>Salaries</t>
        </is>
      </c>
      <c r="C1" s="6" t="inlineStr">
        <is>
          <t>Marketing</t>
        </is>
      </c>
      <c r="D1" s="6" t="inlineStr">
        <is>
          <t>Ops &amp; Tools</t>
        </is>
      </c>
      <c r="E1" s="6" t="inlineStr">
        <is>
          <t>Office/Rent</t>
        </is>
      </c>
      <c r="F1" s="6" t="inlineStr">
        <is>
          <t>Total Costs</t>
        </is>
      </c>
      <c r="G1" s="6" t="inlineStr">
        <is>
          <t>Net P&amp;L</t>
        </is>
      </c>
    </row>
    <row r="2">
      <c r="A2" s="7" t="inlineStr">
        <is>
          <t>Jan 2025</t>
        </is>
      </c>
      <c r="B2" s="7" t="n">
        <v>20000</v>
      </c>
      <c r="C2" s="7" t="n">
        <v>3000</v>
      </c>
      <c r="D2" s="7" t="n">
        <v>1500</v>
      </c>
      <c r="E2" s="7" t="n">
        <v>2000</v>
      </c>
      <c r="F2" s="7">
        <f>SUM(B2:E2)</f>
        <v/>
      </c>
      <c r="G2" s="7" t="n">
        <v>-5000</v>
      </c>
    </row>
    <row r="3">
      <c r="A3" s="8" t="inlineStr">
        <is>
          <t>Jan 2026</t>
        </is>
      </c>
      <c r="B3" s="8" t="n">
        <v>14000</v>
      </c>
      <c r="C3" s="8" t="n">
        <v>2100</v>
      </c>
      <c r="D3" s="8" t="n">
        <v>1050</v>
      </c>
      <c r="E3" s="8" t="n">
        <v>1400</v>
      </c>
      <c r="F3" s="8">
        <f>SUM(B3:E3)</f>
        <v/>
      </c>
      <c r="G3" s="8" t="n">
        <v>-3500</v>
      </c>
    </row>
    <row r="4">
      <c r="A4" s="7" t="inlineStr">
        <is>
          <t>Jan 2027</t>
        </is>
      </c>
      <c r="B4" s="7" t="n">
        <v>26000</v>
      </c>
      <c r="C4" s="7" t="n">
        <v>3900</v>
      </c>
      <c r="D4" s="7" t="n">
        <v>1950</v>
      </c>
      <c r="E4" s="7" t="n">
        <v>2600</v>
      </c>
      <c r="F4" s="7">
        <f>SUM(B4:E4)</f>
        <v/>
      </c>
      <c r="G4" s="7" t="n">
        <v>-6500</v>
      </c>
    </row>
    <row r="5">
      <c r="A5" s="8" t="inlineStr">
        <is>
          <t>Jan 2028</t>
        </is>
      </c>
      <c r="B5" s="8" t="n">
        <v>17000</v>
      </c>
      <c r="C5" s="8" t="n">
        <v>2550</v>
      </c>
      <c r="D5" s="8" t="n">
        <v>1275</v>
      </c>
      <c r="E5" s="8" t="n">
        <v>1700</v>
      </c>
      <c r="F5" s="8">
        <f>SUM(B5:E5)</f>
        <v/>
      </c>
      <c r="G5" s="8" t="n">
        <v>-4250</v>
      </c>
    </row>
    <row r="6">
      <c r="A6" s="7" t="inlineStr">
        <is>
          <t>Jan 2029</t>
        </is>
      </c>
      <c r="B6" s="7" t="n">
        <v>23000</v>
      </c>
      <c r="C6" s="7" t="n">
        <v>3450</v>
      </c>
      <c r="D6" s="7" t="n">
        <v>1725</v>
      </c>
      <c r="E6" s="7" t="n">
        <v>2300</v>
      </c>
      <c r="F6" s="7">
        <f>SUM(B6:E6)</f>
        <v/>
      </c>
      <c r="G6" s="7" t="n">
        <v>-5750</v>
      </c>
    </row>
    <row r="7">
      <c r="A7" s="8" t="inlineStr">
        <is>
          <t>Jan 2030</t>
        </is>
      </c>
      <c r="B7" s="8" t="n">
        <v>12000</v>
      </c>
      <c r="C7" s="8" t="n">
        <v>1800</v>
      </c>
      <c r="D7" s="8" t="n">
        <v>900</v>
      </c>
      <c r="E7" s="8" t="n">
        <v>1200</v>
      </c>
      <c r="F7" s="8">
        <f>SUM(B7:E7)</f>
        <v/>
      </c>
      <c r="G7" s="8" t="n">
        <v>-3000</v>
      </c>
    </row>
    <row r="8">
      <c r="A8" s="7" t="inlineStr">
        <is>
          <t>Jan 2031</t>
        </is>
      </c>
      <c r="B8" s="7" t="n">
        <v>29000</v>
      </c>
      <c r="C8" s="7" t="n">
        <v>4350</v>
      </c>
      <c r="D8" s="7" t="n">
        <v>2175</v>
      </c>
      <c r="E8" s="7" t="n">
        <v>2900</v>
      </c>
      <c r="F8" s="7">
        <f>SUM(B8:E8)</f>
        <v/>
      </c>
      <c r="G8" s="7" t="n">
        <v>-7250</v>
      </c>
    </row>
    <row r="9">
      <c r="A9" s="8" t="inlineStr">
        <is>
          <t>Jan 2032</t>
        </is>
      </c>
      <c r="B9" s="8" t="n">
        <v>19000</v>
      </c>
      <c r="C9" s="8" t="n">
        <v>2850</v>
      </c>
      <c r="D9" s="8" t="n">
        <v>1425</v>
      </c>
      <c r="E9" s="8" t="n">
        <v>1900</v>
      </c>
      <c r="F9" s="8">
        <f>SUM(B9:E9)</f>
        <v/>
      </c>
      <c r="G9" s="8" t="n">
        <v>-4750</v>
      </c>
    </row>
    <row r="10">
      <c r="A10" s="7" t="inlineStr">
        <is>
          <t>Jan 2033</t>
        </is>
      </c>
      <c r="B10" s="7" t="n">
        <v>25000</v>
      </c>
      <c r="C10" s="7" t="n">
        <v>3750</v>
      </c>
      <c r="D10" s="7" t="n">
        <v>1875</v>
      </c>
      <c r="E10" s="7" t="n">
        <v>2500</v>
      </c>
      <c r="F10" s="7">
        <f>SUM(B10:E10)</f>
        <v/>
      </c>
      <c r="G10" s="7" t="n">
        <v>-6250</v>
      </c>
    </row>
    <row r="11">
      <c r="A11" s="8" t="inlineStr">
        <is>
          <t>Jan 2034</t>
        </is>
      </c>
      <c r="B11" s="8" t="n">
        <v>16000</v>
      </c>
      <c r="C11" s="8" t="n">
        <v>2400</v>
      </c>
      <c r="D11" s="8" t="n">
        <v>1200</v>
      </c>
      <c r="E11" s="8" t="n">
        <v>1600</v>
      </c>
      <c r="F11" s="8">
        <f>SUM(B11:E11)</f>
        <v/>
      </c>
      <c r="G11" s="8" t="n">
        <v>-4000</v>
      </c>
    </row>
    <row r="12">
      <c r="A12" s="7" t="inlineStr">
        <is>
          <t>Jan 2035</t>
        </is>
      </c>
      <c r="B12" s="7" t="n">
        <v>22000</v>
      </c>
      <c r="C12" s="7" t="n">
        <v>3300</v>
      </c>
      <c r="D12" s="7" t="n">
        <v>1650</v>
      </c>
      <c r="E12" s="7" t="n">
        <v>2200</v>
      </c>
      <c r="F12" s="7">
        <f>SUM(B12:E12)</f>
        <v/>
      </c>
      <c r="G12" s="7" t="n">
        <v>-5500</v>
      </c>
    </row>
    <row r="13">
      <c r="A13" s="8" t="inlineStr">
        <is>
          <t>Jan 2036</t>
        </is>
      </c>
      <c r="B13" s="8" t="n">
        <v>15000</v>
      </c>
      <c r="C13" s="8" t="n">
        <v>2250</v>
      </c>
      <c r="D13" s="8" t="n">
        <v>1125</v>
      </c>
      <c r="E13" s="8" t="n">
        <v>1500</v>
      </c>
      <c r="F13" s="8">
        <f>SUM(B13:E13)</f>
        <v/>
      </c>
      <c r="G13" s="8" t="n">
        <v>-3750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18" customWidth="1" min="5" max="5"/>
  </cols>
  <sheetData>
    <row r="1">
      <c r="A1" s="6" t="inlineStr">
        <is>
          <t>Name/Role</t>
        </is>
      </c>
      <c r="B1" s="6" t="inlineStr">
        <is>
          <t>Start Month</t>
        </is>
      </c>
      <c r="C1" s="6" t="inlineStr">
        <is>
          <t>Monthly Salary</t>
        </is>
      </c>
      <c r="D1" s="6" t="inlineStr">
        <is>
          <t>Annual Cost</t>
        </is>
      </c>
      <c r="E1" s="6" t="inlineStr">
        <is>
          <t>Department</t>
        </is>
      </c>
    </row>
    <row r="2">
      <c r="A2" s="7" t="inlineStr">
        <is>
          <t>Alex Martin</t>
        </is>
      </c>
      <c r="B2" s="7" t="inlineStr">
        <is>
          <t>Mar 2025</t>
        </is>
      </c>
      <c r="C2" s="18" t="n">
        <v>6000</v>
      </c>
      <c r="D2" s="7">
        <f>C2*12</f>
        <v/>
      </c>
      <c r="E2" s="7" t="inlineStr">
        <is>
          <t>Founder</t>
        </is>
      </c>
    </row>
    <row r="3">
      <c r="A3" s="8" t="inlineStr">
        <is>
          <t>Sara Lopez</t>
        </is>
      </c>
      <c r="B3" s="8" t="inlineStr">
        <is>
          <t>Mar 2026</t>
        </is>
      </c>
      <c r="C3" s="19" t="n">
        <v>4200</v>
      </c>
      <c r="D3" s="8">
        <f>C3*12</f>
        <v/>
      </c>
      <c r="E3" s="8" t="inlineStr">
        <is>
          <t>Engineering</t>
        </is>
      </c>
    </row>
    <row r="4">
      <c r="A4" s="7" t="inlineStr">
        <is>
          <t>Omar Haddad</t>
        </is>
      </c>
      <c r="B4" s="7" t="inlineStr">
        <is>
          <t>Mar 2027</t>
        </is>
      </c>
      <c r="C4" s="18" t="n">
        <v>7800</v>
      </c>
      <c r="D4" s="7">
        <f>C4*12</f>
        <v/>
      </c>
      <c r="E4" s="7" t="inlineStr">
        <is>
          <t>Sales</t>
        </is>
      </c>
    </row>
    <row r="5">
      <c r="A5" s="8" t="inlineStr">
        <is>
          <t>Emma Fischer</t>
        </is>
      </c>
      <c r="B5" s="8" t="inlineStr">
        <is>
          <t>Mar 2028</t>
        </is>
      </c>
      <c r="C5" s="19" t="n">
        <v>5100</v>
      </c>
      <c r="D5" s="8">
        <f>C5*12</f>
        <v/>
      </c>
      <c r="E5" s="8" t="inlineStr">
        <is>
          <t>Marketing</t>
        </is>
      </c>
    </row>
    <row r="6">
      <c r="A6" s="7" t="inlineStr">
        <is>
          <t>Liam Carter</t>
        </is>
      </c>
      <c r="B6" s="7" t="inlineStr">
        <is>
          <t>Mar 2029</t>
        </is>
      </c>
      <c r="C6" s="18" t="n">
        <v>6900</v>
      </c>
      <c r="D6" s="7">
        <f>C6*12</f>
        <v/>
      </c>
      <c r="E6" s="7" t="inlineStr">
        <is>
          <t>Ops</t>
        </is>
      </c>
    </row>
    <row r="7">
      <c r="A7" s="8" t="inlineStr">
        <is>
          <t>Nadia Rahali</t>
        </is>
      </c>
      <c r="B7" s="8" t="inlineStr">
        <is>
          <t>Mar 2030</t>
        </is>
      </c>
      <c r="C7" s="19" t="n">
        <v>3600</v>
      </c>
      <c r="D7" s="8">
        <f>C7*12</f>
        <v/>
      </c>
      <c r="E7" s="8" t="inlineStr">
        <is>
          <t>Finance</t>
        </is>
      </c>
    </row>
    <row r="8">
      <c r="A8" s="7" t="inlineStr">
        <is>
          <t>Tom Becker</t>
        </is>
      </c>
      <c r="B8" s="7" t="inlineStr">
        <is>
          <t>Mar 2031</t>
        </is>
      </c>
      <c r="C8" s="18" t="n">
        <v>8700</v>
      </c>
      <c r="D8" s="7">
        <f>C8*12</f>
        <v/>
      </c>
      <c r="E8" s="7" t="inlineStr">
        <is>
          <t>Founder</t>
        </is>
      </c>
    </row>
    <row r="9">
      <c r="A9" s="8" t="inlineStr">
        <is>
          <t>Julia Romero</t>
        </is>
      </c>
      <c r="B9" s="8" t="inlineStr">
        <is>
          <t>Mar 2032</t>
        </is>
      </c>
      <c r="C9" s="19" t="n">
        <v>5700</v>
      </c>
      <c r="D9" s="8">
        <f>C9*12</f>
        <v/>
      </c>
      <c r="E9" s="8" t="inlineStr">
        <is>
          <t>Engineering</t>
        </is>
      </c>
    </row>
    <row r="10">
      <c r="A10" s="7" t="inlineStr">
        <is>
          <t>Karim Ziani</t>
        </is>
      </c>
      <c r="B10" s="7" t="inlineStr">
        <is>
          <t>Mar 2033</t>
        </is>
      </c>
      <c r="C10" s="18" t="n">
        <v>7500</v>
      </c>
      <c r="D10" s="7">
        <f>C10*12</f>
        <v/>
      </c>
      <c r="E10" s="7" t="inlineStr">
        <is>
          <t>Sales</t>
        </is>
      </c>
    </row>
    <row r="11">
      <c r="A11" s="8" t="inlineStr">
        <is>
          <t>Anna Kowalska</t>
        </is>
      </c>
      <c r="B11" s="8" t="inlineStr">
        <is>
          <t>Mar 2034</t>
        </is>
      </c>
      <c r="C11" s="19" t="n">
        <v>4800</v>
      </c>
      <c r="D11" s="8">
        <f>C11*12</f>
        <v/>
      </c>
      <c r="E11" s="8" t="inlineStr">
        <is>
          <t>Marketing</t>
        </is>
      </c>
    </row>
    <row r="12">
      <c r="A12" s="7" t="inlineStr">
        <is>
          <t>David Chen</t>
        </is>
      </c>
      <c r="B12" s="7" t="inlineStr">
        <is>
          <t>Mar 2035</t>
        </is>
      </c>
      <c r="C12" s="18" t="n">
        <v>6600</v>
      </c>
      <c r="D12" s="7">
        <f>C12*12</f>
        <v/>
      </c>
      <c r="E12" s="7" t="inlineStr">
        <is>
          <t>Ops</t>
        </is>
      </c>
    </row>
    <row r="13">
      <c r="A13" s="8" t="inlineStr">
        <is>
          <t>Lea Moreau</t>
        </is>
      </c>
      <c r="B13" s="8" t="inlineStr">
        <is>
          <t>Mar 2036</t>
        </is>
      </c>
      <c r="C13" s="19" t="n">
        <v>4500</v>
      </c>
      <c r="D13" s="8">
        <f>C13*12</f>
        <v/>
      </c>
      <c r="E13" s="8" t="inlineStr">
        <is>
          <t>Finance</t>
        </is>
      </c>
    </row>
  </sheetData>
  <dataValidations count="1">
    <dataValidation sqref="E2:E500" showDropDown="0" showInputMessage="0" showErrorMessage="0" allowBlank="1" type="list">
      <formula1>"Founder,Engineering,Sales,Marketing,Ops,Finance"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22" customWidth="1" min="4" max="4"/>
    <col width="16" customWidth="1" min="5" max="5"/>
    <col width="28" customWidth="1" min="6" max="6"/>
  </cols>
  <sheetData>
    <row r="1">
      <c r="A1" s="6" t="inlineStr">
        <is>
          <t>Round</t>
        </is>
      </c>
      <c r="B1" s="6" t="inlineStr">
        <is>
          <t>Amount $</t>
        </is>
      </c>
      <c r="C1" s="6" t="inlineStr">
        <is>
          <t>Date</t>
        </is>
      </c>
      <c r="D1" s="6" t="inlineStr">
        <is>
          <t>Investor</t>
        </is>
      </c>
      <c r="E1" s="6" t="inlineStr">
        <is>
          <t>Valuation</t>
        </is>
      </c>
      <c r="F1" s="6" t="inlineStr">
        <is>
          <t>Notes</t>
        </is>
      </c>
    </row>
    <row r="2">
      <c r="A2" s="7" t="inlineStr">
        <is>
          <t>Seed</t>
        </is>
      </c>
      <c r="B2" s="18" t="n">
        <v>500000</v>
      </c>
      <c r="C2" s="7" t="inlineStr">
        <is>
          <t>Jan 2025</t>
        </is>
      </c>
      <c r="D2" s="7" t="inlineStr">
        <is>
          <t>Angel Syndicate</t>
        </is>
      </c>
      <c r="E2" s="7" t="n">
        <v>2500000</v>
      </c>
      <c r="F2" s="7" t="inlineStr"/>
    </row>
    <row r="3">
      <c r="A3" s="8" t="inlineStr">
        <is>
          <t>Seed</t>
        </is>
      </c>
      <c r="B3" s="19" t="n">
        <v>350000</v>
      </c>
      <c r="C3" s="8" t="inlineStr">
        <is>
          <t>Jan 2026</t>
        </is>
      </c>
      <c r="D3" s="8" t="inlineStr">
        <is>
          <t>Angel Syndicate</t>
        </is>
      </c>
      <c r="E3" s="8" t="n">
        <v>1750000</v>
      </c>
      <c r="F3" s="8" t="inlineStr">
        <is>
          <t>Paid</t>
        </is>
      </c>
    </row>
    <row r="4">
      <c r="A4" s="7" t="inlineStr"/>
      <c r="B4" s="18" t="n">
        <v>650000</v>
      </c>
      <c r="C4" s="7" t="inlineStr">
        <is>
          <t>Jan 2027</t>
        </is>
      </c>
      <c r="D4" s="7" t="inlineStr"/>
      <c r="E4" s="7" t="n">
        <v>3250000</v>
      </c>
      <c r="F4" s="7" t="inlineStr">
        <is>
          <t>Urgent</t>
        </is>
      </c>
    </row>
    <row r="5">
      <c r="A5" s="8" t="inlineStr">
        <is>
          <t>Seed</t>
        </is>
      </c>
      <c r="B5" s="19" t="n">
        <v>425000</v>
      </c>
      <c r="C5" s="8" t="inlineStr">
        <is>
          <t>Jan 2028</t>
        </is>
      </c>
      <c r="D5" s="8" t="inlineStr">
        <is>
          <t>Angel Syndicate</t>
        </is>
      </c>
      <c r="E5" s="8" t="n">
        <v>2125000</v>
      </c>
      <c r="F5" s="8" t="inlineStr">
        <is>
          <t>Follow up Friday</t>
        </is>
      </c>
    </row>
    <row r="6">
      <c r="A6" s="7" t="inlineStr">
        <is>
          <t>Seed</t>
        </is>
      </c>
      <c r="B6" s="18" t="n">
        <v>575000</v>
      </c>
      <c r="C6" s="7" t="inlineStr">
        <is>
          <t>Jan 2029</t>
        </is>
      </c>
      <c r="D6" s="7" t="inlineStr">
        <is>
          <t>Angel Syndicate</t>
        </is>
      </c>
      <c r="E6" s="7" t="n">
        <v>2875000</v>
      </c>
      <c r="F6" s="7" t="inlineStr"/>
    </row>
    <row r="7">
      <c r="A7" s="8" t="inlineStr"/>
      <c r="B7" s="19" t="n">
        <v>300000</v>
      </c>
      <c r="C7" s="8" t="inlineStr">
        <is>
          <t>Jan 2030</t>
        </is>
      </c>
      <c r="D7" s="8" t="inlineStr"/>
      <c r="E7" s="8" t="n">
        <v>1500000</v>
      </c>
      <c r="F7" s="8" t="inlineStr">
        <is>
          <t>Monthly</t>
        </is>
      </c>
    </row>
    <row r="8">
      <c r="A8" s="7" t="inlineStr">
        <is>
          <t>Seed</t>
        </is>
      </c>
      <c r="B8" s="18" t="n">
        <v>725000</v>
      </c>
      <c r="C8" s="7" t="inlineStr">
        <is>
          <t>Jan 2031</t>
        </is>
      </c>
      <c r="D8" s="7" t="inlineStr">
        <is>
          <t>Angel Syndicate</t>
        </is>
      </c>
      <c r="E8" s="7" t="n">
        <v>3625000</v>
      </c>
      <c r="F8" s="7" t="inlineStr">
        <is>
          <t>Confirmed</t>
        </is>
      </c>
    </row>
    <row r="9">
      <c r="A9" s="8" t="inlineStr">
        <is>
          <t>Seed</t>
        </is>
      </c>
      <c r="B9" s="19" t="n">
        <v>475000</v>
      </c>
      <c r="C9" s="8" t="inlineStr">
        <is>
          <t>Jan 2032</t>
        </is>
      </c>
      <c r="D9" s="8" t="inlineStr">
        <is>
          <t>Angel Syndicate</t>
        </is>
      </c>
      <c r="E9" s="8" t="n">
        <v>2375000</v>
      </c>
      <c r="F9" s="8" t="inlineStr"/>
    </row>
    <row r="10">
      <c r="A10" s="7" t="inlineStr"/>
      <c r="B10" s="18" t="n">
        <v>625000</v>
      </c>
      <c r="C10" s="7" t="inlineStr">
        <is>
          <t>Jan 2033</t>
        </is>
      </c>
      <c r="D10" s="7" t="inlineStr"/>
      <c r="E10" s="7" t="n">
        <v>3125000</v>
      </c>
      <c r="F10" s="7" t="inlineStr">
        <is>
          <t>Waiting reply</t>
        </is>
      </c>
    </row>
    <row r="11">
      <c r="A11" s="8" t="inlineStr">
        <is>
          <t>Seed</t>
        </is>
      </c>
      <c r="B11" s="19" t="n">
        <v>400000</v>
      </c>
      <c r="C11" s="8" t="inlineStr">
        <is>
          <t>Jan 2034</t>
        </is>
      </c>
      <c r="D11" s="8" t="inlineStr">
        <is>
          <t>Angel Syndicate</t>
        </is>
      </c>
      <c r="E11" s="8" t="n">
        <v>2000000</v>
      </c>
      <c r="F11" s="8" t="inlineStr">
        <is>
          <t>Done early</t>
        </is>
      </c>
    </row>
    <row r="12">
      <c r="A12" s="7" t="inlineStr">
        <is>
          <t>Seed</t>
        </is>
      </c>
      <c r="B12" s="18" t="n">
        <v>550000</v>
      </c>
      <c r="C12" s="7" t="inlineStr">
        <is>
          <t>Jan 2035</t>
        </is>
      </c>
      <c r="D12" s="7" t="inlineStr">
        <is>
          <t>Angel Syndicate</t>
        </is>
      </c>
      <c r="E12" s="7" t="n">
        <v>2750000</v>
      </c>
      <c r="F12" s="7" t="inlineStr"/>
    </row>
    <row r="13">
      <c r="A13" s="8" t="inlineStr"/>
      <c r="B13" s="19" t="n">
        <v>375000</v>
      </c>
      <c r="C13" s="8" t="inlineStr">
        <is>
          <t>Jan 2036</t>
        </is>
      </c>
      <c r="D13" s="8" t="inlineStr"/>
      <c r="E13" s="8" t="n">
        <v>1875000</v>
      </c>
      <c r="F13" s="8" t="inlineStr">
        <is>
          <t>Recheck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2026-07-16T21:44:39Z</dcterms:created>
  <dcterms:modified xsi:type="dcterms:W3CDTF">2026-07-16T21:44:39Z</dcterms:modified>
</cp:coreProperties>
</file>