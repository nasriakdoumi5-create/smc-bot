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chedule" sheetId="2" state="visible" r:id="rId2"/>
    <sheet name="Dashboard" sheetId="3" state="visible" r:id="rId3"/>
    <sheet name="Costs" sheetId="4" state="visible" r:id="rId4"/>
    <sheet name="Contractors" sheetId="5" state="visible" r:id="rId5"/>
    <sheet name="Annua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yyyy-mm-dd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0891B2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0C4A6E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0C4A6E"/>
      </patternFill>
    </fill>
    <fill>
      <patternFill patternType="solid">
        <fgColor rgb="00FFF7F0"/>
      </patternFill>
    </fill>
    <fill>
      <patternFill patternType="solid">
        <fgColor rgb="000891B2"/>
      </patternFill>
    </fill>
    <fill>
      <patternFill patternType="solid">
        <fgColor rgb="00059669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165" fontId="2" fillId="3" borderId="1" pivotButton="0" quotePrefix="0" xfId="0"/>
    <xf numFmtId="165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164" fontId="5" fillId="0" borderId="1" pivotButton="0" quotePrefix="0" xfId="0"/>
    <xf numFmtId="0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🏠  HOME MAINTENANCE SCHEDULE</t>
        </is>
      </c>
    </row>
    <row r="3"/>
    <row r="4">
      <c r="B4" s="2" t="inlineStr">
        <is>
          <t>Annual Home Upkeep &amp; Repair Tracker Google Sheets</t>
        </is>
      </c>
    </row>
    <row r="6">
      <c r="B6" s="3" t="inlineStr">
        <is>
          <t>STEP 1 — Fill in “Schedule”</t>
        </is>
      </c>
    </row>
    <row r="7" ht="28" customHeight="1">
      <c r="B7" s="4" t="inlineStr">
        <is>
          <t>Annual maintenance schedule by month.</t>
        </is>
      </c>
    </row>
    <row r="9">
      <c r="B9" s="3" t="inlineStr">
        <is>
          <t>STEP 2 — Fill in “Costs”</t>
        </is>
      </c>
    </row>
    <row r="10" ht="28" customHeight="1">
      <c r="B10" s="4" t="inlineStr">
        <is>
          <t>All maintenance expenses logged by date.</t>
        </is>
      </c>
    </row>
    <row r="12">
      <c r="B12" s="3" t="inlineStr">
        <is>
          <t>STEP 3 — Fill in “Contractors”</t>
        </is>
      </c>
    </row>
    <row r="13" ht="28" customHeight="1">
      <c r="B13" s="4" t="inlineStr">
        <is>
          <t>Trusted contractor directory for each home system.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  <col width="16" customWidth="1" min="5" max="5"/>
    <col width="14" customWidth="1" min="6" max="6"/>
    <col width="16" customWidth="1" min="7" max="7"/>
  </cols>
  <sheetData>
    <row r="1">
      <c r="A1" s="6" t="inlineStr">
        <is>
          <t>Task</t>
        </is>
      </c>
      <c r="B1" s="6" t="inlineStr">
        <is>
          <t>Area</t>
        </is>
      </c>
      <c r="C1" s="6" t="inlineStr">
        <is>
          <t>Frequency</t>
        </is>
      </c>
      <c r="D1" s="6" t="inlineStr">
        <is>
          <t>Month Due</t>
        </is>
      </c>
      <c r="E1" s="6" t="inlineStr">
        <is>
          <t>Status</t>
        </is>
      </c>
      <c r="F1" s="6" t="inlineStr">
        <is>
          <t>Est. Cost $</t>
        </is>
      </c>
      <c r="G1" s="6" t="inlineStr">
        <is>
          <t>DIY or Pro</t>
        </is>
      </c>
    </row>
    <row r="2">
      <c r="A2" s="7" t="inlineStr">
        <is>
          <t>Kickoff meeting</t>
        </is>
      </c>
      <c r="B2" s="7" t="inlineStr">
        <is>
          <t>HVAC</t>
        </is>
      </c>
      <c r="C2" s="7" t="inlineStr">
        <is>
          <t>Monthly</t>
        </is>
      </c>
      <c r="D2" s="7" t="inlineStr">
        <is>
          <t>January</t>
        </is>
      </c>
      <c r="E2" s="7" t="inlineStr">
        <is>
          <t>Upcoming</t>
        </is>
      </c>
      <c r="F2" s="8" t="n">
        <v>25</v>
      </c>
      <c r="G2" s="7" t="inlineStr">
        <is>
          <t>DIY</t>
        </is>
      </c>
    </row>
    <row r="3">
      <c r="A3" s="9" t="inlineStr">
        <is>
          <t>Send proposal</t>
        </is>
      </c>
      <c r="B3" s="9" t="inlineStr">
        <is>
          <t>Plumbing</t>
        </is>
      </c>
      <c r="C3" s="9" t="inlineStr">
        <is>
          <t>Quarterly</t>
        </is>
      </c>
      <c r="D3" s="9" t="inlineStr">
        <is>
          <t>February</t>
        </is>
      </c>
      <c r="E3" s="9" t="inlineStr">
        <is>
          <t>Done</t>
        </is>
      </c>
      <c r="F3" s="10" t="n">
        <v>17.5</v>
      </c>
      <c r="G3" s="9" t="inlineStr">
        <is>
          <t>Hire Pro</t>
        </is>
      </c>
    </row>
    <row r="4">
      <c r="A4" s="7" t="inlineStr">
        <is>
          <t>Review feedback</t>
        </is>
      </c>
      <c r="B4" s="7" t="inlineStr">
        <is>
          <t>Electrical</t>
        </is>
      </c>
      <c r="C4" s="7" t="inlineStr">
        <is>
          <t>Semi-Annual</t>
        </is>
      </c>
      <c r="D4" s="7" t="inlineStr">
        <is>
          <t>March</t>
        </is>
      </c>
      <c r="E4" s="7" t="inlineStr">
        <is>
          <t>Overdue</t>
        </is>
      </c>
      <c r="F4" s="8" t="n">
        <v>32.5</v>
      </c>
      <c r="G4" s="7" t="inlineStr">
        <is>
          <t>Either</t>
        </is>
      </c>
    </row>
    <row r="5">
      <c r="A5" s="9" t="inlineStr">
        <is>
          <t>Update website copy</t>
        </is>
      </c>
      <c r="B5" s="9" t="inlineStr">
        <is>
          <t>Exterior</t>
        </is>
      </c>
      <c r="C5" s="9" t="inlineStr">
        <is>
          <t>Annual</t>
        </is>
      </c>
      <c r="D5" s="9" t="inlineStr">
        <is>
          <t>April</t>
        </is>
      </c>
      <c r="E5" s="9" t="inlineStr">
        <is>
          <t>Skipped</t>
        </is>
      </c>
      <c r="F5" s="10" t="n">
        <v>21.25</v>
      </c>
      <c r="G5" s="9" t="inlineStr">
        <is>
          <t>DIY</t>
        </is>
      </c>
    </row>
    <row r="6">
      <c r="A6" s="7" t="inlineStr">
        <is>
          <t>Prepare invoice</t>
        </is>
      </c>
      <c r="B6" s="7" t="inlineStr">
        <is>
          <t>Roof</t>
        </is>
      </c>
      <c r="C6" s="7" t="inlineStr">
        <is>
          <t>As Needed</t>
        </is>
      </c>
      <c r="D6" s="7" t="inlineStr">
        <is>
          <t>May</t>
        </is>
      </c>
      <c r="E6" s="7" t="inlineStr">
        <is>
          <t>Upcoming</t>
        </is>
      </c>
      <c r="F6" s="8" t="n">
        <v>28.75</v>
      </c>
      <c r="G6" s="7" t="inlineStr">
        <is>
          <t>Hire Pro</t>
        </is>
      </c>
    </row>
    <row r="7">
      <c r="A7" s="9" t="inlineStr">
        <is>
          <t>Client call</t>
        </is>
      </c>
      <c r="B7" s="9" t="inlineStr">
        <is>
          <t>Yard</t>
        </is>
      </c>
      <c r="C7" s="9" t="inlineStr">
        <is>
          <t>Monthly</t>
        </is>
      </c>
      <c r="D7" s="9" t="inlineStr">
        <is>
          <t>June</t>
        </is>
      </c>
      <c r="E7" s="9" t="inlineStr">
        <is>
          <t>Done</t>
        </is>
      </c>
      <c r="F7" s="10" t="n">
        <v>15</v>
      </c>
      <c r="G7" s="9" t="inlineStr">
        <is>
          <t>Either</t>
        </is>
      </c>
    </row>
    <row r="8">
      <c r="A8" s="7" t="inlineStr">
        <is>
          <t>Design first draft</t>
        </is>
      </c>
      <c r="B8" s="7" t="inlineStr">
        <is>
          <t>Kitchen</t>
        </is>
      </c>
      <c r="C8" s="7" t="inlineStr">
        <is>
          <t>Quarterly</t>
        </is>
      </c>
      <c r="D8" s="7" t="inlineStr">
        <is>
          <t>July</t>
        </is>
      </c>
      <c r="E8" s="7" t="inlineStr">
        <is>
          <t>Overdue</t>
        </is>
      </c>
      <c r="F8" s="8" t="n">
        <v>36.25</v>
      </c>
      <c r="G8" s="7" t="inlineStr">
        <is>
          <t>DIY</t>
        </is>
      </c>
    </row>
    <row r="9">
      <c r="A9" s="9" t="inlineStr">
        <is>
          <t>Fix reported bug</t>
        </is>
      </c>
      <c r="B9" s="9" t="inlineStr">
        <is>
          <t>Bathroom</t>
        </is>
      </c>
      <c r="C9" s="9" t="inlineStr">
        <is>
          <t>Semi-Annual</t>
        </is>
      </c>
      <c r="D9" s="9" t="inlineStr">
        <is>
          <t>August</t>
        </is>
      </c>
      <c r="E9" s="9" t="inlineStr">
        <is>
          <t>Skipped</t>
        </is>
      </c>
      <c r="F9" s="10" t="n">
        <v>23.75</v>
      </c>
      <c r="G9" s="9" t="inlineStr">
        <is>
          <t>Hire Pro</t>
        </is>
      </c>
    </row>
    <row r="10">
      <c r="A10" s="7" t="inlineStr">
        <is>
          <t>Weekly report</t>
        </is>
      </c>
      <c r="B10" s="7" t="inlineStr">
        <is>
          <t>Safety</t>
        </is>
      </c>
      <c r="C10" s="7" t="inlineStr">
        <is>
          <t>Annual</t>
        </is>
      </c>
      <c r="D10" s="7" t="inlineStr">
        <is>
          <t>September</t>
        </is>
      </c>
      <c r="E10" s="7" t="inlineStr">
        <is>
          <t>Upcoming</t>
        </is>
      </c>
      <c r="F10" s="8" t="n">
        <v>31.25</v>
      </c>
      <c r="G10" s="7" t="inlineStr">
        <is>
          <t>Either</t>
        </is>
      </c>
    </row>
    <row r="11">
      <c r="A11" s="9" t="inlineStr">
        <is>
          <t>Plan next sprint</t>
        </is>
      </c>
      <c r="B11" s="9" t="inlineStr">
        <is>
          <t>Other</t>
        </is>
      </c>
      <c r="C11" s="9" t="inlineStr">
        <is>
          <t>As Needed</t>
        </is>
      </c>
      <c r="D11" s="9" t="inlineStr">
        <is>
          <t>October</t>
        </is>
      </c>
      <c r="E11" s="9" t="inlineStr">
        <is>
          <t>Done</t>
        </is>
      </c>
      <c r="F11" s="10" t="n">
        <v>20</v>
      </c>
      <c r="G11" s="9" t="inlineStr">
        <is>
          <t>DIY</t>
        </is>
      </c>
    </row>
    <row r="12">
      <c r="A12" s="7" t="inlineStr">
        <is>
          <t>Publish blog post</t>
        </is>
      </c>
      <c r="B12" s="7" t="inlineStr">
        <is>
          <t>HVAC</t>
        </is>
      </c>
      <c r="C12" s="7" t="inlineStr">
        <is>
          <t>Monthly</t>
        </is>
      </c>
      <c r="D12" s="7" t="inlineStr">
        <is>
          <t>November</t>
        </is>
      </c>
      <c r="E12" s="7" t="inlineStr">
        <is>
          <t>Overdue</t>
        </is>
      </c>
      <c r="F12" s="8" t="n">
        <v>27.5</v>
      </c>
      <c r="G12" s="7" t="inlineStr">
        <is>
          <t>Hire Pro</t>
        </is>
      </c>
    </row>
    <row r="13">
      <c r="A13" s="9" t="inlineStr">
        <is>
          <t>Team sync</t>
        </is>
      </c>
      <c r="B13" s="9" t="inlineStr">
        <is>
          <t>Plumbing</t>
        </is>
      </c>
      <c r="C13" s="9" t="inlineStr">
        <is>
          <t>Quarterly</t>
        </is>
      </c>
      <c r="D13" s="9" t="inlineStr">
        <is>
          <t>December</t>
        </is>
      </c>
      <c r="E13" s="9" t="inlineStr">
        <is>
          <t>Skipped</t>
        </is>
      </c>
      <c r="F13" s="10" t="n">
        <v>18.75</v>
      </c>
      <c r="G13" s="9" t="inlineStr">
        <is>
          <t>Either</t>
        </is>
      </c>
    </row>
  </sheetData>
  <dataValidations count="5">
    <dataValidation sqref="B2:B500" showDropDown="0" showInputMessage="0" showErrorMessage="0" allowBlank="1" type="list">
      <formula1>"HVAC,Plumbing,Electrical,Exterior,Roof,Yard,Kitchen,Bathroom,Safety,Other"</formula1>
    </dataValidation>
    <dataValidation sqref="C2:C500" showDropDown="0" showInputMessage="0" showErrorMessage="0" allowBlank="1" type="list">
      <formula1>"Monthly,Quarterly,Semi-Annual,Annual,As Needed"</formula1>
    </dataValidation>
    <dataValidation sqref="D2:D500" showDropDown="0" showInputMessage="0" showErrorMessage="0" allowBlank="1" type="list">
      <formula1>"January,February,March,April,May,June,July,August,September,October,November,December"</formula1>
    </dataValidation>
    <dataValidation sqref="E2:E500" showDropDown="0" showInputMessage="0" showErrorMessage="0" allowBlank="1" type="list">
      <formula1>"Upcoming,Done,Overdue,Skipped"</formula1>
    </dataValidation>
    <dataValidation sqref="G2:G500" showDropDown="0" showInputMessage="0" showErrorMessage="0" allowBlank="1" type="list">
      <formula1>"DIY,Hire Pro,Either"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1" t="inlineStr">
        <is>
          <t>📊  HOME MAINTENANCE SCHEDULE — DASHBOARD</t>
        </is>
      </c>
    </row>
    <row r="4">
      <c r="B4" s="12" t="inlineStr">
        <is>
          <t>TASKS THIS MONTH</t>
        </is>
      </c>
      <c r="D4" s="13" t="inlineStr">
        <is>
          <t>ANNUAL COST $</t>
        </is>
      </c>
      <c r="F4" s="14" t="inlineStr">
        <is>
          <t>TASKS DONE</t>
        </is>
      </c>
      <c r="H4" s="15" t="inlineStr">
        <is>
          <t>OVERDUE TASKS</t>
        </is>
      </c>
    </row>
    <row r="5" ht="26" customHeight="1">
      <c r="B5" s="16">
        <f>COUNTIF(Schedule!D:D,TEXT(TODAY(),"MMMM"))</f>
        <v/>
      </c>
      <c r="D5" s="17">
        <f>SUM(Costs!C:C)</f>
        <v/>
      </c>
      <c r="F5" s="18">
        <f>COUNTIF(Schedule!E:E,"Done")</f>
        <v/>
      </c>
      <c r="H5" s="19">
        <f>COUNTIF(Schedule!E:E,"Overdue")</f>
        <v/>
      </c>
    </row>
    <row r="8">
      <c r="B8" s="20" t="inlineStr">
        <is>
          <t>WHAT'S INSIDE</t>
        </is>
      </c>
    </row>
    <row r="9">
      <c r="B9" s="21" t="inlineStr">
        <is>
          <t>📅  Schedule — Annual maintenance schedule by month.</t>
        </is>
      </c>
    </row>
    <row r="10">
      <c r="B10" s="21" t="inlineStr">
        <is>
          <t>💰  Costs — All maintenance expenses logged by date.</t>
        </is>
      </c>
    </row>
    <row r="11">
      <c r="B11" s="21" t="inlineStr">
        <is>
          <t>👷  Contractors — Trusted contractor directory for each home system.</t>
        </is>
      </c>
    </row>
    <row r="12">
      <c r="B12" s="21" t="inlineStr">
        <is>
          <t>📊  Annual Summary — Annual home maintenance cost by category.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2" customWidth="1" min="4" max="4"/>
    <col width="18" customWidth="1" min="5" max="5"/>
    <col width="22" customWidth="1" min="6" max="6"/>
  </cols>
  <sheetData>
    <row r="1">
      <c r="A1" s="6" t="inlineStr">
        <is>
          <t>Date</t>
        </is>
      </c>
      <c r="B1" s="6" t="inlineStr">
        <is>
          <t>Task</t>
        </is>
      </c>
      <c r="C1" s="6" t="inlineStr">
        <is>
          <t>Cost $</t>
        </is>
      </c>
      <c r="D1" s="6" t="inlineStr">
        <is>
          <t>Contractor</t>
        </is>
      </c>
      <c r="E1" s="6" t="inlineStr">
        <is>
          <t>Category</t>
        </is>
      </c>
      <c r="F1" s="6" t="inlineStr">
        <is>
          <t>Deductible (rental)</t>
        </is>
      </c>
    </row>
    <row r="2">
      <c r="A2" s="22" t="n">
        <v>46174</v>
      </c>
      <c r="B2" s="7" t="inlineStr">
        <is>
          <t>Kickoff meeting</t>
        </is>
      </c>
      <c r="C2" s="8" t="n">
        <v>180</v>
      </c>
      <c r="D2" s="7" t="inlineStr">
        <is>
          <t>Air Pro Services</t>
        </is>
      </c>
      <c r="E2" s="7" t="inlineStr">
        <is>
          <t>HVAC</t>
        </is>
      </c>
      <c r="F2" s="7" t="inlineStr">
        <is>
          <t>Yes</t>
        </is>
      </c>
    </row>
    <row r="3">
      <c r="A3" s="23" t="n">
        <v>46180</v>
      </c>
      <c r="B3" s="9" t="inlineStr">
        <is>
          <t>Send proposal</t>
        </is>
      </c>
      <c r="C3" s="10" t="n">
        <v>126</v>
      </c>
      <c r="D3" s="9" t="inlineStr">
        <is>
          <t>Air Pro Services</t>
        </is>
      </c>
      <c r="E3" s="9" t="inlineStr">
        <is>
          <t>Plumbing</t>
        </is>
      </c>
      <c r="F3" s="9" t="inlineStr">
        <is>
          <t>No</t>
        </is>
      </c>
    </row>
    <row r="4">
      <c r="A4" s="22" t="n">
        <v>46186</v>
      </c>
      <c r="B4" s="7" t="inlineStr">
        <is>
          <t>Review feedback</t>
        </is>
      </c>
      <c r="C4" s="8" t="n">
        <v>234</v>
      </c>
      <c r="D4" s="7" t="inlineStr"/>
      <c r="E4" s="7" t="inlineStr">
        <is>
          <t>Electrical</t>
        </is>
      </c>
      <c r="F4" s="7" t="inlineStr">
        <is>
          <t>Yes</t>
        </is>
      </c>
    </row>
    <row r="5">
      <c r="A5" s="23" t="n">
        <v>46189</v>
      </c>
      <c r="B5" s="9" t="inlineStr">
        <is>
          <t>Update website copy</t>
        </is>
      </c>
      <c r="C5" s="10" t="n">
        <v>153</v>
      </c>
      <c r="D5" s="9" t="inlineStr">
        <is>
          <t>Air Pro Services</t>
        </is>
      </c>
      <c r="E5" s="9" t="inlineStr">
        <is>
          <t>Roof</t>
        </is>
      </c>
      <c r="F5" s="9" t="inlineStr">
        <is>
          <t>No</t>
        </is>
      </c>
    </row>
    <row r="6">
      <c r="A6" s="22" t="n">
        <v>46195</v>
      </c>
      <c r="B6" s="7" t="inlineStr">
        <is>
          <t>Prepare invoice</t>
        </is>
      </c>
      <c r="C6" s="8" t="n">
        <v>207</v>
      </c>
      <c r="D6" s="7" t="inlineStr">
        <is>
          <t>Air Pro Services</t>
        </is>
      </c>
      <c r="E6" s="7" t="inlineStr">
        <is>
          <t>Yard</t>
        </is>
      </c>
      <c r="F6" s="7" t="inlineStr">
        <is>
          <t>Yes</t>
        </is>
      </c>
    </row>
    <row r="7">
      <c r="A7" s="23" t="n">
        <v>46201</v>
      </c>
      <c r="B7" s="9" t="inlineStr">
        <is>
          <t>Client call</t>
        </is>
      </c>
      <c r="C7" s="10" t="n">
        <v>108</v>
      </c>
      <c r="D7" s="9" t="inlineStr"/>
      <c r="E7" s="9" t="inlineStr">
        <is>
          <t>Other</t>
        </is>
      </c>
      <c r="F7" s="9" t="inlineStr">
        <is>
          <t>No</t>
        </is>
      </c>
    </row>
    <row r="8">
      <c r="A8" s="22" t="n">
        <v>46176</v>
      </c>
      <c r="B8" s="7" t="inlineStr">
        <is>
          <t>Design first draft</t>
        </is>
      </c>
      <c r="C8" s="8" t="n">
        <v>261</v>
      </c>
      <c r="D8" s="7" t="inlineStr">
        <is>
          <t>Air Pro Services</t>
        </is>
      </c>
      <c r="E8" s="7" t="inlineStr">
        <is>
          <t>HVAC</t>
        </is>
      </c>
      <c r="F8" s="7" t="inlineStr">
        <is>
          <t>Yes</t>
        </is>
      </c>
    </row>
    <row r="9">
      <c r="A9" s="23" t="n">
        <v>46182</v>
      </c>
      <c r="B9" s="9" t="inlineStr">
        <is>
          <t>Fix reported bug</t>
        </is>
      </c>
      <c r="C9" s="10" t="n">
        <v>171</v>
      </c>
      <c r="D9" s="9" t="inlineStr">
        <is>
          <t>Air Pro Services</t>
        </is>
      </c>
      <c r="E9" s="9" t="inlineStr">
        <is>
          <t>Plumbing</t>
        </is>
      </c>
      <c r="F9" s="9" t="inlineStr">
        <is>
          <t>No</t>
        </is>
      </c>
    </row>
    <row r="10">
      <c r="A10" s="22" t="n">
        <v>46188</v>
      </c>
      <c r="B10" s="7" t="inlineStr">
        <is>
          <t>Weekly report</t>
        </is>
      </c>
      <c r="C10" s="8" t="n">
        <v>225</v>
      </c>
      <c r="D10" s="7" t="inlineStr"/>
      <c r="E10" s="7" t="inlineStr">
        <is>
          <t>Electrical</t>
        </is>
      </c>
      <c r="F10" s="7" t="inlineStr">
        <is>
          <t>Yes</t>
        </is>
      </c>
    </row>
    <row r="11">
      <c r="A11" s="23" t="n">
        <v>46191</v>
      </c>
      <c r="B11" s="9" t="inlineStr">
        <is>
          <t>Plan next sprint</t>
        </is>
      </c>
      <c r="C11" s="10" t="n">
        <v>144</v>
      </c>
      <c r="D11" s="9" t="inlineStr">
        <is>
          <t>Air Pro Services</t>
        </is>
      </c>
      <c r="E11" s="9" t="inlineStr">
        <is>
          <t>Roof</t>
        </is>
      </c>
      <c r="F11" s="9" t="inlineStr">
        <is>
          <t>No</t>
        </is>
      </c>
    </row>
    <row r="12">
      <c r="A12" s="22" t="n">
        <v>46197</v>
      </c>
      <c r="B12" s="7" t="inlineStr">
        <is>
          <t>Publish blog post</t>
        </is>
      </c>
      <c r="C12" s="8" t="n">
        <v>198</v>
      </c>
      <c r="D12" s="7" t="inlineStr">
        <is>
          <t>Air Pro Services</t>
        </is>
      </c>
      <c r="E12" s="7" t="inlineStr">
        <is>
          <t>Yard</t>
        </is>
      </c>
      <c r="F12" s="7" t="inlineStr">
        <is>
          <t>Yes</t>
        </is>
      </c>
    </row>
    <row r="13">
      <c r="A13" s="23" t="n">
        <v>46175</v>
      </c>
      <c r="B13" s="9" t="inlineStr">
        <is>
          <t>Team sync</t>
        </is>
      </c>
      <c r="C13" s="10" t="n">
        <v>135</v>
      </c>
      <c r="D13" s="9" t="inlineStr"/>
      <c r="E13" s="9" t="inlineStr">
        <is>
          <t>Other</t>
        </is>
      </c>
      <c r="F13" s="9" t="inlineStr">
        <is>
          <t>No</t>
        </is>
      </c>
    </row>
  </sheetData>
  <dataValidations count="2">
    <dataValidation sqref="E2:E500" showDropDown="0" showInputMessage="0" showErrorMessage="0" allowBlank="1" type="list">
      <formula1>"HVAC,Plumbing,Electrical,Roof,Yard,Other"</formula1>
    </dataValidation>
    <dataValidation sqref="F2:F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14" customWidth="1" min="4" max="4"/>
    <col width="14" customWidth="1" min="5" max="5"/>
  </cols>
  <sheetData>
    <row r="1">
      <c r="A1" s="6" t="inlineStr">
        <is>
          <t>Contractor</t>
        </is>
      </c>
      <c r="B1" s="6" t="inlineStr">
        <is>
          <t>Service</t>
        </is>
      </c>
      <c r="C1" s="6" t="inlineStr">
        <is>
          <t>Phone</t>
        </is>
      </c>
      <c r="D1" s="6" t="inlineStr">
        <is>
          <t>Last Used</t>
        </is>
      </c>
      <c r="E1" s="6" t="inlineStr">
        <is>
          <t>Rating</t>
        </is>
      </c>
    </row>
    <row r="2">
      <c r="A2" s="7" t="inlineStr">
        <is>
          <t>Air Pro HVAC Services</t>
        </is>
      </c>
      <c r="B2" s="7" t="inlineStr">
        <is>
          <t>HVAC Maintenance</t>
        </is>
      </c>
      <c r="C2" s="7" t="inlineStr">
        <is>
          <t>+1 555 234 5678</t>
        </is>
      </c>
      <c r="D2" s="22" t="n">
        <v>46174</v>
      </c>
      <c r="E2" s="7" t="inlineStr">
        <is>
          <t>⭐⭐⭐⭐⭐</t>
        </is>
      </c>
    </row>
    <row r="3">
      <c r="A3" s="9" t="inlineStr">
        <is>
          <t>Air Pro HVAC Services</t>
        </is>
      </c>
      <c r="B3" s="9" t="inlineStr">
        <is>
          <t>HVAC Maintenance</t>
        </is>
      </c>
      <c r="C3" s="9" t="inlineStr">
        <is>
          <t>+1 555 234 5679</t>
        </is>
      </c>
      <c r="D3" s="23" t="n">
        <v>46180</v>
      </c>
      <c r="E3" s="9" t="inlineStr">
        <is>
          <t>⭐⭐⭐⭐</t>
        </is>
      </c>
    </row>
    <row r="4">
      <c r="A4" s="7" t="inlineStr"/>
      <c r="B4" s="7" t="inlineStr"/>
      <c r="C4" s="7" t="inlineStr">
        <is>
          <t>+1 555 234 5680</t>
        </is>
      </c>
      <c r="D4" s="22" t="n">
        <v>46186</v>
      </c>
      <c r="E4" s="7" t="inlineStr">
        <is>
          <t>⭐⭐⭐</t>
        </is>
      </c>
    </row>
    <row r="5">
      <c r="A5" s="9" t="inlineStr">
        <is>
          <t>Air Pro HVAC Services</t>
        </is>
      </c>
      <c r="B5" s="9" t="inlineStr">
        <is>
          <t>HVAC Maintenance</t>
        </is>
      </c>
      <c r="C5" s="9" t="inlineStr">
        <is>
          <t>+1 555 234 5681</t>
        </is>
      </c>
      <c r="D5" s="23" t="n">
        <v>46189</v>
      </c>
      <c r="E5" s="9" t="inlineStr">
        <is>
          <t>⭐⭐</t>
        </is>
      </c>
    </row>
    <row r="6">
      <c r="A6" s="7" t="inlineStr">
        <is>
          <t>Air Pro HVAC Services</t>
        </is>
      </c>
      <c r="B6" s="7" t="inlineStr">
        <is>
          <t>HVAC Maintenance</t>
        </is>
      </c>
      <c r="C6" s="7" t="inlineStr">
        <is>
          <t>+1 555 234 5682</t>
        </is>
      </c>
      <c r="D6" s="22" t="n">
        <v>46195</v>
      </c>
      <c r="E6" s="7" t="inlineStr">
        <is>
          <t>⭐</t>
        </is>
      </c>
    </row>
    <row r="7">
      <c r="A7" s="9" t="inlineStr"/>
      <c r="B7" s="9" t="inlineStr"/>
      <c r="C7" s="9" t="inlineStr">
        <is>
          <t>+1 555 234 5683</t>
        </is>
      </c>
      <c r="D7" s="23" t="n">
        <v>46201</v>
      </c>
      <c r="E7" s="9" t="inlineStr">
        <is>
          <t>⭐⭐⭐⭐⭐</t>
        </is>
      </c>
    </row>
    <row r="8">
      <c r="A8" s="7" t="inlineStr">
        <is>
          <t>Air Pro HVAC Services</t>
        </is>
      </c>
      <c r="B8" s="7" t="inlineStr">
        <is>
          <t>HVAC Maintenance</t>
        </is>
      </c>
      <c r="C8" s="7" t="inlineStr">
        <is>
          <t>+1 555 234 5684</t>
        </is>
      </c>
      <c r="D8" s="22" t="n">
        <v>46176</v>
      </c>
      <c r="E8" s="7" t="inlineStr">
        <is>
          <t>⭐⭐⭐⭐</t>
        </is>
      </c>
    </row>
    <row r="9">
      <c r="A9" s="9" t="inlineStr">
        <is>
          <t>Air Pro HVAC Services</t>
        </is>
      </c>
      <c r="B9" s="9" t="inlineStr">
        <is>
          <t>HVAC Maintenance</t>
        </is>
      </c>
      <c r="C9" s="9" t="inlineStr">
        <is>
          <t>+1 555 234 5685</t>
        </is>
      </c>
      <c r="D9" s="23" t="n">
        <v>46182</v>
      </c>
      <c r="E9" s="9" t="inlineStr">
        <is>
          <t>⭐⭐⭐</t>
        </is>
      </c>
    </row>
    <row r="10">
      <c r="A10" s="7" t="inlineStr"/>
      <c r="B10" s="7" t="inlineStr"/>
      <c r="C10" s="7" t="inlineStr">
        <is>
          <t>+1 555 234 5686</t>
        </is>
      </c>
      <c r="D10" s="22" t="n">
        <v>46188</v>
      </c>
      <c r="E10" s="7" t="inlineStr">
        <is>
          <t>⭐⭐</t>
        </is>
      </c>
    </row>
    <row r="11">
      <c r="A11" s="9" t="inlineStr">
        <is>
          <t>Air Pro HVAC Services</t>
        </is>
      </c>
      <c r="B11" s="9" t="inlineStr">
        <is>
          <t>HVAC Maintenance</t>
        </is>
      </c>
      <c r="C11" s="9" t="inlineStr">
        <is>
          <t>+1 555 234 5687</t>
        </is>
      </c>
      <c r="D11" s="23" t="n">
        <v>46191</v>
      </c>
      <c r="E11" s="9" t="inlineStr">
        <is>
          <t>⭐</t>
        </is>
      </c>
    </row>
    <row r="12">
      <c r="A12" s="7" t="inlineStr">
        <is>
          <t>Air Pro HVAC Services</t>
        </is>
      </c>
      <c r="B12" s="7" t="inlineStr">
        <is>
          <t>HVAC Maintenance</t>
        </is>
      </c>
      <c r="C12" s="7" t="inlineStr">
        <is>
          <t>+1 555 234 5688</t>
        </is>
      </c>
      <c r="D12" s="22" t="n">
        <v>46197</v>
      </c>
      <c r="E12" s="7" t="inlineStr">
        <is>
          <t>⭐⭐⭐⭐⭐</t>
        </is>
      </c>
    </row>
    <row r="13">
      <c r="A13" s="9" t="inlineStr"/>
      <c r="B13" s="9" t="inlineStr"/>
      <c r="C13" s="9" t="inlineStr">
        <is>
          <t>+1 555 234 5689</t>
        </is>
      </c>
      <c r="D13" s="23" t="n">
        <v>46175</v>
      </c>
      <c r="E13" s="9" t="inlineStr">
        <is>
          <t>⭐⭐⭐⭐</t>
        </is>
      </c>
    </row>
  </sheetData>
  <dataValidations count="1">
    <dataValidation sqref="E2:E500" showDropDown="0" showInputMessage="0" showErrorMessage="0" allowBlank="1" type="list">
      <formula1>"⭐⭐⭐⭐⭐,⭐⭐⭐⭐,⭐⭐⭐,⭐⭐,⭐"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4" t="inlineStr">
        <is>
          <t>📈  ANNUAL SUMMARY</t>
        </is>
      </c>
    </row>
    <row r="4">
      <c r="B4" s="3" t="inlineStr">
        <is>
          <t>Home Maintenance Summary</t>
        </is>
      </c>
    </row>
    <row r="5">
      <c r="B5" s="9" t="inlineStr">
        <is>
          <t>Annual Cost</t>
        </is>
      </c>
      <c r="C5" s="25">
        <f>SUM(Costs!C:C)</f>
        <v/>
      </c>
    </row>
    <row r="6">
      <c r="B6" s="7" t="inlineStr">
        <is>
          <t>Tasks Completed</t>
        </is>
      </c>
      <c r="C6" s="26">
        <f>COUNTIF(Schedule!E:E,"Done")</f>
        <v/>
      </c>
    </row>
    <row r="7">
      <c r="B7" s="9" t="inlineStr">
        <is>
          <t>Tasks Remaining</t>
        </is>
      </c>
      <c r="C7" s="27">
        <f>COUNTIF(Schedule!E:E,"Upcoming")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2026-07-16T21:44:38Z</dcterms:created>
  <dcterms:modified xsi:type="dcterms:W3CDTF">2026-07-16T21:44:38Z</dcterms:modified>
</cp:coreProperties>
</file>