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mpaigns" sheetId="2" state="visible" r:id="rId2"/>
    <sheet name="Dashboard" sheetId="3" state="visible" r:id="rId3"/>
    <sheet name="List Growth" sheetId="4" state="visible" r:id="rId4"/>
    <sheet name="Segments" sheetId="5" state="visible" r:id="rId5"/>
    <sheet name="Repo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0891B2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3A5F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5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5" fillId="3" borderId="1" pivotButton="0" quotePrefix="0" xfId="0"/>
    <xf numFmtId="165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📧  EMAIL MARKETING CAMPAIGN TRACKER</t>
        </is>
      </c>
    </row>
    <row r="3"/>
    <row r="4">
      <c r="B4" s="2" t="inlineStr">
        <is>
          <t>Email Campaigns, Opens &amp; Revenue Google Sheets</t>
        </is>
      </c>
    </row>
    <row r="6">
      <c r="B6" s="3" t="inlineStr">
        <is>
          <t>STEP 1 — Fill in “Campaigns”</t>
        </is>
      </c>
    </row>
    <row r="7" ht="28" customHeight="1">
      <c r="B7" s="4" t="inlineStr">
        <is>
          <t>All email campaigns with performance metrics.</t>
        </is>
      </c>
    </row>
    <row r="9">
      <c r="B9" s="3" t="inlineStr">
        <is>
          <t>STEP 2 — Fill in “List Growth”</t>
        </is>
      </c>
    </row>
    <row r="10" ht="28" customHeight="1">
      <c r="B10" s="4" t="inlineStr">
        <is>
          <t>Monthly subscriber list growth and churn.</t>
        </is>
      </c>
    </row>
    <row r="12">
      <c r="B12" s="3" t="inlineStr">
        <is>
          <t>STEP 3 — Fill in “Segments”</t>
        </is>
      </c>
    </row>
    <row r="13" ht="28" customHeight="1">
      <c r="B13" s="4" t="inlineStr">
        <is>
          <t>List segments with size, open rate, and engagement.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8" customWidth="1" min="3" max="3"/>
    <col width="14" customWidth="1" min="4" max="4"/>
    <col width="12" customWidth="1" min="5" max="5"/>
    <col width="14" customWidth="1" min="6" max="6"/>
    <col width="10" customWidth="1" min="7" max="7"/>
    <col width="16" customWidth="1" min="8" max="8"/>
    <col width="14" customWidth="1" min="9" max="9"/>
  </cols>
  <sheetData>
    <row r="1">
      <c r="A1" s="6" t="inlineStr">
        <is>
          <t>Date</t>
        </is>
      </c>
      <c r="B1" s="6" t="inlineStr">
        <is>
          <t>Subject Line</t>
        </is>
      </c>
      <c r="C1" s="6" t="inlineStr">
        <is>
          <t>Type</t>
        </is>
      </c>
      <c r="D1" s="6" t="inlineStr">
        <is>
          <t>Sent To</t>
        </is>
      </c>
      <c r="E1" s="6" t="inlineStr">
        <is>
          <t>Opens</t>
        </is>
      </c>
      <c r="F1" s="6" t="inlineStr">
        <is>
          <t>Open Rate %</t>
        </is>
      </c>
      <c r="G1" s="6" t="inlineStr">
        <is>
          <t>CTR %</t>
        </is>
      </c>
      <c r="H1" s="6" t="inlineStr">
        <is>
          <t>Unsubscribes</t>
        </is>
      </c>
      <c r="I1" s="6" t="inlineStr">
        <is>
          <t>Revenue $</t>
        </is>
      </c>
    </row>
    <row r="2">
      <c r="A2" s="7" t="n">
        <v>46174</v>
      </c>
      <c r="B2" s="8" t="inlineStr">
        <is>
          <t>The #1 mistake new investors make</t>
        </is>
      </c>
      <c r="C2" s="8" t="inlineStr">
        <is>
          <t>Newsletter</t>
        </is>
      </c>
      <c r="D2" s="8" t="n">
        <v>2450</v>
      </c>
      <c r="E2" s="8" t="n">
        <v>637</v>
      </c>
      <c r="F2" s="8">
        <f>TEXT(E2/D2,"0.0%")</f>
        <v/>
      </c>
      <c r="G2" s="8" t="n">
        <v>3.2</v>
      </c>
      <c r="H2" s="8" t="n">
        <v>4</v>
      </c>
      <c r="I2" s="9" t="n">
        <v>380</v>
      </c>
    </row>
    <row r="3">
      <c r="A3" s="10" t="n">
        <v>46180</v>
      </c>
      <c r="B3" s="11" t="inlineStr">
        <is>
          <t>The #1 mistake new investors make</t>
        </is>
      </c>
      <c r="C3" s="11" t="inlineStr">
        <is>
          <t>Promotion</t>
        </is>
      </c>
      <c r="D3" s="11" t="n">
        <v>1715</v>
      </c>
      <c r="E3" s="11" t="n">
        <v>446</v>
      </c>
      <c r="F3" s="11">
        <f>TEXT(E3/D3,"0.0%")</f>
        <v/>
      </c>
      <c r="G3" s="11" t="n">
        <v>2.24</v>
      </c>
      <c r="H3" s="11" t="n">
        <v>2.8</v>
      </c>
      <c r="I3" s="12" t="n">
        <v>266</v>
      </c>
    </row>
    <row r="4">
      <c r="A4" s="7" t="n">
        <v>46186</v>
      </c>
      <c r="B4" s="8" t="inlineStr"/>
      <c r="C4" s="8" t="inlineStr">
        <is>
          <t>Announcement</t>
        </is>
      </c>
      <c r="D4" s="8" t="n">
        <v>3185</v>
      </c>
      <c r="E4" s="8" t="n">
        <v>828</v>
      </c>
      <c r="F4" s="8">
        <f>TEXT(E4/D4,"0.0%")</f>
        <v/>
      </c>
      <c r="G4" s="8" t="n">
        <v>4.16</v>
      </c>
      <c r="H4" s="8" t="n">
        <v>5.2</v>
      </c>
      <c r="I4" s="9" t="n">
        <v>494</v>
      </c>
    </row>
    <row r="5">
      <c r="A5" s="10" t="n">
        <v>46189</v>
      </c>
      <c r="B5" s="11" t="inlineStr">
        <is>
          <t>The #1 mistake new investors make</t>
        </is>
      </c>
      <c r="C5" s="11" t="inlineStr">
        <is>
          <t>Automation</t>
        </is>
      </c>
      <c r="D5" s="11" t="n">
        <v>2082</v>
      </c>
      <c r="E5" s="11" t="n">
        <v>541</v>
      </c>
      <c r="F5" s="11">
        <f>TEXT(E5/D5,"0.0%")</f>
        <v/>
      </c>
      <c r="G5" s="11" t="n">
        <v>2.72</v>
      </c>
      <c r="H5" s="11" t="n">
        <v>3.4</v>
      </c>
      <c r="I5" s="12" t="n">
        <v>323</v>
      </c>
    </row>
    <row r="6">
      <c r="A6" s="7" t="n">
        <v>46195</v>
      </c>
      <c r="B6" s="8" t="inlineStr">
        <is>
          <t>The #1 mistake new investors make</t>
        </is>
      </c>
      <c r="C6" s="8" t="inlineStr">
        <is>
          <t>Welcome</t>
        </is>
      </c>
      <c r="D6" s="8" t="n">
        <v>2818</v>
      </c>
      <c r="E6" s="8" t="n">
        <v>733</v>
      </c>
      <c r="F6" s="8">
        <f>TEXT(E6/D6,"0.0%")</f>
        <v/>
      </c>
      <c r="G6" s="8" t="n">
        <v>3.68</v>
      </c>
      <c r="H6" s="8" t="n">
        <v>4.6</v>
      </c>
      <c r="I6" s="9" t="n">
        <v>437</v>
      </c>
    </row>
    <row r="7">
      <c r="A7" s="10" t="n">
        <v>46201</v>
      </c>
      <c r="B7" s="11" t="inlineStr"/>
      <c r="C7" s="11" t="inlineStr">
        <is>
          <t>Re-engagement</t>
        </is>
      </c>
      <c r="D7" s="11" t="n">
        <v>1470</v>
      </c>
      <c r="E7" s="11" t="n">
        <v>382</v>
      </c>
      <c r="F7" s="11">
        <f>TEXT(E7/D7,"0.0%")</f>
        <v/>
      </c>
      <c r="G7" s="11" t="n">
        <v>1.92</v>
      </c>
      <c r="H7" s="11" t="n">
        <v>2.4</v>
      </c>
      <c r="I7" s="12" t="n">
        <v>228</v>
      </c>
    </row>
    <row r="8">
      <c r="A8" s="7" t="n">
        <v>46176</v>
      </c>
      <c r="B8" s="8" t="inlineStr">
        <is>
          <t>The #1 mistake new investors make</t>
        </is>
      </c>
      <c r="C8" s="8" t="inlineStr">
        <is>
          <t>Newsletter</t>
        </is>
      </c>
      <c r="D8" s="8" t="n">
        <v>3552</v>
      </c>
      <c r="E8" s="8" t="n">
        <v>924</v>
      </c>
      <c r="F8" s="8">
        <f>TEXT(E8/D8,"0.0%")</f>
        <v/>
      </c>
      <c r="G8" s="8" t="n">
        <v>4.64</v>
      </c>
      <c r="H8" s="8" t="n">
        <v>5.8</v>
      </c>
      <c r="I8" s="9" t="n">
        <v>551</v>
      </c>
    </row>
    <row r="9">
      <c r="A9" s="10" t="n">
        <v>46182</v>
      </c>
      <c r="B9" s="11" t="inlineStr">
        <is>
          <t>The #1 mistake new investors make</t>
        </is>
      </c>
      <c r="C9" s="11" t="inlineStr">
        <is>
          <t>Promotion</t>
        </is>
      </c>
      <c r="D9" s="11" t="n">
        <v>2328</v>
      </c>
      <c r="E9" s="11" t="n">
        <v>605</v>
      </c>
      <c r="F9" s="11">
        <f>TEXT(E9/D9,"0.0%")</f>
        <v/>
      </c>
      <c r="G9" s="11" t="n">
        <v>3.04</v>
      </c>
      <c r="H9" s="11" t="n">
        <v>3.8</v>
      </c>
      <c r="I9" s="12" t="n">
        <v>361</v>
      </c>
    </row>
    <row r="10">
      <c r="A10" s="7" t="n">
        <v>46188</v>
      </c>
      <c r="B10" s="8" t="inlineStr"/>
      <c r="C10" s="8" t="inlineStr">
        <is>
          <t>Announcement</t>
        </is>
      </c>
      <c r="D10" s="8" t="n">
        <v>3062</v>
      </c>
      <c r="E10" s="8" t="n">
        <v>796</v>
      </c>
      <c r="F10" s="8">
        <f>TEXT(E10/D10,"0.0%")</f>
        <v/>
      </c>
      <c r="G10" s="8" t="n">
        <v>4</v>
      </c>
      <c r="H10" s="8" t="n">
        <v>5</v>
      </c>
      <c r="I10" s="9" t="n">
        <v>475</v>
      </c>
    </row>
    <row r="11">
      <c r="A11" s="10" t="n">
        <v>46191</v>
      </c>
      <c r="B11" s="11" t="inlineStr">
        <is>
          <t>The #1 mistake new investors make</t>
        </is>
      </c>
      <c r="C11" s="11" t="inlineStr">
        <is>
          <t>Automation</t>
        </is>
      </c>
      <c r="D11" s="11" t="n">
        <v>1960</v>
      </c>
      <c r="E11" s="11" t="n">
        <v>510</v>
      </c>
      <c r="F11" s="11">
        <f>TEXT(E11/D11,"0.0%")</f>
        <v/>
      </c>
      <c r="G11" s="11" t="n">
        <v>2.56</v>
      </c>
      <c r="H11" s="11" t="n">
        <v>3.2</v>
      </c>
      <c r="I11" s="12" t="n">
        <v>304</v>
      </c>
    </row>
    <row r="12">
      <c r="A12" s="7" t="n">
        <v>46197</v>
      </c>
      <c r="B12" s="8" t="inlineStr">
        <is>
          <t>The #1 mistake new investors make</t>
        </is>
      </c>
      <c r="C12" s="8" t="inlineStr">
        <is>
          <t>Welcome</t>
        </is>
      </c>
      <c r="D12" s="8" t="n">
        <v>2695</v>
      </c>
      <c r="E12" s="8" t="n">
        <v>701</v>
      </c>
      <c r="F12" s="8">
        <f>TEXT(E12/D12,"0.0%")</f>
        <v/>
      </c>
      <c r="G12" s="8" t="n">
        <v>3.52</v>
      </c>
      <c r="H12" s="8" t="n">
        <v>4.4</v>
      </c>
      <c r="I12" s="9" t="n">
        <v>418</v>
      </c>
    </row>
    <row r="13">
      <c r="A13" s="10" t="n">
        <v>46175</v>
      </c>
      <c r="B13" s="11" t="inlineStr"/>
      <c r="C13" s="11" t="inlineStr">
        <is>
          <t>Re-engagement</t>
        </is>
      </c>
      <c r="D13" s="11" t="n">
        <v>1838</v>
      </c>
      <c r="E13" s="11" t="n">
        <v>478</v>
      </c>
      <c r="F13" s="11">
        <f>TEXT(E13/D13,"0.0%")</f>
        <v/>
      </c>
      <c r="G13" s="11" t="n">
        <v>2.4</v>
      </c>
      <c r="H13" s="11" t="n">
        <v>3</v>
      </c>
      <c r="I13" s="12" t="n">
        <v>285</v>
      </c>
    </row>
  </sheetData>
  <dataValidations count="1">
    <dataValidation sqref="C2:C500" showDropDown="0" showInputMessage="0" showErrorMessage="0" allowBlank="1" type="list">
      <formula1>"Newsletter,Promotion,Announcement,Automation,Welcome,Re-engagement"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EMAIL MARKETING CAMPAIGN TRACKER — DASHBOARD</t>
        </is>
      </c>
    </row>
    <row r="4">
      <c r="B4" s="14" t="inlineStr">
        <is>
          <t>SUBSCRIBERS</t>
        </is>
      </c>
      <c r="D4" s="15" t="inlineStr">
        <is>
          <t>AVG OPEN RATE</t>
        </is>
      </c>
      <c r="F4" s="16" t="inlineStr">
        <is>
          <t>AVG CTR</t>
        </is>
      </c>
      <c r="H4" s="17" t="inlineStr">
        <is>
          <t>TOTAL REVENUE</t>
        </is>
      </c>
    </row>
    <row r="5" ht="26" customHeight="1">
      <c r="B5" s="18">
        <f>MAX(Campaigns!D:D)</f>
        <v/>
      </c>
      <c r="D5" s="19">
        <f>AVERAGE(Campaigns!F:F)</f>
        <v/>
      </c>
      <c r="F5" s="20">
        <f>AVERAGE(Campaigns!G:G)</f>
        <v/>
      </c>
      <c r="H5" s="21">
        <f>SUM(Campaigns!I:I)</f>
        <v/>
      </c>
    </row>
    <row r="8">
      <c r="B8" s="22" t="inlineStr">
        <is>
          <t>WHAT'S INSIDE</t>
        </is>
      </c>
    </row>
    <row r="9">
      <c r="B9" s="23" t="inlineStr">
        <is>
          <t>📤  Campaigns — All email campaigns with performance metrics.</t>
        </is>
      </c>
    </row>
    <row r="10">
      <c r="B10" s="23" t="inlineStr">
        <is>
          <t>📈  List Growth — Monthly subscriber list growth and churn.</t>
        </is>
      </c>
    </row>
    <row r="11">
      <c r="B11" s="23" t="inlineStr">
        <is>
          <t>🎯  Segments — List segments with size, open rate, and engagement.</t>
        </is>
      </c>
    </row>
    <row r="12">
      <c r="B12" s="23" t="inlineStr">
        <is>
          <t>📊  Reports — Annual email performance: revenue, engagement, and growth.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Start Size</t>
        </is>
      </c>
      <c r="C1" s="6" t="inlineStr">
        <is>
          <t>New Subs</t>
        </is>
      </c>
      <c r="D1" s="6" t="inlineStr">
        <is>
          <t>Unsubs</t>
        </is>
      </c>
      <c r="E1" s="6" t="inlineStr">
        <is>
          <t>End Size</t>
        </is>
      </c>
      <c r="F1" s="6" t="inlineStr">
        <is>
          <t>Net Growth</t>
        </is>
      </c>
    </row>
    <row r="2">
      <c r="A2" s="8" t="inlineStr">
        <is>
          <t>January 2024</t>
        </is>
      </c>
      <c r="B2" s="8" t="n">
        <v>2300</v>
      </c>
      <c r="C2" s="8" t="n">
        <v>198</v>
      </c>
      <c r="D2" s="8" t="n">
        <v>34</v>
      </c>
      <c r="E2" s="8">
        <f>C2+D2-E2</f>
        <v/>
      </c>
      <c r="F2" s="8">
        <f>D2-E2</f>
        <v/>
      </c>
    </row>
    <row r="3">
      <c r="A3" s="11" t="inlineStr">
        <is>
          <t>January 2025</t>
        </is>
      </c>
      <c r="B3" s="11" t="n">
        <v>1610</v>
      </c>
      <c r="C3" s="11" t="n">
        <v>139</v>
      </c>
      <c r="D3" s="11" t="n">
        <v>23.8</v>
      </c>
      <c r="E3" s="11">
        <f>C3+D3-E3</f>
        <v/>
      </c>
      <c r="F3" s="11">
        <f>D3-E3</f>
        <v/>
      </c>
    </row>
    <row r="4">
      <c r="A4" s="8" t="inlineStr">
        <is>
          <t>January 2026</t>
        </is>
      </c>
      <c r="B4" s="8" t="n">
        <v>2990</v>
      </c>
      <c r="C4" s="8" t="n">
        <v>257</v>
      </c>
      <c r="D4" s="8" t="n">
        <v>44.2</v>
      </c>
      <c r="E4" s="8">
        <f>C4+D4-E4</f>
        <v/>
      </c>
      <c r="F4" s="8">
        <f>D4-E4</f>
        <v/>
      </c>
    </row>
    <row r="5">
      <c r="A5" s="11" t="inlineStr">
        <is>
          <t>January 2027</t>
        </is>
      </c>
      <c r="B5" s="11" t="n">
        <v>1955</v>
      </c>
      <c r="C5" s="11" t="n">
        <v>168</v>
      </c>
      <c r="D5" s="11" t="n">
        <v>28.9</v>
      </c>
      <c r="E5" s="11">
        <f>C5+D5-E5</f>
        <v/>
      </c>
      <c r="F5" s="11">
        <f>D5-E5</f>
        <v/>
      </c>
    </row>
    <row r="6">
      <c r="A6" s="8" t="inlineStr">
        <is>
          <t>January 2028</t>
        </is>
      </c>
      <c r="B6" s="8" t="n">
        <v>2645</v>
      </c>
      <c r="C6" s="8" t="n">
        <v>228</v>
      </c>
      <c r="D6" s="8" t="n">
        <v>39.1</v>
      </c>
      <c r="E6" s="8">
        <f>C6+D6-E6</f>
        <v/>
      </c>
      <c r="F6" s="8">
        <f>D6-E6</f>
        <v/>
      </c>
    </row>
    <row r="7">
      <c r="A7" s="11" t="inlineStr">
        <is>
          <t>January 2029</t>
        </is>
      </c>
      <c r="B7" s="11" t="n">
        <v>1380</v>
      </c>
      <c r="C7" s="11" t="n">
        <v>119</v>
      </c>
      <c r="D7" s="11" t="n">
        <v>20.4</v>
      </c>
      <c r="E7" s="11">
        <f>C7+D7-E7</f>
        <v/>
      </c>
      <c r="F7" s="11">
        <f>D7-E7</f>
        <v/>
      </c>
    </row>
    <row r="8">
      <c r="A8" s="8" t="inlineStr">
        <is>
          <t>January 2030</t>
        </is>
      </c>
      <c r="B8" s="8" t="n">
        <v>3335</v>
      </c>
      <c r="C8" s="8" t="n">
        <v>287</v>
      </c>
      <c r="D8" s="8" t="n">
        <v>49.3</v>
      </c>
      <c r="E8" s="8">
        <f>C8+D8-E8</f>
        <v/>
      </c>
      <c r="F8" s="8">
        <f>D8-E8</f>
        <v/>
      </c>
    </row>
    <row r="9">
      <c r="A9" s="11" t="inlineStr">
        <is>
          <t>January 2031</t>
        </is>
      </c>
      <c r="B9" s="11" t="n">
        <v>2185</v>
      </c>
      <c r="C9" s="11" t="n">
        <v>188</v>
      </c>
      <c r="D9" s="11" t="n">
        <v>32.3</v>
      </c>
      <c r="E9" s="11">
        <f>C9+D9-E9</f>
        <v/>
      </c>
      <c r="F9" s="11">
        <f>D9-E9</f>
        <v/>
      </c>
    </row>
    <row r="10">
      <c r="A10" s="8" t="inlineStr">
        <is>
          <t>January 2032</t>
        </is>
      </c>
      <c r="B10" s="8" t="n">
        <v>2875</v>
      </c>
      <c r="C10" s="8" t="n">
        <v>248</v>
      </c>
      <c r="D10" s="8" t="n">
        <v>42.5</v>
      </c>
      <c r="E10" s="8">
        <f>C10+D10-E10</f>
        <v/>
      </c>
      <c r="F10" s="8">
        <f>D10-E10</f>
        <v/>
      </c>
    </row>
    <row r="11">
      <c r="A11" s="11" t="inlineStr">
        <is>
          <t>January 2033</t>
        </is>
      </c>
      <c r="B11" s="11" t="n">
        <v>1840</v>
      </c>
      <c r="C11" s="11" t="n">
        <v>158</v>
      </c>
      <c r="D11" s="11" t="n">
        <v>27.2</v>
      </c>
      <c r="E11" s="11">
        <f>C11+D11-E11</f>
        <v/>
      </c>
      <c r="F11" s="11">
        <f>D11-E11</f>
        <v/>
      </c>
    </row>
    <row r="12">
      <c r="A12" s="8" t="inlineStr">
        <is>
          <t>January 2034</t>
        </is>
      </c>
      <c r="B12" s="8" t="n">
        <v>2530</v>
      </c>
      <c r="C12" s="8" t="n">
        <v>218</v>
      </c>
      <c r="D12" s="8" t="n">
        <v>37.4</v>
      </c>
      <c r="E12" s="8">
        <f>C12+D12-E12</f>
        <v/>
      </c>
      <c r="F12" s="8">
        <f>D12-E12</f>
        <v/>
      </c>
    </row>
    <row r="13">
      <c r="A13" s="11" t="inlineStr">
        <is>
          <t>January 2035</t>
        </is>
      </c>
      <c r="B13" s="11" t="n">
        <v>1725</v>
      </c>
      <c r="C13" s="11" t="n">
        <v>148</v>
      </c>
      <c r="D13" s="11" t="n">
        <v>25.5</v>
      </c>
      <c r="E13" s="11">
        <f>C13+D13-E13</f>
        <v/>
      </c>
      <c r="F13" s="11">
        <f>D13-E13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28" customWidth="1" min="4" max="4"/>
  </cols>
  <sheetData>
    <row r="1">
      <c r="A1" s="6" t="inlineStr">
        <is>
          <t>Segment</t>
        </is>
      </c>
      <c r="B1" s="6" t="inlineStr">
        <is>
          <t>Size</t>
        </is>
      </c>
      <c r="C1" s="6" t="inlineStr">
        <is>
          <t>Avg Open %</t>
        </is>
      </c>
      <c r="D1" s="6" t="inlineStr">
        <is>
          <t>Best Campaign</t>
        </is>
      </c>
    </row>
    <row r="2">
      <c r="A2" s="8" t="inlineStr">
        <is>
          <t>Buyers - Last 90 Days</t>
        </is>
      </c>
      <c r="B2" s="8" t="n">
        <v>340</v>
      </c>
      <c r="C2" s="8" t="n">
        <v>42</v>
      </c>
      <c r="D2" s="8" t="inlineStr">
        <is>
          <t>Product Launch Email</t>
        </is>
      </c>
    </row>
    <row r="3">
      <c r="A3" s="11" t="inlineStr">
        <is>
          <t>Buyers - Last 90 Days</t>
        </is>
      </c>
      <c r="B3" s="11" t="n">
        <v>238</v>
      </c>
      <c r="C3" s="11" t="n">
        <v>29.4</v>
      </c>
      <c r="D3" s="11" t="inlineStr">
        <is>
          <t>Product Launch Email</t>
        </is>
      </c>
    </row>
    <row r="4">
      <c r="A4" s="8" t="inlineStr"/>
      <c r="B4" s="8" t="n">
        <v>442</v>
      </c>
      <c r="C4" s="8" t="n">
        <v>54.6</v>
      </c>
      <c r="D4" s="8" t="inlineStr"/>
    </row>
    <row r="5">
      <c r="A5" s="11" t="inlineStr">
        <is>
          <t>Buyers - Last 90 Days</t>
        </is>
      </c>
      <c r="B5" s="11" t="n">
        <v>289</v>
      </c>
      <c r="C5" s="11" t="n">
        <v>35.7</v>
      </c>
      <c r="D5" s="11" t="inlineStr">
        <is>
          <t>Product Launch Email</t>
        </is>
      </c>
    </row>
    <row r="6">
      <c r="A6" s="8" t="inlineStr">
        <is>
          <t>Buyers - Last 90 Days</t>
        </is>
      </c>
      <c r="B6" s="8" t="n">
        <v>391</v>
      </c>
      <c r="C6" s="8" t="n">
        <v>48.3</v>
      </c>
      <c r="D6" s="8" t="inlineStr">
        <is>
          <t>Product Launch Email</t>
        </is>
      </c>
    </row>
    <row r="7">
      <c r="A7" s="11" t="inlineStr"/>
      <c r="B7" s="11" t="n">
        <v>204</v>
      </c>
      <c r="C7" s="11" t="n">
        <v>25.2</v>
      </c>
      <c r="D7" s="11" t="inlineStr"/>
    </row>
    <row r="8">
      <c r="A8" s="8" t="inlineStr">
        <is>
          <t>Buyers - Last 90 Days</t>
        </is>
      </c>
      <c r="B8" s="8" t="n">
        <v>493</v>
      </c>
      <c r="C8" s="8" t="n">
        <v>60.9</v>
      </c>
      <c r="D8" s="8" t="inlineStr">
        <is>
          <t>Product Launch Email</t>
        </is>
      </c>
    </row>
    <row r="9">
      <c r="A9" s="11" t="inlineStr">
        <is>
          <t>Buyers - Last 90 Days</t>
        </is>
      </c>
      <c r="B9" s="11" t="n">
        <v>323</v>
      </c>
      <c r="C9" s="11" t="n">
        <v>39.9</v>
      </c>
      <c r="D9" s="11" t="inlineStr">
        <is>
          <t>Product Launch Email</t>
        </is>
      </c>
    </row>
    <row r="10">
      <c r="A10" s="8" t="inlineStr"/>
      <c r="B10" s="8" t="n">
        <v>425</v>
      </c>
      <c r="C10" s="8" t="n">
        <v>52.5</v>
      </c>
      <c r="D10" s="8" t="inlineStr"/>
    </row>
    <row r="11">
      <c r="A11" s="11" t="inlineStr">
        <is>
          <t>Buyers - Last 90 Days</t>
        </is>
      </c>
      <c r="B11" s="11" t="n">
        <v>272</v>
      </c>
      <c r="C11" s="11" t="n">
        <v>33.6</v>
      </c>
      <c r="D11" s="11" t="inlineStr">
        <is>
          <t>Product Launch Email</t>
        </is>
      </c>
    </row>
    <row r="12">
      <c r="A12" s="8" t="inlineStr">
        <is>
          <t>Buyers - Last 90 Days</t>
        </is>
      </c>
      <c r="B12" s="8" t="n">
        <v>374</v>
      </c>
      <c r="C12" s="8" t="n">
        <v>46.2</v>
      </c>
      <c r="D12" s="8" t="inlineStr">
        <is>
          <t>Product Launch Email</t>
        </is>
      </c>
    </row>
    <row r="13">
      <c r="A13" s="11" t="inlineStr"/>
      <c r="B13" s="11" t="n">
        <v>255</v>
      </c>
      <c r="C13" s="11" t="n">
        <v>31.5</v>
      </c>
      <c r="D13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REPORTS</t>
        </is>
      </c>
    </row>
    <row r="4">
      <c r="B4" s="3" t="inlineStr">
        <is>
          <t>Email Marketing Summary</t>
        </is>
      </c>
    </row>
    <row r="5">
      <c r="B5" s="11" t="inlineStr">
        <is>
          <t>Emails Sent</t>
        </is>
      </c>
      <c r="C5" s="25">
        <f>COUNTA(Campaigns!A:A)-1</f>
        <v/>
      </c>
    </row>
    <row r="6">
      <c r="B6" s="8" t="inlineStr">
        <is>
          <t>Avg Open Rate</t>
        </is>
      </c>
      <c r="C6" s="26">
        <f>AVERAGE(Campaigns!F:F)</f>
        <v/>
      </c>
    </row>
    <row r="7">
      <c r="B7" s="11" t="inlineStr">
        <is>
          <t>Total Revenue</t>
        </is>
      </c>
      <c r="C7" s="27">
        <f>SUM(Campaigns!I:I)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