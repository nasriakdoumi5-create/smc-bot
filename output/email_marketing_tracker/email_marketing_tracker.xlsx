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mpaigns" sheetId="2" state="visible" r:id="rId2"/>
    <sheet name="List Growth" sheetId="3" state="visible" r:id="rId3"/>
    <sheet name="Segment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Email Marketing Campaign Tracker</t>
        </is>
      </c>
    </row>
    <row r="3">
      <c r="A3" s="2" t="inlineStr">
        <is>
          <t>Subscribers</t>
        </is>
      </c>
      <c r="B3" s="2" t="inlineStr">
        <is>
          <t>Avg Open Rate</t>
        </is>
      </c>
      <c r="C3" s="2" t="inlineStr">
        <is>
          <t>Avg CTR</t>
        </is>
      </c>
      <c r="D3" s="2" t="inlineStr">
        <is>
          <t>Total Revenue</t>
        </is>
      </c>
    </row>
    <row r="4" ht="36" customHeight="1">
      <c r="A4" s="3">
        <f>MAX(Campaigns!D:D)</f>
        <v/>
      </c>
      <c r="B4" s="3">
        <f>AVERAGE(Campaigns!F:F)</f>
        <v/>
      </c>
      <c r="C4" s="3">
        <f>AVERAGE(Campaigns!G:G)</f>
        <v/>
      </c>
      <c r="D4" s="3">
        <f>SUM(Campaigns!I:I)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4" customWidth="1" min="4" max="4"/>
    <col width="12" customWidth="1" min="5" max="5"/>
    <col width="14" customWidth="1" min="6" max="6"/>
    <col width="10" customWidth="1" min="7" max="7"/>
    <col width="16" customWidth="1" min="8" max="8"/>
    <col width="14" customWidth="1" min="9" max="9"/>
  </cols>
  <sheetData>
    <row r="1">
      <c r="A1" s="4" t="inlineStr">
        <is>
          <t>Date</t>
        </is>
      </c>
      <c r="B1" s="4" t="inlineStr">
        <is>
          <t>Subject Line</t>
        </is>
      </c>
      <c r="C1" s="4" t="inlineStr">
        <is>
          <t>Type</t>
        </is>
      </c>
      <c r="D1" s="4" t="inlineStr">
        <is>
          <t>Sent To</t>
        </is>
      </c>
      <c r="E1" s="4" t="inlineStr">
        <is>
          <t>Opens</t>
        </is>
      </c>
      <c r="F1" s="4" t="inlineStr">
        <is>
          <t>Open Rate %</t>
        </is>
      </c>
      <c r="G1" s="4" t="inlineStr">
        <is>
          <t>CTR %</t>
        </is>
      </c>
      <c r="H1" s="4" t="inlineStr">
        <is>
          <t>Unsubscribes</t>
        </is>
      </c>
      <c r="I1" s="4" t="inlineStr">
        <is>
          <t>Revenue $</t>
        </is>
      </c>
    </row>
    <row r="2" ht="22" customHeight="1">
      <c r="A2" s="5" t="inlineStr">
        <is>
          <t>2024-01-15</t>
        </is>
      </c>
      <c r="B2" s="5" t="inlineStr">
        <is>
          <t>The #1 mistake new investors make</t>
        </is>
      </c>
      <c r="C2" s="5" t="inlineStr"/>
      <c r="D2" s="5" t="inlineStr">
        <is>
          <t>2450</t>
        </is>
      </c>
      <c r="E2" s="5" t="inlineStr">
        <is>
          <t>637</t>
        </is>
      </c>
      <c r="F2" s="6">
        <f>TEXT(E2/D2,"0.0%")</f>
        <v/>
      </c>
      <c r="G2" s="5" t="inlineStr">
        <is>
          <t>3.2</t>
        </is>
      </c>
      <c r="H2" s="5" t="inlineStr">
        <is>
          <t>4</t>
        </is>
      </c>
      <c r="I2" s="5" t="inlineStr">
        <is>
          <t>380</t>
        </is>
      </c>
    </row>
    <row r="3" ht="22" customHeight="1">
      <c r="A3" s="5" t="inlineStr">
        <is>
          <t>2024-01-15</t>
        </is>
      </c>
      <c r="B3" s="5" t="inlineStr">
        <is>
          <t>The #1 mistake new investors make</t>
        </is>
      </c>
      <c r="C3" s="5" t="inlineStr"/>
      <c r="D3" s="5" t="inlineStr">
        <is>
          <t>2450</t>
        </is>
      </c>
      <c r="E3" s="5" t="inlineStr">
        <is>
          <t>637</t>
        </is>
      </c>
      <c r="F3" s="6">
        <f>TEXT(E3/D3,"0.0%")</f>
        <v/>
      </c>
      <c r="G3" s="5" t="inlineStr">
        <is>
          <t>3.2</t>
        </is>
      </c>
      <c r="H3" s="5" t="inlineStr">
        <is>
          <t>4</t>
        </is>
      </c>
      <c r="I3" s="5" t="inlineStr">
        <is>
          <t>380</t>
        </is>
      </c>
    </row>
    <row r="4" ht="22" customHeight="1">
      <c r="A4" s="5" t="inlineStr">
        <is>
          <t>2024-01-15</t>
        </is>
      </c>
      <c r="B4" s="5" t="inlineStr">
        <is>
          <t>The #1 mistake new investors make</t>
        </is>
      </c>
      <c r="C4" s="5" t="inlineStr"/>
      <c r="D4" s="5" t="inlineStr">
        <is>
          <t>2450</t>
        </is>
      </c>
      <c r="E4" s="5" t="inlineStr">
        <is>
          <t>637</t>
        </is>
      </c>
      <c r="F4" s="6">
        <f>TEXT(E4/D4,"0.0%")</f>
        <v/>
      </c>
      <c r="G4" s="5" t="inlineStr">
        <is>
          <t>3.2</t>
        </is>
      </c>
      <c r="H4" s="5" t="inlineStr">
        <is>
          <t>4</t>
        </is>
      </c>
      <c r="I4" s="5" t="inlineStr">
        <is>
          <t>380</t>
        </is>
      </c>
    </row>
    <row r="5" ht="22" customHeight="1">
      <c r="A5" s="5" t="inlineStr">
        <is>
          <t>2024-01-15</t>
        </is>
      </c>
      <c r="B5" s="5" t="inlineStr">
        <is>
          <t>The #1 mistake new investors make</t>
        </is>
      </c>
      <c r="C5" s="5" t="inlineStr"/>
      <c r="D5" s="5" t="inlineStr">
        <is>
          <t>2450</t>
        </is>
      </c>
      <c r="E5" s="5" t="inlineStr">
        <is>
          <t>637</t>
        </is>
      </c>
      <c r="F5" s="6">
        <f>TEXT(E5/D5,"0.0%")</f>
        <v/>
      </c>
      <c r="G5" s="5" t="inlineStr">
        <is>
          <t>3.2</t>
        </is>
      </c>
      <c r="H5" s="5" t="inlineStr">
        <is>
          <t>4</t>
        </is>
      </c>
      <c r="I5" s="5" t="inlineStr">
        <is>
          <t>380</t>
        </is>
      </c>
    </row>
    <row r="6" ht="22" customHeight="1">
      <c r="A6" s="5" t="inlineStr">
        <is>
          <t>2024-01-15</t>
        </is>
      </c>
      <c r="B6" s="5" t="inlineStr">
        <is>
          <t>The #1 mistake new investors make</t>
        </is>
      </c>
      <c r="C6" s="5" t="inlineStr"/>
      <c r="D6" s="5" t="inlineStr">
        <is>
          <t>2450</t>
        </is>
      </c>
      <c r="E6" s="5" t="inlineStr">
        <is>
          <t>637</t>
        </is>
      </c>
      <c r="F6" s="6">
        <f>TEXT(E6/D6,"0.0%")</f>
        <v/>
      </c>
      <c r="G6" s="5" t="inlineStr">
        <is>
          <t>3.2</t>
        </is>
      </c>
      <c r="H6" s="5" t="inlineStr">
        <is>
          <t>4</t>
        </is>
      </c>
      <c r="I6" s="5" t="inlineStr">
        <is>
          <t>380</t>
        </is>
      </c>
    </row>
    <row r="7" ht="22" customHeight="1">
      <c r="A7" s="5" t="inlineStr">
        <is>
          <t>2024-01-15</t>
        </is>
      </c>
      <c r="B7" s="5" t="inlineStr">
        <is>
          <t>The #1 mistake new investors make</t>
        </is>
      </c>
      <c r="C7" s="5" t="inlineStr"/>
      <c r="D7" s="5" t="inlineStr">
        <is>
          <t>2450</t>
        </is>
      </c>
      <c r="E7" s="5" t="inlineStr">
        <is>
          <t>637</t>
        </is>
      </c>
      <c r="F7" s="6">
        <f>TEXT(E7/D7,"0.0%")</f>
        <v/>
      </c>
      <c r="G7" s="5" t="inlineStr">
        <is>
          <t>3.2</t>
        </is>
      </c>
      <c r="H7" s="5" t="inlineStr">
        <is>
          <t>4</t>
        </is>
      </c>
      <c r="I7" s="5" t="inlineStr">
        <is>
          <t>380</t>
        </is>
      </c>
    </row>
    <row r="8" ht="22" customHeight="1">
      <c r="A8" s="5" t="inlineStr">
        <is>
          <t>2024-01-15</t>
        </is>
      </c>
      <c r="B8" s="5" t="inlineStr">
        <is>
          <t>The #1 mistake new investors make</t>
        </is>
      </c>
      <c r="C8" s="5" t="inlineStr"/>
      <c r="D8" s="5" t="inlineStr">
        <is>
          <t>2450</t>
        </is>
      </c>
      <c r="E8" s="5" t="inlineStr">
        <is>
          <t>637</t>
        </is>
      </c>
      <c r="F8" s="6">
        <f>TEXT(E8/D8,"0.0%")</f>
        <v/>
      </c>
      <c r="G8" s="5" t="inlineStr">
        <is>
          <t>3.2</t>
        </is>
      </c>
      <c r="H8" s="5" t="inlineStr">
        <is>
          <t>4</t>
        </is>
      </c>
      <c r="I8" s="5" t="inlineStr">
        <is>
          <t>380</t>
        </is>
      </c>
    </row>
    <row r="9" ht="22" customHeight="1">
      <c r="A9" s="5" t="inlineStr">
        <is>
          <t>2024-01-15</t>
        </is>
      </c>
      <c r="B9" s="5" t="inlineStr">
        <is>
          <t>The #1 mistake new investors make</t>
        </is>
      </c>
      <c r="C9" s="5" t="inlineStr"/>
      <c r="D9" s="5" t="inlineStr">
        <is>
          <t>2450</t>
        </is>
      </c>
      <c r="E9" s="5" t="inlineStr">
        <is>
          <t>637</t>
        </is>
      </c>
      <c r="F9" s="6">
        <f>TEXT(E9/D9,"0.0%")</f>
        <v/>
      </c>
      <c r="G9" s="5" t="inlineStr">
        <is>
          <t>3.2</t>
        </is>
      </c>
      <c r="H9" s="5" t="inlineStr">
        <is>
          <t>4</t>
        </is>
      </c>
      <c r="I9" s="5" t="inlineStr">
        <is>
          <t>380</t>
        </is>
      </c>
    </row>
    <row r="10" ht="22" customHeight="1">
      <c r="A10" s="5" t="inlineStr">
        <is>
          <t>2024-01-15</t>
        </is>
      </c>
      <c r="B10" s="5" t="inlineStr">
        <is>
          <t>The #1 mistake new investors make</t>
        </is>
      </c>
      <c r="C10" s="5" t="inlineStr"/>
      <c r="D10" s="5" t="inlineStr">
        <is>
          <t>2450</t>
        </is>
      </c>
      <c r="E10" s="5" t="inlineStr">
        <is>
          <t>637</t>
        </is>
      </c>
      <c r="F10" s="6">
        <f>TEXT(E10/D10,"0.0%")</f>
        <v/>
      </c>
      <c r="G10" s="5" t="inlineStr">
        <is>
          <t>3.2</t>
        </is>
      </c>
      <c r="H10" s="5" t="inlineStr">
        <is>
          <t>4</t>
        </is>
      </c>
      <c r="I10" s="5" t="inlineStr">
        <is>
          <t>380</t>
        </is>
      </c>
    </row>
    <row r="11" ht="22" customHeight="1">
      <c r="A11" s="5" t="inlineStr">
        <is>
          <t>2024-01-15</t>
        </is>
      </c>
      <c r="B11" s="5" t="inlineStr">
        <is>
          <t>The #1 mistake new investors make</t>
        </is>
      </c>
      <c r="C11" s="5" t="inlineStr"/>
      <c r="D11" s="5" t="inlineStr">
        <is>
          <t>2450</t>
        </is>
      </c>
      <c r="E11" s="5" t="inlineStr">
        <is>
          <t>637</t>
        </is>
      </c>
      <c r="F11" s="6">
        <f>TEXT(E11/D11,"0.0%")</f>
        <v/>
      </c>
      <c r="G11" s="5" t="inlineStr">
        <is>
          <t>3.2</t>
        </is>
      </c>
      <c r="H11" s="5" t="inlineStr">
        <is>
          <t>4</t>
        </is>
      </c>
      <c r="I11" s="5" t="inlineStr">
        <is>
          <t>380</t>
        </is>
      </c>
    </row>
    <row r="12" ht="22" customHeight="1">
      <c r="A12" s="5" t="inlineStr">
        <is>
          <t>2024-01-15</t>
        </is>
      </c>
      <c r="B12" s="5" t="inlineStr">
        <is>
          <t>The #1 mistake new investors make</t>
        </is>
      </c>
      <c r="C12" s="5" t="inlineStr"/>
      <c r="D12" s="5" t="inlineStr">
        <is>
          <t>2450</t>
        </is>
      </c>
      <c r="E12" s="5" t="inlineStr">
        <is>
          <t>637</t>
        </is>
      </c>
      <c r="F12" s="6">
        <f>TEXT(E12/D12,"0.0%")</f>
        <v/>
      </c>
      <c r="G12" s="5" t="inlineStr">
        <is>
          <t>3.2</t>
        </is>
      </c>
      <c r="H12" s="5" t="inlineStr">
        <is>
          <t>4</t>
        </is>
      </c>
      <c r="I12" s="5" t="inlineStr">
        <is>
          <t>380</t>
        </is>
      </c>
    </row>
    <row r="13" ht="22" customHeight="1">
      <c r="A13" s="5" t="inlineStr">
        <is>
          <t>2024-01-15</t>
        </is>
      </c>
      <c r="B13" s="5" t="inlineStr">
        <is>
          <t>The #1 mistake new investors make</t>
        </is>
      </c>
      <c r="C13" s="5" t="inlineStr"/>
      <c r="D13" s="5" t="inlineStr">
        <is>
          <t>2450</t>
        </is>
      </c>
      <c r="E13" s="5" t="inlineStr">
        <is>
          <t>637</t>
        </is>
      </c>
      <c r="F13" s="6">
        <f>TEXT(E13/D13,"0.0%")</f>
        <v/>
      </c>
      <c r="G13" s="5" t="inlineStr">
        <is>
          <t>3.2</t>
        </is>
      </c>
      <c r="H13" s="5" t="inlineStr">
        <is>
          <t>4</t>
        </is>
      </c>
      <c r="I13" s="5" t="inlineStr">
        <is>
          <t>380</t>
        </is>
      </c>
    </row>
    <row r="14" ht="22" customHeight="1">
      <c r="A14" s="5" t="inlineStr">
        <is>
          <t>2024-01-15</t>
        </is>
      </c>
      <c r="B14" s="5" t="inlineStr">
        <is>
          <t>The #1 mistake new investors make</t>
        </is>
      </c>
      <c r="C14" s="5" t="inlineStr"/>
      <c r="D14" s="5" t="inlineStr">
        <is>
          <t>2450</t>
        </is>
      </c>
      <c r="E14" s="5" t="inlineStr">
        <is>
          <t>637</t>
        </is>
      </c>
      <c r="F14" s="6">
        <f>TEXT(E14/D14,"0.0%")</f>
        <v/>
      </c>
      <c r="G14" s="5" t="inlineStr">
        <is>
          <t>3.2</t>
        </is>
      </c>
      <c r="H14" s="5" t="inlineStr">
        <is>
          <t>4</t>
        </is>
      </c>
      <c r="I14" s="5" t="inlineStr">
        <is>
          <t>380</t>
        </is>
      </c>
    </row>
    <row r="15" ht="22" customHeight="1">
      <c r="A15" s="5" t="inlineStr">
        <is>
          <t>2024-01-15</t>
        </is>
      </c>
      <c r="B15" s="5" t="inlineStr">
        <is>
          <t>The #1 mistake new investors make</t>
        </is>
      </c>
      <c r="C15" s="5" t="inlineStr"/>
      <c r="D15" s="5" t="inlineStr">
        <is>
          <t>2450</t>
        </is>
      </c>
      <c r="E15" s="5" t="inlineStr">
        <is>
          <t>637</t>
        </is>
      </c>
      <c r="F15" s="6">
        <f>TEXT(E15/D15,"0.0%")</f>
        <v/>
      </c>
      <c r="G15" s="5" t="inlineStr">
        <is>
          <t>3.2</t>
        </is>
      </c>
      <c r="H15" s="5" t="inlineStr">
        <is>
          <t>4</t>
        </is>
      </c>
      <c r="I15" s="5" t="inlineStr">
        <is>
          <t>380</t>
        </is>
      </c>
    </row>
    <row r="16" ht="22" customHeight="1">
      <c r="A16" s="5" t="inlineStr">
        <is>
          <t>2024-01-15</t>
        </is>
      </c>
      <c r="B16" s="5" t="inlineStr">
        <is>
          <t>The #1 mistake new investors make</t>
        </is>
      </c>
      <c r="C16" s="5" t="inlineStr"/>
      <c r="D16" s="5" t="inlineStr">
        <is>
          <t>2450</t>
        </is>
      </c>
      <c r="E16" s="5" t="inlineStr">
        <is>
          <t>637</t>
        </is>
      </c>
      <c r="F16" s="6">
        <f>TEXT(E16/D16,"0.0%")</f>
        <v/>
      </c>
      <c r="G16" s="5" t="inlineStr">
        <is>
          <t>3.2</t>
        </is>
      </c>
      <c r="H16" s="5" t="inlineStr">
        <is>
          <t>4</t>
        </is>
      </c>
      <c r="I16" s="5" t="inlineStr">
        <is>
          <t>380</t>
        </is>
      </c>
    </row>
    <row r="17" ht="22" customHeight="1">
      <c r="A17" s="5" t="inlineStr">
        <is>
          <t>2024-01-15</t>
        </is>
      </c>
      <c r="B17" s="5" t="inlineStr">
        <is>
          <t>The #1 mistake new investors make</t>
        </is>
      </c>
      <c r="C17" s="5" t="inlineStr"/>
      <c r="D17" s="5" t="inlineStr">
        <is>
          <t>2450</t>
        </is>
      </c>
      <c r="E17" s="5" t="inlineStr">
        <is>
          <t>637</t>
        </is>
      </c>
      <c r="F17" s="6">
        <f>TEXT(E17/D17,"0.0%")</f>
        <v/>
      </c>
      <c r="G17" s="5" t="inlineStr">
        <is>
          <t>3.2</t>
        </is>
      </c>
      <c r="H17" s="5" t="inlineStr">
        <is>
          <t>4</t>
        </is>
      </c>
      <c r="I17" s="5" t="inlineStr">
        <is>
          <t>380</t>
        </is>
      </c>
    </row>
    <row r="18" ht="22" customHeight="1">
      <c r="A18" s="5" t="inlineStr">
        <is>
          <t>2024-01-15</t>
        </is>
      </c>
      <c r="B18" s="5" t="inlineStr">
        <is>
          <t>The #1 mistake new investors make</t>
        </is>
      </c>
      <c r="C18" s="5" t="inlineStr"/>
      <c r="D18" s="5" t="inlineStr">
        <is>
          <t>2450</t>
        </is>
      </c>
      <c r="E18" s="5" t="inlineStr">
        <is>
          <t>637</t>
        </is>
      </c>
      <c r="F18" s="6">
        <f>TEXT(E18/D18,"0.0%")</f>
        <v/>
      </c>
      <c r="G18" s="5" t="inlineStr">
        <is>
          <t>3.2</t>
        </is>
      </c>
      <c r="H18" s="5" t="inlineStr">
        <is>
          <t>4</t>
        </is>
      </c>
      <c r="I18" s="5" t="inlineStr">
        <is>
          <t>380</t>
        </is>
      </c>
    </row>
    <row r="19" ht="22" customHeight="1">
      <c r="A19" s="5" t="inlineStr">
        <is>
          <t>2024-01-15</t>
        </is>
      </c>
      <c r="B19" s="5" t="inlineStr">
        <is>
          <t>The #1 mistake new investors make</t>
        </is>
      </c>
      <c r="C19" s="5" t="inlineStr"/>
      <c r="D19" s="5" t="inlineStr">
        <is>
          <t>2450</t>
        </is>
      </c>
      <c r="E19" s="5" t="inlineStr">
        <is>
          <t>637</t>
        </is>
      </c>
      <c r="F19" s="6">
        <f>TEXT(E19/D19,"0.0%")</f>
        <v/>
      </c>
      <c r="G19" s="5" t="inlineStr">
        <is>
          <t>3.2</t>
        </is>
      </c>
      <c r="H19" s="5" t="inlineStr">
        <is>
          <t>4</t>
        </is>
      </c>
      <c r="I19" s="5" t="inlineStr">
        <is>
          <t>380</t>
        </is>
      </c>
    </row>
    <row r="20" ht="22" customHeight="1">
      <c r="A20" s="5" t="inlineStr">
        <is>
          <t>2024-01-15</t>
        </is>
      </c>
      <c r="B20" s="5" t="inlineStr">
        <is>
          <t>The #1 mistake new investors make</t>
        </is>
      </c>
      <c r="C20" s="5" t="inlineStr"/>
      <c r="D20" s="5" t="inlineStr">
        <is>
          <t>2450</t>
        </is>
      </c>
      <c r="E20" s="5" t="inlineStr">
        <is>
          <t>637</t>
        </is>
      </c>
      <c r="F20" s="6">
        <f>TEXT(E20/D20,"0.0%")</f>
        <v/>
      </c>
      <c r="G20" s="5" t="inlineStr">
        <is>
          <t>3.2</t>
        </is>
      </c>
      <c r="H20" s="5" t="inlineStr">
        <is>
          <t>4</t>
        </is>
      </c>
      <c r="I20" s="5" t="inlineStr">
        <is>
          <t>380</t>
        </is>
      </c>
    </row>
    <row r="21" ht="22" customHeight="1">
      <c r="A21" s="5" t="inlineStr">
        <is>
          <t>2024-01-15</t>
        </is>
      </c>
      <c r="B21" s="5" t="inlineStr">
        <is>
          <t>The #1 mistake new investors make</t>
        </is>
      </c>
      <c r="C21" s="5" t="inlineStr"/>
      <c r="D21" s="5" t="inlineStr">
        <is>
          <t>2450</t>
        </is>
      </c>
      <c r="E21" s="5" t="inlineStr">
        <is>
          <t>637</t>
        </is>
      </c>
      <c r="F21" s="6">
        <f>TEXT(E21/D21,"0.0%")</f>
        <v/>
      </c>
      <c r="G21" s="5" t="inlineStr">
        <is>
          <t>3.2</t>
        </is>
      </c>
      <c r="H21" s="5" t="inlineStr">
        <is>
          <t>4</t>
        </is>
      </c>
      <c r="I21" s="5" t="inlineStr">
        <is>
          <t>380</t>
        </is>
      </c>
    </row>
  </sheetData>
  <dataValidations count="1">
    <dataValidation sqref="C2 C3 C4 C5 C6 C7 C8 C9 C10 C11 C12 C13 C14 C15 C16 C17 C18 C19 C20 C21" showDropDown="0" showInputMessage="0" showErrorMessage="0" allowBlank="1" type="list">
      <formula1>"Newsletter","Promotion","Announcement","Automation","Welcome","Re-engagement"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4" t="inlineStr">
        <is>
          <t>Month</t>
        </is>
      </c>
      <c r="B1" s="4" t="inlineStr">
        <is>
          <t>Start Size</t>
        </is>
      </c>
      <c r="C1" s="4" t="inlineStr">
        <is>
          <t>New Subs</t>
        </is>
      </c>
      <c r="D1" s="4" t="inlineStr">
        <is>
          <t>Unsubs</t>
        </is>
      </c>
      <c r="E1" s="4" t="inlineStr">
        <is>
          <t>End Size</t>
        </is>
      </c>
      <c r="F1" s="4" t="inlineStr">
        <is>
          <t>Net Growth</t>
        </is>
      </c>
    </row>
    <row r="2" ht="22" customHeight="1">
      <c r="A2" s="5" t="inlineStr">
        <is>
          <t>January 2024</t>
        </is>
      </c>
      <c r="B2" s="5" t="inlineStr">
        <is>
          <t>2300</t>
        </is>
      </c>
      <c r="C2" s="5" t="inlineStr">
        <is>
          <t>198</t>
        </is>
      </c>
      <c r="D2" s="5" t="inlineStr">
        <is>
          <t>34</t>
        </is>
      </c>
      <c r="E2" s="6">
        <f>C2+D2-E2</f>
        <v/>
      </c>
      <c r="F2" s="6">
        <f>D2-E2</f>
        <v/>
      </c>
    </row>
    <row r="3" ht="22" customHeight="1">
      <c r="A3" s="5" t="inlineStr">
        <is>
          <t>January 2024</t>
        </is>
      </c>
      <c r="B3" s="5" t="inlineStr">
        <is>
          <t>2300</t>
        </is>
      </c>
      <c r="C3" s="5" t="inlineStr">
        <is>
          <t>198</t>
        </is>
      </c>
      <c r="D3" s="5" t="inlineStr">
        <is>
          <t>34</t>
        </is>
      </c>
      <c r="E3" s="6">
        <f>C3+D3-E3</f>
        <v/>
      </c>
      <c r="F3" s="6">
        <f>D3-E3</f>
        <v/>
      </c>
    </row>
    <row r="4" ht="22" customHeight="1">
      <c r="A4" s="5" t="inlineStr">
        <is>
          <t>January 2024</t>
        </is>
      </c>
      <c r="B4" s="5" t="inlineStr">
        <is>
          <t>2300</t>
        </is>
      </c>
      <c r="C4" s="5" t="inlineStr">
        <is>
          <t>198</t>
        </is>
      </c>
      <c r="D4" s="5" t="inlineStr">
        <is>
          <t>34</t>
        </is>
      </c>
      <c r="E4" s="6">
        <f>C4+D4-E4</f>
        <v/>
      </c>
      <c r="F4" s="6">
        <f>D4-E4</f>
        <v/>
      </c>
    </row>
    <row r="5" ht="22" customHeight="1">
      <c r="A5" s="5" t="inlineStr">
        <is>
          <t>January 2024</t>
        </is>
      </c>
      <c r="B5" s="5" t="inlineStr">
        <is>
          <t>2300</t>
        </is>
      </c>
      <c r="C5" s="5" t="inlineStr">
        <is>
          <t>198</t>
        </is>
      </c>
      <c r="D5" s="5" t="inlineStr">
        <is>
          <t>34</t>
        </is>
      </c>
      <c r="E5" s="6">
        <f>C5+D5-E5</f>
        <v/>
      </c>
      <c r="F5" s="6">
        <f>D5-E5</f>
        <v/>
      </c>
    </row>
    <row r="6" ht="22" customHeight="1">
      <c r="A6" s="5" t="inlineStr">
        <is>
          <t>January 2024</t>
        </is>
      </c>
      <c r="B6" s="5" t="inlineStr">
        <is>
          <t>2300</t>
        </is>
      </c>
      <c r="C6" s="5" t="inlineStr">
        <is>
          <t>198</t>
        </is>
      </c>
      <c r="D6" s="5" t="inlineStr">
        <is>
          <t>34</t>
        </is>
      </c>
      <c r="E6" s="6">
        <f>C6+D6-E6</f>
        <v/>
      </c>
      <c r="F6" s="6">
        <f>D6-E6</f>
        <v/>
      </c>
    </row>
    <row r="7" ht="22" customHeight="1">
      <c r="A7" s="5" t="inlineStr">
        <is>
          <t>January 2024</t>
        </is>
      </c>
      <c r="B7" s="5" t="inlineStr">
        <is>
          <t>2300</t>
        </is>
      </c>
      <c r="C7" s="5" t="inlineStr">
        <is>
          <t>198</t>
        </is>
      </c>
      <c r="D7" s="5" t="inlineStr">
        <is>
          <t>34</t>
        </is>
      </c>
      <c r="E7" s="6">
        <f>C7+D7-E7</f>
        <v/>
      </c>
      <c r="F7" s="6">
        <f>D7-E7</f>
        <v/>
      </c>
    </row>
    <row r="8" ht="22" customHeight="1">
      <c r="A8" s="5" t="inlineStr">
        <is>
          <t>January 2024</t>
        </is>
      </c>
      <c r="B8" s="5" t="inlineStr">
        <is>
          <t>2300</t>
        </is>
      </c>
      <c r="C8" s="5" t="inlineStr">
        <is>
          <t>198</t>
        </is>
      </c>
      <c r="D8" s="5" t="inlineStr">
        <is>
          <t>34</t>
        </is>
      </c>
      <c r="E8" s="6">
        <f>C8+D8-E8</f>
        <v/>
      </c>
      <c r="F8" s="6">
        <f>D8-E8</f>
        <v/>
      </c>
    </row>
    <row r="9" ht="22" customHeight="1">
      <c r="A9" s="5" t="inlineStr">
        <is>
          <t>January 2024</t>
        </is>
      </c>
      <c r="B9" s="5" t="inlineStr">
        <is>
          <t>2300</t>
        </is>
      </c>
      <c r="C9" s="5" t="inlineStr">
        <is>
          <t>198</t>
        </is>
      </c>
      <c r="D9" s="5" t="inlineStr">
        <is>
          <t>34</t>
        </is>
      </c>
      <c r="E9" s="6">
        <f>C9+D9-E9</f>
        <v/>
      </c>
      <c r="F9" s="6">
        <f>D9-E9</f>
        <v/>
      </c>
    </row>
    <row r="10" ht="22" customHeight="1">
      <c r="A10" s="5" t="inlineStr">
        <is>
          <t>January 2024</t>
        </is>
      </c>
      <c r="B10" s="5" t="inlineStr">
        <is>
          <t>2300</t>
        </is>
      </c>
      <c r="C10" s="5" t="inlineStr">
        <is>
          <t>198</t>
        </is>
      </c>
      <c r="D10" s="5" t="inlineStr">
        <is>
          <t>34</t>
        </is>
      </c>
      <c r="E10" s="6">
        <f>C10+D10-E10</f>
        <v/>
      </c>
      <c r="F10" s="6">
        <f>D10-E10</f>
        <v/>
      </c>
    </row>
    <row r="11" ht="22" customHeight="1">
      <c r="A11" s="5" t="inlineStr">
        <is>
          <t>January 2024</t>
        </is>
      </c>
      <c r="B11" s="5" t="inlineStr">
        <is>
          <t>2300</t>
        </is>
      </c>
      <c r="C11" s="5" t="inlineStr">
        <is>
          <t>198</t>
        </is>
      </c>
      <c r="D11" s="5" t="inlineStr">
        <is>
          <t>34</t>
        </is>
      </c>
      <c r="E11" s="6">
        <f>C11+D11-E11</f>
        <v/>
      </c>
      <c r="F11" s="6">
        <f>D11-E11</f>
        <v/>
      </c>
    </row>
    <row r="12" ht="22" customHeight="1">
      <c r="A12" s="5" t="inlineStr">
        <is>
          <t>January 2024</t>
        </is>
      </c>
      <c r="B12" s="5" t="inlineStr">
        <is>
          <t>2300</t>
        </is>
      </c>
      <c r="C12" s="5" t="inlineStr">
        <is>
          <t>198</t>
        </is>
      </c>
      <c r="D12" s="5" t="inlineStr">
        <is>
          <t>34</t>
        </is>
      </c>
      <c r="E12" s="6">
        <f>C12+D12-E12</f>
        <v/>
      </c>
      <c r="F12" s="6">
        <f>D12-E12</f>
        <v/>
      </c>
    </row>
    <row r="13" ht="22" customHeight="1">
      <c r="A13" s="5" t="inlineStr">
        <is>
          <t>January 2024</t>
        </is>
      </c>
      <c r="B13" s="5" t="inlineStr">
        <is>
          <t>2300</t>
        </is>
      </c>
      <c r="C13" s="5" t="inlineStr">
        <is>
          <t>198</t>
        </is>
      </c>
      <c r="D13" s="5" t="inlineStr">
        <is>
          <t>34</t>
        </is>
      </c>
      <c r="E13" s="6">
        <f>C13+D13-E13</f>
        <v/>
      </c>
      <c r="F13" s="6">
        <f>D13-E13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28" customWidth="1" min="4" max="4"/>
  </cols>
  <sheetData>
    <row r="1">
      <c r="A1" s="4" t="inlineStr">
        <is>
          <t>Segment</t>
        </is>
      </c>
      <c r="B1" s="4" t="inlineStr">
        <is>
          <t>Size</t>
        </is>
      </c>
      <c r="C1" s="4" t="inlineStr">
        <is>
          <t>Avg Open %</t>
        </is>
      </c>
      <c r="D1" s="4" t="inlineStr">
        <is>
          <t>Best Campaign</t>
        </is>
      </c>
    </row>
    <row r="2" ht="22" customHeight="1">
      <c r="A2" s="5" t="inlineStr">
        <is>
          <t>Buyers - Last 90 Days</t>
        </is>
      </c>
      <c r="B2" s="5" t="inlineStr">
        <is>
          <t>340</t>
        </is>
      </c>
      <c r="C2" s="5" t="inlineStr">
        <is>
          <t>42</t>
        </is>
      </c>
      <c r="D2" s="5" t="inlineStr">
        <is>
          <t>Product Launch Email</t>
        </is>
      </c>
    </row>
    <row r="3" ht="22" customHeight="1">
      <c r="A3" s="5" t="inlineStr">
        <is>
          <t>Buyers - Last 90 Days</t>
        </is>
      </c>
      <c r="B3" s="5" t="inlineStr">
        <is>
          <t>340</t>
        </is>
      </c>
      <c r="C3" s="5" t="inlineStr">
        <is>
          <t>42</t>
        </is>
      </c>
      <c r="D3" s="5" t="inlineStr">
        <is>
          <t>Product Launch Email</t>
        </is>
      </c>
    </row>
    <row r="4" ht="22" customHeight="1">
      <c r="A4" s="5" t="inlineStr">
        <is>
          <t>Buyers - Last 90 Days</t>
        </is>
      </c>
      <c r="B4" s="5" t="inlineStr">
        <is>
          <t>340</t>
        </is>
      </c>
      <c r="C4" s="5" t="inlineStr">
        <is>
          <t>42</t>
        </is>
      </c>
      <c r="D4" s="5" t="inlineStr">
        <is>
          <t>Product Launch Email</t>
        </is>
      </c>
    </row>
    <row r="5" ht="22" customHeight="1">
      <c r="A5" s="5" t="inlineStr">
        <is>
          <t>Buyers - Last 90 Days</t>
        </is>
      </c>
      <c r="B5" s="5" t="inlineStr">
        <is>
          <t>340</t>
        </is>
      </c>
      <c r="C5" s="5" t="inlineStr">
        <is>
          <t>42</t>
        </is>
      </c>
      <c r="D5" s="5" t="inlineStr">
        <is>
          <t>Product Launch Email</t>
        </is>
      </c>
    </row>
    <row r="6" ht="22" customHeight="1">
      <c r="A6" s="5" t="inlineStr">
        <is>
          <t>Buyers - Last 90 Days</t>
        </is>
      </c>
      <c r="B6" s="5" t="inlineStr">
        <is>
          <t>340</t>
        </is>
      </c>
      <c r="C6" s="5" t="inlineStr">
        <is>
          <t>42</t>
        </is>
      </c>
      <c r="D6" s="5" t="inlineStr">
        <is>
          <t>Product Launch Email</t>
        </is>
      </c>
    </row>
    <row r="7" ht="22" customHeight="1">
      <c r="A7" s="5" t="inlineStr">
        <is>
          <t>Buyers - Last 90 Days</t>
        </is>
      </c>
      <c r="B7" s="5" t="inlineStr">
        <is>
          <t>340</t>
        </is>
      </c>
      <c r="C7" s="5" t="inlineStr">
        <is>
          <t>42</t>
        </is>
      </c>
      <c r="D7" s="5" t="inlineStr">
        <is>
          <t>Product Launch Email</t>
        </is>
      </c>
    </row>
    <row r="8" ht="22" customHeight="1">
      <c r="A8" s="5" t="inlineStr">
        <is>
          <t>Buyers - Last 90 Days</t>
        </is>
      </c>
      <c r="B8" s="5" t="inlineStr">
        <is>
          <t>340</t>
        </is>
      </c>
      <c r="C8" s="5" t="inlineStr">
        <is>
          <t>42</t>
        </is>
      </c>
      <c r="D8" s="5" t="inlineStr">
        <is>
          <t>Product Launch Email</t>
        </is>
      </c>
    </row>
    <row r="9" ht="22" customHeight="1">
      <c r="A9" s="5" t="inlineStr">
        <is>
          <t>Buyers - Last 90 Days</t>
        </is>
      </c>
      <c r="B9" s="5" t="inlineStr">
        <is>
          <t>340</t>
        </is>
      </c>
      <c r="C9" s="5" t="inlineStr">
        <is>
          <t>42</t>
        </is>
      </c>
      <c r="D9" s="5" t="inlineStr">
        <is>
          <t>Product Launch 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Email Marketing Summary</t>
        </is>
      </c>
    </row>
    <row r="4">
      <c r="A4" s="9" t="inlineStr">
        <is>
          <t>Emails Sent</t>
        </is>
      </c>
      <c r="B4" s="6">
        <f>COUNTA(Campaigns!A:A)-1</f>
        <v/>
      </c>
    </row>
    <row r="5">
      <c r="A5" s="9" t="inlineStr">
        <is>
          <t>Avg Open Rate</t>
        </is>
      </c>
      <c r="B5" s="6">
        <f>AVERAGE(Campaigns!F:F)</f>
        <v/>
      </c>
    </row>
    <row r="6">
      <c r="A6" s="9" t="inlineStr">
        <is>
          <t>Total Revenue</t>
        </is>
      </c>
      <c r="B6" s="6">
        <f>SUM(Campaigns!I:I)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2026-06-16T07:19:30Z</dcterms:created>
  <dcterms:modified xsi:type="dcterms:W3CDTF">2026-06-16T07:19:30Z</dcterms:modified>
</cp:coreProperties>
</file>