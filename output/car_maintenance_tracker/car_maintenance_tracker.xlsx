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Maintenance" sheetId="2" state="visible" r:id="rId2"/>
    <sheet name="Dashboard" sheetId="3" state="visible" r:id="rId3"/>
    <sheet name="Services Due" sheetId="4" state="visible" r:id="rId4"/>
    <sheet name="Fuel Log" sheetId="5" state="visible" r:id="rId5"/>
    <sheet name="Expen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1E3A5F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1D4ED8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7F0"/>
      </patternFill>
    </fill>
    <fill>
      <patternFill patternType="solid">
        <fgColor rgb="001D4ED8"/>
      </patternFill>
    </fill>
    <fill>
      <patternFill patternType="solid">
        <fgColor rgb="0015803D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pivotButton="0" quotePrefix="0" xfId="0"/>
    <xf numFmtId="0" fontId="2" fillId="3" borderId="1" pivotButton="0" quotePrefix="0" xfId="0"/>
    <xf numFmtId="165" fontId="2" fillId="3" borderId="1" pivotButton="0" quotePrefix="0" xfId="0"/>
    <xf numFmtId="164" fontId="2" fillId="0" borderId="1" pivotButton="0" quotePrefix="0" xfId="0"/>
    <xf numFmtId="0" fontId="2" fillId="0" borderId="1" pivotButton="0" quotePrefix="0" xfId="0"/>
    <xf numFmtId="165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🚗  CAR MAINTENANCE &amp; EXPENSE LOG</t>
        </is>
      </c>
    </row>
    <row r="3"/>
    <row r="4">
      <c r="B4" s="2" t="inlineStr">
        <is>
          <t>Vehicle Service History &amp; Fuel Tracker Google Sheets</t>
        </is>
      </c>
    </row>
    <row r="6">
      <c r="B6" s="3" t="inlineStr">
        <is>
          <t>STEP 1 — Fill in “Maintenance”</t>
        </is>
      </c>
    </row>
    <row r="7" ht="28" customHeight="1">
      <c r="B7" s="4" t="inlineStr">
        <is>
          <t>All maintenance records: service type, date, and mileage.</t>
        </is>
      </c>
    </row>
    <row r="9">
      <c r="B9" s="3" t="inlineStr">
        <is>
          <t>STEP 2 — Fill in “Services Due”</t>
        </is>
      </c>
    </row>
    <row r="10" ht="28" customHeight="1">
      <c r="B10" s="4" t="inlineStr">
        <is>
          <t>Upcoming service schedule with due mileage and date.</t>
        </is>
      </c>
    </row>
    <row r="12">
      <c r="B12" s="3" t="inlineStr">
        <is>
          <t>STEP 3 — Fill in “Fuel Log”</t>
        </is>
      </c>
    </row>
    <row r="13" ht="28" customHeight="1">
      <c r="B13" s="4" t="inlineStr">
        <is>
          <t>Fuel fill-up log with MPG calculated automatically.</t>
        </is>
      </c>
    </row>
    <row r="15">
      <c r="B15" s="3" t="inlineStr">
        <is>
          <t>STEP 4 — Fill in “Expenses”</t>
        </is>
      </c>
    </row>
    <row r="16" ht="28" customHeight="1">
      <c r="B16" s="4" t="inlineStr">
        <is>
          <t>Annual vehicle expenses: insurance, registration, repairs.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2" customWidth="1" min="4" max="4"/>
    <col width="22" customWidth="1" min="5" max="5"/>
    <col width="28" customWidth="1" min="6" max="6"/>
  </cols>
  <sheetData>
    <row r="1">
      <c r="A1" s="6" t="inlineStr">
        <is>
          <t>Date</t>
        </is>
      </c>
      <c r="B1" s="6" t="inlineStr">
        <is>
          <t>Service</t>
        </is>
      </c>
      <c r="C1" s="6" t="inlineStr">
        <is>
          <t>Mileage</t>
        </is>
      </c>
      <c r="D1" s="6" t="inlineStr">
        <is>
          <t>Cost $</t>
        </is>
      </c>
      <c r="E1" s="6" t="inlineStr">
        <is>
          <t>Shop</t>
        </is>
      </c>
      <c r="F1" s="6" t="inlineStr">
        <is>
          <t>Notes</t>
        </is>
      </c>
    </row>
    <row r="2">
      <c r="A2" s="7" t="n">
        <v>46174</v>
      </c>
      <c r="B2" s="8" t="inlineStr">
        <is>
          <t>Oil &amp; Filter Change</t>
        </is>
      </c>
      <c r="C2" s="8" t="n">
        <v>45230</v>
      </c>
      <c r="D2" s="9" t="n">
        <v>65</v>
      </c>
      <c r="E2" s="8" t="inlineStr">
        <is>
          <t>Jiffy Lube</t>
        </is>
      </c>
      <c r="F2" s="8" t="inlineStr"/>
    </row>
    <row r="3">
      <c r="A3" s="10" t="n">
        <v>46180</v>
      </c>
      <c r="B3" s="11" t="inlineStr">
        <is>
          <t>Oil &amp; Filter Change</t>
        </is>
      </c>
      <c r="C3" s="11" t="n">
        <v>31661</v>
      </c>
      <c r="D3" s="12" t="n">
        <v>45.5</v>
      </c>
      <c r="E3" s="11" t="inlineStr">
        <is>
          <t>Jiffy Lube</t>
        </is>
      </c>
      <c r="F3" s="11" t="inlineStr">
        <is>
          <t>Paid</t>
        </is>
      </c>
    </row>
    <row r="4">
      <c r="A4" s="7" t="n">
        <v>46186</v>
      </c>
      <c r="B4" s="8" t="inlineStr"/>
      <c r="C4" s="8" t="n">
        <v>58799</v>
      </c>
      <c r="D4" s="9" t="n">
        <v>84.5</v>
      </c>
      <c r="E4" s="8" t="inlineStr"/>
      <c r="F4" s="8" t="inlineStr">
        <is>
          <t>Urgent</t>
        </is>
      </c>
    </row>
    <row r="5">
      <c r="A5" s="10" t="n">
        <v>46189</v>
      </c>
      <c r="B5" s="11" t="inlineStr">
        <is>
          <t>Oil &amp; Filter Change</t>
        </is>
      </c>
      <c r="C5" s="11" t="n">
        <v>38446</v>
      </c>
      <c r="D5" s="12" t="n">
        <v>55.25</v>
      </c>
      <c r="E5" s="11" t="inlineStr">
        <is>
          <t>Jiffy Lube</t>
        </is>
      </c>
      <c r="F5" s="11" t="inlineStr">
        <is>
          <t>Follow up Friday</t>
        </is>
      </c>
    </row>
    <row r="6">
      <c r="A6" s="7" t="n">
        <v>46195</v>
      </c>
      <c r="B6" s="8" t="inlineStr">
        <is>
          <t>Oil &amp; Filter Change</t>
        </is>
      </c>
      <c r="C6" s="8" t="n">
        <v>52014</v>
      </c>
      <c r="D6" s="9" t="n">
        <v>74.75</v>
      </c>
      <c r="E6" s="8" t="inlineStr">
        <is>
          <t>Jiffy Lube</t>
        </is>
      </c>
      <c r="F6" s="8" t="inlineStr"/>
    </row>
    <row r="7">
      <c r="A7" s="10" t="n">
        <v>46201</v>
      </c>
      <c r="B7" s="11" t="inlineStr"/>
      <c r="C7" s="11" t="n">
        <v>27138</v>
      </c>
      <c r="D7" s="12" t="n">
        <v>39</v>
      </c>
      <c r="E7" s="11" t="inlineStr"/>
      <c r="F7" s="11" t="inlineStr">
        <is>
          <t>Monthly</t>
        </is>
      </c>
    </row>
    <row r="8">
      <c r="A8" s="7" t="n">
        <v>46176</v>
      </c>
      <c r="B8" s="8" t="inlineStr">
        <is>
          <t>Oil &amp; Filter Change</t>
        </is>
      </c>
      <c r="C8" s="8" t="n">
        <v>65584</v>
      </c>
      <c r="D8" s="9" t="n">
        <v>94.25</v>
      </c>
      <c r="E8" s="8" t="inlineStr">
        <is>
          <t>Jiffy Lube</t>
        </is>
      </c>
      <c r="F8" s="8" t="inlineStr">
        <is>
          <t>Confirmed</t>
        </is>
      </c>
    </row>
    <row r="9">
      <c r="A9" s="10" t="n">
        <v>46182</v>
      </c>
      <c r="B9" s="11" t="inlineStr">
        <is>
          <t>Oil &amp; Filter Change</t>
        </is>
      </c>
      <c r="C9" s="11" t="n">
        <v>42968</v>
      </c>
      <c r="D9" s="12" t="n">
        <v>61.75</v>
      </c>
      <c r="E9" s="11" t="inlineStr">
        <is>
          <t>Jiffy Lube</t>
        </is>
      </c>
      <c r="F9" s="11" t="inlineStr"/>
    </row>
    <row r="10">
      <c r="A10" s="7" t="n">
        <v>46188</v>
      </c>
      <c r="B10" s="8" t="inlineStr"/>
      <c r="C10" s="8" t="n">
        <v>56538</v>
      </c>
      <c r="D10" s="9" t="n">
        <v>81.25</v>
      </c>
      <c r="E10" s="8" t="inlineStr"/>
      <c r="F10" s="8" t="inlineStr">
        <is>
          <t>Waiting reply</t>
        </is>
      </c>
    </row>
    <row r="11">
      <c r="A11" s="10" t="n">
        <v>46191</v>
      </c>
      <c r="B11" s="11" t="inlineStr">
        <is>
          <t>Oil &amp; Filter Change</t>
        </is>
      </c>
      <c r="C11" s="11" t="n">
        <v>36184</v>
      </c>
      <c r="D11" s="12" t="n">
        <v>52</v>
      </c>
      <c r="E11" s="11" t="inlineStr">
        <is>
          <t>Jiffy Lube</t>
        </is>
      </c>
      <c r="F11" s="11" t="inlineStr">
        <is>
          <t>Done early</t>
        </is>
      </c>
    </row>
    <row r="12">
      <c r="A12" s="7" t="n">
        <v>46197</v>
      </c>
      <c r="B12" s="8" t="inlineStr">
        <is>
          <t>Oil &amp; Filter Change</t>
        </is>
      </c>
      <c r="C12" s="8" t="n">
        <v>49753</v>
      </c>
      <c r="D12" s="9" t="n">
        <v>71.5</v>
      </c>
      <c r="E12" s="8" t="inlineStr">
        <is>
          <t>Jiffy Lube</t>
        </is>
      </c>
      <c r="F12" s="8" t="inlineStr"/>
    </row>
    <row r="13">
      <c r="A13" s="10" t="n">
        <v>46175</v>
      </c>
      <c r="B13" s="11" t="inlineStr"/>
      <c r="C13" s="11" t="n">
        <v>33922</v>
      </c>
      <c r="D13" s="12" t="n">
        <v>48.75</v>
      </c>
      <c r="E13" s="11" t="inlineStr"/>
      <c r="F13" s="11" t="inlineStr">
        <is>
          <t>Recheck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3" t="inlineStr">
        <is>
          <t>📊  CAR MAINTENANCE &amp; EXPENSE LOG — DASHBOARD</t>
        </is>
      </c>
    </row>
    <row r="4">
      <c r="B4" s="14" t="inlineStr">
        <is>
          <t>ANNUAL COST $</t>
        </is>
      </c>
      <c r="D4" s="15" t="inlineStr">
        <is>
          <t>NEXT OIL CHANGE</t>
        </is>
      </c>
      <c r="F4" s="16" t="inlineStr">
        <is>
          <t>AVG MPG</t>
        </is>
      </c>
      <c r="H4" s="17" t="inlineStr">
        <is>
          <t>TOTAL MILES</t>
        </is>
      </c>
    </row>
    <row r="5" ht="26" customHeight="1">
      <c r="B5" s="18">
        <f>SUM(Expenses!D:D)</f>
        <v/>
      </c>
      <c r="D5" s="19">
        <f>MIN(Services!D:D)</f>
        <v/>
      </c>
      <c r="F5" s="20">
        <f>AVERAGE(Fuel!F:F)</f>
        <v/>
      </c>
      <c r="H5" s="21">
        <f>MAX(Maintenance!C:C)</f>
        <v/>
      </c>
    </row>
    <row r="8">
      <c r="B8" s="22" t="inlineStr">
        <is>
          <t>WHAT'S INSIDE</t>
        </is>
      </c>
    </row>
    <row r="9">
      <c r="B9" s="23" t="inlineStr">
        <is>
          <t>🔧  Maintenance — All maintenance records: service type, date, and mileage.</t>
        </is>
      </c>
    </row>
    <row r="10">
      <c r="B10" s="23" t="inlineStr">
        <is>
          <t>📅  Services Due — Upcoming service schedule with due mileage and date.</t>
        </is>
      </c>
    </row>
    <row r="11">
      <c r="B11" s="23" t="inlineStr">
        <is>
          <t>⛽  Fuel Log — Fuel fill-up log with MPG calculated automatically.</t>
        </is>
      </c>
    </row>
    <row r="12">
      <c r="B12" s="23" t="inlineStr">
        <is>
          <t>💰  Expenses — Annual vehicle expenses: insurance, registration, repairs.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20" customWidth="1" min="3" max="3"/>
    <col width="18" customWidth="1" min="4" max="4"/>
    <col width="18" customWidth="1" min="5" max="5"/>
  </cols>
  <sheetData>
    <row r="1">
      <c r="A1" s="6" t="inlineStr">
        <is>
          <t>Service</t>
        </is>
      </c>
      <c r="B1" s="6" t="inlineStr">
        <is>
          <t>Interval Miles</t>
        </is>
      </c>
      <c r="C1" s="6" t="inlineStr">
        <is>
          <t>Last Done (miles)</t>
        </is>
      </c>
      <c r="D1" s="6" t="inlineStr">
        <is>
          <t>Due At (miles)</t>
        </is>
      </c>
      <c r="E1" s="6" t="inlineStr">
        <is>
          <t>Status</t>
        </is>
      </c>
    </row>
    <row r="2">
      <c r="A2" s="8" t="inlineStr">
        <is>
          <t>Oil Change</t>
        </is>
      </c>
      <c r="B2" s="8" t="n">
        <v>5000</v>
      </c>
      <c r="C2" s="8" t="n">
        <v>45000</v>
      </c>
      <c r="D2" s="8">
        <f>C2+D2</f>
        <v/>
      </c>
      <c r="E2" s="8" t="inlineStr">
        <is>
          <t>OK</t>
        </is>
      </c>
    </row>
    <row r="3">
      <c r="A3" s="11" t="inlineStr">
        <is>
          <t>Oil Change</t>
        </is>
      </c>
      <c r="B3" s="11" t="n">
        <v>3500</v>
      </c>
      <c r="C3" s="11" t="n">
        <v>31500</v>
      </c>
      <c r="D3" s="11">
        <f>C3+D3</f>
        <v/>
      </c>
      <c r="E3" s="11" t="inlineStr">
        <is>
          <t>Due Soon</t>
        </is>
      </c>
    </row>
    <row r="4">
      <c r="A4" s="8" t="inlineStr"/>
      <c r="B4" s="8" t="n">
        <v>6500</v>
      </c>
      <c r="C4" s="8" t="n">
        <v>58500</v>
      </c>
      <c r="D4" s="8">
        <f>C4+D4</f>
        <v/>
      </c>
      <c r="E4" s="8" t="inlineStr">
        <is>
          <t>Overdue</t>
        </is>
      </c>
    </row>
    <row r="5">
      <c r="A5" s="11" t="inlineStr">
        <is>
          <t>Oil Change</t>
        </is>
      </c>
      <c r="B5" s="11" t="n">
        <v>4250</v>
      </c>
      <c r="C5" s="11" t="n">
        <v>38250</v>
      </c>
      <c r="D5" s="11">
        <f>C5+D5</f>
        <v/>
      </c>
      <c r="E5" s="11" t="inlineStr">
        <is>
          <t>OK</t>
        </is>
      </c>
    </row>
    <row r="6">
      <c r="A6" s="8" t="inlineStr">
        <is>
          <t>Oil Change</t>
        </is>
      </c>
      <c r="B6" s="8" t="n">
        <v>5750</v>
      </c>
      <c r="C6" s="8" t="n">
        <v>51750</v>
      </c>
      <c r="D6" s="8">
        <f>C6+D6</f>
        <v/>
      </c>
      <c r="E6" s="8" t="inlineStr">
        <is>
          <t>Due Soon</t>
        </is>
      </c>
    </row>
    <row r="7">
      <c r="A7" s="11" t="inlineStr"/>
      <c r="B7" s="11" t="n">
        <v>3000</v>
      </c>
      <c r="C7" s="11" t="n">
        <v>27000</v>
      </c>
      <c r="D7" s="11">
        <f>C7+D7</f>
        <v/>
      </c>
      <c r="E7" s="11" t="inlineStr">
        <is>
          <t>Overdue</t>
        </is>
      </c>
    </row>
    <row r="8">
      <c r="A8" s="8" t="inlineStr">
        <is>
          <t>Oil Change</t>
        </is>
      </c>
      <c r="B8" s="8" t="n">
        <v>7250</v>
      </c>
      <c r="C8" s="8" t="n">
        <v>65250</v>
      </c>
      <c r="D8" s="8">
        <f>C8+D8</f>
        <v/>
      </c>
      <c r="E8" s="8" t="inlineStr">
        <is>
          <t>OK</t>
        </is>
      </c>
    </row>
    <row r="9">
      <c r="A9" s="11" t="inlineStr">
        <is>
          <t>Oil Change</t>
        </is>
      </c>
      <c r="B9" s="11" t="n">
        <v>4750</v>
      </c>
      <c r="C9" s="11" t="n">
        <v>42750</v>
      </c>
      <c r="D9" s="11">
        <f>C9+D9</f>
        <v/>
      </c>
      <c r="E9" s="11" t="inlineStr">
        <is>
          <t>Due Soon</t>
        </is>
      </c>
    </row>
    <row r="10">
      <c r="A10" s="8" t="inlineStr"/>
      <c r="B10" s="8" t="n">
        <v>6250</v>
      </c>
      <c r="C10" s="8" t="n">
        <v>56250</v>
      </c>
      <c r="D10" s="8">
        <f>C10+D10</f>
        <v/>
      </c>
      <c r="E10" s="8" t="inlineStr">
        <is>
          <t>Overdue</t>
        </is>
      </c>
    </row>
    <row r="11">
      <c r="A11" s="11" t="inlineStr">
        <is>
          <t>Oil Change</t>
        </is>
      </c>
      <c r="B11" s="11" t="n">
        <v>4000</v>
      </c>
      <c r="C11" s="11" t="n">
        <v>36000</v>
      </c>
      <c r="D11" s="11">
        <f>C11+D11</f>
        <v/>
      </c>
      <c r="E11" s="11" t="inlineStr">
        <is>
          <t>OK</t>
        </is>
      </c>
    </row>
    <row r="12">
      <c r="A12" s="8" t="inlineStr">
        <is>
          <t>Oil Change</t>
        </is>
      </c>
      <c r="B12" s="8" t="n">
        <v>5500</v>
      </c>
      <c r="C12" s="8" t="n">
        <v>49500</v>
      </c>
      <c r="D12" s="8">
        <f>C12+D12</f>
        <v/>
      </c>
      <c r="E12" s="8" t="inlineStr">
        <is>
          <t>Due Soon</t>
        </is>
      </c>
    </row>
    <row r="13">
      <c r="A13" s="11" t="inlineStr"/>
      <c r="B13" s="11" t="n">
        <v>3750</v>
      </c>
      <c r="C13" s="11" t="n">
        <v>33750</v>
      </c>
      <c r="D13" s="11">
        <f>C13+D13</f>
        <v/>
      </c>
      <c r="E13" s="11" t="inlineStr">
        <is>
          <t>Overdue</t>
        </is>
      </c>
    </row>
  </sheetData>
  <dataValidations count="1">
    <dataValidation sqref="E2:E500" showDropDown="0" showInputMessage="0" showErrorMessage="0" allowBlank="1" type="list">
      <formula1>"OK,Due Soon,Overdue"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4" customWidth="1" min="4" max="4"/>
    <col width="12" customWidth="1" min="5" max="5"/>
    <col width="10" customWidth="1" min="6" max="6"/>
  </cols>
  <sheetData>
    <row r="1">
      <c r="A1" s="6" t="inlineStr">
        <is>
          <t>Date</t>
        </is>
      </c>
      <c r="B1" s="6" t="inlineStr">
        <is>
          <t>Mileage</t>
        </is>
      </c>
      <c r="C1" s="6" t="inlineStr">
        <is>
          <t>Gallons</t>
        </is>
      </c>
      <c r="D1" s="6" t="inlineStr">
        <is>
          <t>Price/Gal $</t>
        </is>
      </c>
      <c r="E1" s="6" t="inlineStr">
        <is>
          <t>Total $</t>
        </is>
      </c>
      <c r="F1" s="6" t="inlineStr">
        <is>
          <t>MPG</t>
        </is>
      </c>
    </row>
    <row r="2">
      <c r="A2" s="7" t="n">
        <v>46174</v>
      </c>
      <c r="B2" s="8" t="n">
        <v>45200</v>
      </c>
      <c r="C2" s="8" t="n">
        <v>12.5</v>
      </c>
      <c r="D2" s="9" t="n">
        <v>3.45</v>
      </c>
      <c r="E2" s="8">
        <f>C2*D2</f>
        <v/>
      </c>
      <c r="F2" s="8">
        <f>(B2-B{ROW-1})/C2</f>
        <v/>
      </c>
    </row>
    <row r="3">
      <c r="A3" s="10" t="n">
        <v>46180</v>
      </c>
      <c r="B3" s="11" t="n">
        <v>31640</v>
      </c>
      <c r="C3" s="11" t="n">
        <v>8.75</v>
      </c>
      <c r="D3" s="12" t="n">
        <v>2.42</v>
      </c>
      <c r="E3" s="11">
        <f>C3*D3</f>
        <v/>
      </c>
      <c r="F3" s="11">
        <f>(B3-B{ROW-1})/C3</f>
        <v/>
      </c>
    </row>
    <row r="4">
      <c r="A4" s="7" t="n">
        <v>46186</v>
      </c>
      <c r="B4" s="8" t="n">
        <v>58760</v>
      </c>
      <c r="C4" s="8" t="n">
        <v>16.25</v>
      </c>
      <c r="D4" s="9" t="n">
        <v>4.49</v>
      </c>
      <c r="E4" s="8">
        <f>C4*D4</f>
        <v/>
      </c>
      <c r="F4" s="8">
        <f>(B4-B{ROW-1})/C4</f>
        <v/>
      </c>
    </row>
    <row r="5">
      <c r="A5" s="10" t="n">
        <v>46189</v>
      </c>
      <c r="B5" s="11" t="n">
        <v>38420</v>
      </c>
      <c r="C5" s="11" t="n">
        <v>10.62</v>
      </c>
      <c r="D5" s="12" t="n">
        <v>2.93</v>
      </c>
      <c r="E5" s="11">
        <f>C5*D5</f>
        <v/>
      </c>
      <c r="F5" s="11">
        <f>(B5-B{ROW-1})/C5</f>
        <v/>
      </c>
    </row>
    <row r="6">
      <c r="A6" s="7" t="n">
        <v>46195</v>
      </c>
      <c r="B6" s="8" t="n">
        <v>51980</v>
      </c>
      <c r="C6" s="8" t="n">
        <v>14.37</v>
      </c>
      <c r="D6" s="9" t="n">
        <v>3.97</v>
      </c>
      <c r="E6" s="8">
        <f>C6*D6</f>
        <v/>
      </c>
      <c r="F6" s="8">
        <f>(B6-B{ROW-1})/C6</f>
        <v/>
      </c>
    </row>
    <row r="7">
      <c r="A7" s="10" t="n">
        <v>46201</v>
      </c>
      <c r="B7" s="11" t="n">
        <v>27120</v>
      </c>
      <c r="C7" s="11" t="n">
        <v>7.5</v>
      </c>
      <c r="D7" s="12" t="n">
        <v>2.07</v>
      </c>
      <c r="E7" s="11">
        <f>C7*D7</f>
        <v/>
      </c>
      <c r="F7" s="11">
        <f>(B7-B{ROW-1})/C7</f>
        <v/>
      </c>
    </row>
    <row r="8">
      <c r="A8" s="7" t="n">
        <v>46176</v>
      </c>
      <c r="B8" s="8" t="n">
        <v>65540</v>
      </c>
      <c r="C8" s="8" t="n">
        <v>18.12</v>
      </c>
      <c r="D8" s="9" t="n">
        <v>5</v>
      </c>
      <c r="E8" s="8">
        <f>C8*D8</f>
        <v/>
      </c>
      <c r="F8" s="8">
        <f>(B8-B{ROW-1})/C8</f>
        <v/>
      </c>
    </row>
    <row r="9">
      <c r="A9" s="10" t="n">
        <v>46182</v>
      </c>
      <c r="B9" s="11" t="n">
        <v>42940</v>
      </c>
      <c r="C9" s="11" t="n">
        <v>11.88</v>
      </c>
      <c r="D9" s="12" t="n">
        <v>3.28</v>
      </c>
      <c r="E9" s="11">
        <f>C9*D9</f>
        <v/>
      </c>
      <c r="F9" s="11">
        <f>(B9-B{ROW-1})/C9</f>
        <v/>
      </c>
    </row>
    <row r="10">
      <c r="A10" s="7" t="n">
        <v>46188</v>
      </c>
      <c r="B10" s="8" t="n">
        <v>56500</v>
      </c>
      <c r="C10" s="8" t="n">
        <v>15.62</v>
      </c>
      <c r="D10" s="9" t="n">
        <v>4.31</v>
      </c>
      <c r="E10" s="8">
        <f>C10*D10</f>
        <v/>
      </c>
      <c r="F10" s="8">
        <f>(B10-B{ROW-1})/C10</f>
        <v/>
      </c>
    </row>
    <row r="11">
      <c r="A11" s="10" t="n">
        <v>46191</v>
      </c>
      <c r="B11" s="11" t="n">
        <v>36160</v>
      </c>
      <c r="C11" s="11" t="n">
        <v>10</v>
      </c>
      <c r="D11" s="12" t="n">
        <v>2.76</v>
      </c>
      <c r="E11" s="11">
        <f>C11*D11</f>
        <v/>
      </c>
      <c r="F11" s="11">
        <f>(B11-B{ROW-1})/C11</f>
        <v/>
      </c>
    </row>
    <row r="12">
      <c r="A12" s="7" t="n">
        <v>46197</v>
      </c>
      <c r="B12" s="8" t="n">
        <v>49720</v>
      </c>
      <c r="C12" s="8" t="n">
        <v>13.75</v>
      </c>
      <c r="D12" s="9" t="n">
        <v>3.8</v>
      </c>
      <c r="E12" s="8">
        <f>C12*D12</f>
        <v/>
      </c>
      <c r="F12" s="8">
        <f>(B12-B{ROW-1})/C12</f>
        <v/>
      </c>
    </row>
    <row r="13">
      <c r="A13" s="10" t="n">
        <v>46175</v>
      </c>
      <c r="B13" s="11" t="n">
        <v>33900</v>
      </c>
      <c r="C13" s="11" t="n">
        <v>9.380000000000001</v>
      </c>
      <c r="D13" s="12" t="n">
        <v>2.59</v>
      </c>
      <c r="E13" s="11">
        <f>C13*D13</f>
        <v/>
      </c>
      <c r="F13" s="11">
        <f>(B13-B{ROW-1})/C13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0" customWidth="1" min="3" max="3"/>
    <col width="14" customWidth="1" min="4" max="4"/>
    <col width="26" customWidth="1" min="5" max="5"/>
  </cols>
  <sheetData>
    <row r="1">
      <c r="A1" s="6" t="inlineStr">
        <is>
          <t>Date</t>
        </is>
      </c>
      <c r="B1" s="6" t="inlineStr">
        <is>
          <t>Item</t>
        </is>
      </c>
      <c r="C1" s="6" t="inlineStr">
        <is>
          <t>Category</t>
        </is>
      </c>
      <c r="D1" s="6" t="inlineStr">
        <is>
          <t>Amount $</t>
        </is>
      </c>
      <c r="E1" s="6" t="inlineStr">
        <is>
          <t>Notes</t>
        </is>
      </c>
    </row>
    <row r="2">
      <c r="A2" s="7" t="n">
        <v>46174</v>
      </c>
      <c r="B2" s="8" t="inlineStr">
        <is>
          <t>Kickoff meeting</t>
        </is>
      </c>
      <c r="C2" s="8" t="inlineStr">
        <is>
          <t>Insurance</t>
        </is>
      </c>
      <c r="D2" s="9" t="n">
        <v>1200</v>
      </c>
      <c r="E2" s="8" t="inlineStr"/>
    </row>
    <row r="3">
      <c r="A3" s="10" t="n">
        <v>46180</v>
      </c>
      <c r="B3" s="11" t="inlineStr">
        <is>
          <t>Send proposal</t>
        </is>
      </c>
      <c r="C3" s="11" t="inlineStr">
        <is>
          <t>Registration</t>
        </is>
      </c>
      <c r="D3" s="12" t="n">
        <v>840</v>
      </c>
      <c r="E3" s="11" t="inlineStr">
        <is>
          <t>Paid</t>
        </is>
      </c>
    </row>
    <row r="4">
      <c r="A4" s="7" t="n">
        <v>46186</v>
      </c>
      <c r="B4" s="8" t="inlineStr">
        <is>
          <t>Review feedback</t>
        </is>
      </c>
      <c r="C4" s="8" t="inlineStr">
        <is>
          <t>Fuel</t>
        </is>
      </c>
      <c r="D4" s="9" t="n">
        <v>1560</v>
      </c>
      <c r="E4" s="8" t="inlineStr">
        <is>
          <t>Urgent</t>
        </is>
      </c>
    </row>
    <row r="5">
      <c r="A5" s="10" t="n">
        <v>46189</v>
      </c>
      <c r="B5" s="11" t="inlineStr">
        <is>
          <t>Update website copy</t>
        </is>
      </c>
      <c r="C5" s="11" t="inlineStr">
        <is>
          <t>Maintenance</t>
        </is>
      </c>
      <c r="D5" s="12" t="n">
        <v>1020</v>
      </c>
      <c r="E5" s="11" t="inlineStr">
        <is>
          <t>Follow up Friday</t>
        </is>
      </c>
    </row>
    <row r="6">
      <c r="A6" s="7" t="n">
        <v>46195</v>
      </c>
      <c r="B6" s="8" t="inlineStr">
        <is>
          <t>Prepare invoice</t>
        </is>
      </c>
      <c r="C6" s="8" t="inlineStr">
        <is>
          <t>Repair</t>
        </is>
      </c>
      <c r="D6" s="9" t="n">
        <v>1380</v>
      </c>
      <c r="E6" s="8" t="inlineStr"/>
    </row>
    <row r="7">
      <c r="A7" s="10" t="n">
        <v>46201</v>
      </c>
      <c r="B7" s="11" t="inlineStr">
        <is>
          <t>Client call</t>
        </is>
      </c>
      <c r="C7" s="11" t="inlineStr">
        <is>
          <t>Parking</t>
        </is>
      </c>
      <c r="D7" s="12" t="n">
        <v>720</v>
      </c>
      <c r="E7" s="11" t="inlineStr">
        <is>
          <t>Monthly</t>
        </is>
      </c>
    </row>
    <row r="8">
      <c r="A8" s="7" t="n">
        <v>46176</v>
      </c>
      <c r="B8" s="8" t="inlineStr">
        <is>
          <t>Design first draft</t>
        </is>
      </c>
      <c r="C8" s="8" t="inlineStr">
        <is>
          <t>Toll</t>
        </is>
      </c>
      <c r="D8" s="9" t="n">
        <v>1740</v>
      </c>
      <c r="E8" s="8" t="inlineStr">
        <is>
          <t>Confirmed</t>
        </is>
      </c>
    </row>
    <row r="9">
      <c r="A9" s="10" t="n">
        <v>46182</v>
      </c>
      <c r="B9" s="11" t="inlineStr">
        <is>
          <t>Fix reported bug</t>
        </is>
      </c>
      <c r="C9" s="11" t="inlineStr">
        <is>
          <t>Other</t>
        </is>
      </c>
      <c r="D9" s="12" t="n">
        <v>1140</v>
      </c>
      <c r="E9" s="11" t="inlineStr"/>
    </row>
    <row r="10">
      <c r="A10" s="7" t="n">
        <v>46188</v>
      </c>
      <c r="B10" s="8" t="inlineStr">
        <is>
          <t>Weekly report</t>
        </is>
      </c>
      <c r="C10" s="8" t="inlineStr">
        <is>
          <t>Insurance</t>
        </is>
      </c>
      <c r="D10" s="9" t="n">
        <v>1500</v>
      </c>
      <c r="E10" s="8" t="inlineStr">
        <is>
          <t>Waiting reply</t>
        </is>
      </c>
    </row>
    <row r="11">
      <c r="A11" s="10" t="n">
        <v>46191</v>
      </c>
      <c r="B11" s="11" t="inlineStr">
        <is>
          <t>Plan next sprint</t>
        </is>
      </c>
      <c r="C11" s="11" t="inlineStr">
        <is>
          <t>Registration</t>
        </is>
      </c>
      <c r="D11" s="12" t="n">
        <v>960</v>
      </c>
      <c r="E11" s="11" t="inlineStr">
        <is>
          <t>Done early</t>
        </is>
      </c>
    </row>
    <row r="12">
      <c r="A12" s="7" t="n">
        <v>46197</v>
      </c>
      <c r="B12" s="8" t="inlineStr">
        <is>
          <t>Publish blog post</t>
        </is>
      </c>
      <c r="C12" s="8" t="inlineStr">
        <is>
          <t>Fuel</t>
        </is>
      </c>
      <c r="D12" s="9" t="n">
        <v>1320</v>
      </c>
      <c r="E12" s="8" t="inlineStr"/>
    </row>
    <row r="13">
      <c r="A13" s="10" t="n">
        <v>46175</v>
      </c>
      <c r="B13" s="11" t="inlineStr">
        <is>
          <t>Team sync</t>
        </is>
      </c>
      <c r="C13" s="11" t="inlineStr">
        <is>
          <t>Maintenance</t>
        </is>
      </c>
      <c r="D13" s="12" t="n">
        <v>900</v>
      </c>
      <c r="E13" s="11" t="inlineStr">
        <is>
          <t>Recheck</t>
        </is>
      </c>
    </row>
  </sheetData>
  <dataValidations count="1">
    <dataValidation sqref="C2:C500" showDropDown="0" showInputMessage="0" showErrorMessage="0" allowBlank="1" type="list">
      <formula1>"Insurance,Registration,Fuel,Maintenance,Repair,Parking,Toll,Other"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2026-07-16T21:44:38Z</dcterms:created>
  <dcterms:modified xsi:type="dcterms:W3CDTF">2026-07-16T21:44:38Z</dcterms:modified>
</cp:coreProperties>
</file>