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Listings" sheetId="2" state="visible" r:id="rId2"/>
    <sheet name="Dashboard" sheetId="3" state="visible" r:id="rId3"/>
    <sheet name="Closings" sheetId="4" state="visible" r:id="rId4"/>
    <sheet name="Clients" sheetId="5" state="visible" r:id="rId5"/>
    <sheet name="Annual 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2ECC71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A2332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FFF7F0"/>
      </patternFill>
    </fill>
    <fill>
      <patternFill patternType="solid">
        <fgColor rgb="002ECC71"/>
      </patternFill>
    </fill>
    <fill>
      <patternFill patternType="solid">
        <fgColor rgb="0027AE60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🏠  REAL ESTATE AGENT COMMISSION TRACKER</t>
        </is>
      </c>
    </row>
    <row r="3"/>
    <row r="4">
      <c r="B4" s="2" t="inlineStr">
        <is>
          <t>Listings, Closings &amp; Commission Google Sheets</t>
        </is>
      </c>
    </row>
    <row r="6">
      <c r="B6" s="3" t="inlineStr">
        <is>
          <t>STEP 1 — Fill in “Listings”</t>
        </is>
      </c>
    </row>
    <row r="7" ht="28" customHeight="1">
      <c r="B7" s="4" t="inlineStr">
        <is>
          <t>All listings with price, status, and days on market.</t>
        </is>
      </c>
    </row>
    <row r="9">
      <c r="B9" s="3" t="inlineStr">
        <is>
          <t>STEP 2 — Fill in “Closings”</t>
        </is>
      </c>
    </row>
    <row r="10" ht="28" customHeight="1">
      <c r="B10" s="4" t="inlineStr">
        <is>
          <t>All closed deals with sale price and commission earned.</t>
        </is>
      </c>
    </row>
    <row r="12">
      <c r="B12" s="3" t="inlineStr">
        <is>
          <t>STEP 3 — Fill in “Clients”</t>
        </is>
      </c>
    </row>
    <row r="13" ht="28" customHeight="1">
      <c r="B13" s="4" t="inlineStr">
        <is>
          <t>Client database: buyers, sellers, and past clients.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6" customWidth="1" min="4" max="4"/>
    <col width="14" customWidth="1" min="5" max="5"/>
    <col width="22" customWidth="1" min="6" max="6"/>
    <col width="16" customWidth="1" min="7" max="7"/>
  </cols>
  <sheetData>
    <row r="1">
      <c r="A1" s="6" t="inlineStr">
        <is>
          <t>Property Address</t>
        </is>
      </c>
      <c r="B1" s="6" t="inlineStr">
        <is>
          <t>Client</t>
        </is>
      </c>
      <c r="C1" s="6" t="inlineStr">
        <is>
          <t>List Type</t>
        </is>
      </c>
      <c r="D1" s="6" t="inlineStr">
        <is>
          <t>List Price $</t>
        </is>
      </c>
      <c r="E1" s="6" t="inlineStr">
        <is>
          <t>List Date</t>
        </is>
      </c>
      <c r="F1" s="6" t="inlineStr">
        <is>
          <t>Status</t>
        </is>
      </c>
      <c r="G1" s="6" t="inlineStr">
        <is>
          <t>Days on Market</t>
        </is>
      </c>
    </row>
    <row r="2">
      <c r="A2" s="7" t="inlineStr">
        <is>
          <t>123 Main St, City, State</t>
        </is>
      </c>
      <c r="B2" s="7" t="inlineStr">
        <is>
          <t>Alex Martin</t>
        </is>
      </c>
      <c r="C2" s="7" t="inlineStr">
        <is>
          <t>Seller</t>
        </is>
      </c>
      <c r="D2" s="8" t="n">
        <v>425000</v>
      </c>
      <c r="E2" s="9" t="n">
        <v>46174</v>
      </c>
      <c r="F2" s="7" t="inlineStr">
        <is>
          <t>Active</t>
        </is>
      </c>
      <c r="G2" s="7" t="n">
        <v>12</v>
      </c>
    </row>
    <row r="3">
      <c r="A3" s="10" t="inlineStr">
        <is>
          <t>123 Main St, City, State</t>
        </is>
      </c>
      <c r="B3" s="10" t="inlineStr">
        <is>
          <t>Sara Lopez</t>
        </is>
      </c>
      <c r="C3" s="10" t="inlineStr">
        <is>
          <t>Buyer</t>
        </is>
      </c>
      <c r="D3" s="11" t="n">
        <v>297500</v>
      </c>
      <c r="E3" s="12" t="n">
        <v>46180</v>
      </c>
      <c r="F3" s="10" t="inlineStr">
        <is>
          <t>Under Contract</t>
        </is>
      </c>
      <c r="G3" s="10" t="n">
        <v>8.4</v>
      </c>
    </row>
    <row r="4">
      <c r="A4" s="7" t="inlineStr"/>
      <c r="B4" s="7" t="inlineStr">
        <is>
          <t>Omar Haddad</t>
        </is>
      </c>
      <c r="C4" s="7" t="inlineStr">
        <is>
          <t>Rental</t>
        </is>
      </c>
      <c r="D4" s="8" t="n">
        <v>552500</v>
      </c>
      <c r="E4" s="9" t="n">
        <v>46186</v>
      </c>
      <c r="F4" s="7" t="inlineStr">
        <is>
          <t>Closed</t>
        </is>
      </c>
      <c r="G4" s="7" t="n">
        <v>15.6</v>
      </c>
    </row>
    <row r="5">
      <c r="A5" s="10" t="inlineStr">
        <is>
          <t>123 Main St, City, State</t>
        </is>
      </c>
      <c r="B5" s="10" t="inlineStr">
        <is>
          <t>Emma Fischer</t>
        </is>
      </c>
      <c r="C5" s="10" t="inlineStr">
        <is>
          <t>Seller</t>
        </is>
      </c>
      <c r="D5" s="11" t="n">
        <v>361250</v>
      </c>
      <c r="E5" s="12" t="n">
        <v>46189</v>
      </c>
      <c r="F5" s="10" t="inlineStr">
        <is>
          <t>Expired</t>
        </is>
      </c>
      <c r="G5" s="10" t="n">
        <v>10.2</v>
      </c>
    </row>
    <row r="6">
      <c r="A6" s="7" t="inlineStr">
        <is>
          <t>123 Main St, City, State</t>
        </is>
      </c>
      <c r="B6" s="7" t="inlineStr">
        <is>
          <t>Liam Carter</t>
        </is>
      </c>
      <c r="C6" s="7" t="inlineStr">
        <is>
          <t>Buyer</t>
        </is>
      </c>
      <c r="D6" s="8" t="n">
        <v>488750</v>
      </c>
      <c r="E6" s="9" t="n">
        <v>46195</v>
      </c>
      <c r="F6" s="7" t="inlineStr">
        <is>
          <t>Withdrawn</t>
        </is>
      </c>
      <c r="G6" s="7" t="n">
        <v>13.8</v>
      </c>
    </row>
    <row r="7">
      <c r="A7" s="10" t="inlineStr"/>
      <c r="B7" s="10" t="inlineStr">
        <is>
          <t>Nadia Rahali</t>
        </is>
      </c>
      <c r="C7" s="10" t="inlineStr">
        <is>
          <t>Rental</t>
        </is>
      </c>
      <c r="D7" s="11" t="n">
        <v>255000</v>
      </c>
      <c r="E7" s="12" t="n">
        <v>46201</v>
      </c>
      <c r="F7" s="10" t="inlineStr">
        <is>
          <t>Active</t>
        </is>
      </c>
      <c r="G7" s="10" t="n">
        <v>7.2</v>
      </c>
    </row>
    <row r="8">
      <c r="A8" s="7" t="inlineStr">
        <is>
          <t>123 Main St, City, State</t>
        </is>
      </c>
      <c r="B8" s="7" t="inlineStr">
        <is>
          <t>Tom Becker</t>
        </is>
      </c>
      <c r="C8" s="7" t="inlineStr">
        <is>
          <t>Seller</t>
        </is>
      </c>
      <c r="D8" s="8" t="n">
        <v>616250</v>
      </c>
      <c r="E8" s="9" t="n">
        <v>46176</v>
      </c>
      <c r="F8" s="7" t="inlineStr">
        <is>
          <t>Under Contract</t>
        </is>
      </c>
      <c r="G8" s="7" t="n">
        <v>17.4</v>
      </c>
    </row>
    <row r="9">
      <c r="A9" s="10" t="inlineStr">
        <is>
          <t>123 Main St, City, State</t>
        </is>
      </c>
      <c r="B9" s="10" t="inlineStr">
        <is>
          <t>Julia Romero</t>
        </is>
      </c>
      <c r="C9" s="10" t="inlineStr">
        <is>
          <t>Buyer</t>
        </is>
      </c>
      <c r="D9" s="11" t="n">
        <v>403750</v>
      </c>
      <c r="E9" s="12" t="n">
        <v>46182</v>
      </c>
      <c r="F9" s="10" t="inlineStr">
        <is>
          <t>Closed</t>
        </is>
      </c>
      <c r="G9" s="10" t="n">
        <v>11.4</v>
      </c>
    </row>
    <row r="10">
      <c r="A10" s="7" t="inlineStr"/>
      <c r="B10" s="7" t="inlineStr">
        <is>
          <t>Karim Ziani</t>
        </is>
      </c>
      <c r="C10" s="7" t="inlineStr">
        <is>
          <t>Rental</t>
        </is>
      </c>
      <c r="D10" s="8" t="n">
        <v>531250</v>
      </c>
      <c r="E10" s="9" t="n">
        <v>46188</v>
      </c>
      <c r="F10" s="7" t="inlineStr">
        <is>
          <t>Expired</t>
        </is>
      </c>
      <c r="G10" s="7" t="n">
        <v>15</v>
      </c>
    </row>
    <row r="11">
      <c r="A11" s="10" t="inlineStr">
        <is>
          <t>123 Main St, City, State</t>
        </is>
      </c>
      <c r="B11" s="10" t="inlineStr">
        <is>
          <t>Anna Kowalska</t>
        </is>
      </c>
      <c r="C11" s="10" t="inlineStr">
        <is>
          <t>Seller</t>
        </is>
      </c>
      <c r="D11" s="11" t="n">
        <v>340000</v>
      </c>
      <c r="E11" s="12" t="n">
        <v>46191</v>
      </c>
      <c r="F11" s="10" t="inlineStr">
        <is>
          <t>Withdrawn</t>
        </is>
      </c>
      <c r="G11" s="10" t="n">
        <v>9.6</v>
      </c>
    </row>
    <row r="12">
      <c r="A12" s="7" t="inlineStr">
        <is>
          <t>123 Main St, City, State</t>
        </is>
      </c>
      <c r="B12" s="7" t="inlineStr">
        <is>
          <t>David Chen</t>
        </is>
      </c>
      <c r="C12" s="7" t="inlineStr">
        <is>
          <t>Buyer</t>
        </is>
      </c>
      <c r="D12" s="8" t="n">
        <v>467500</v>
      </c>
      <c r="E12" s="9" t="n">
        <v>46197</v>
      </c>
      <c r="F12" s="7" t="inlineStr">
        <is>
          <t>Active</t>
        </is>
      </c>
      <c r="G12" s="7" t="n">
        <v>13.2</v>
      </c>
    </row>
    <row r="13">
      <c r="A13" s="10" t="inlineStr"/>
      <c r="B13" s="10" t="inlineStr">
        <is>
          <t>Lea Moreau</t>
        </is>
      </c>
      <c r="C13" s="10" t="inlineStr">
        <is>
          <t>Rental</t>
        </is>
      </c>
      <c r="D13" s="11" t="n">
        <v>318750</v>
      </c>
      <c r="E13" s="12" t="n">
        <v>46175</v>
      </c>
      <c r="F13" s="10" t="inlineStr">
        <is>
          <t>Under Contract</t>
        </is>
      </c>
      <c r="G13" s="10" t="n">
        <v>9</v>
      </c>
    </row>
  </sheetData>
  <dataValidations count="2">
    <dataValidation sqref="C2:C500" showDropDown="0" showInputMessage="0" showErrorMessage="0" allowBlank="1" type="list">
      <formula1>"Seller,Buyer,Rental"</formula1>
    </dataValidation>
    <dataValidation sqref="F2:F500" showDropDown="0" showInputMessage="0" showErrorMessage="0" allowBlank="1" type="list">
      <formula1>"Active,Under Contract,Closed,Expired,Withdrawn"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REAL ESTATE AGENT COMMISSION TRACKER — DASHBOARD</t>
        </is>
      </c>
    </row>
    <row r="4">
      <c r="B4" s="14" t="inlineStr">
        <is>
          <t>ACTIVE LISTINGS</t>
        </is>
      </c>
      <c r="D4" s="15" t="inlineStr">
        <is>
          <t>YTD CLOSINGS</t>
        </is>
      </c>
      <c r="F4" s="16" t="inlineStr">
        <is>
          <t>YTD COMMISSION $</t>
        </is>
      </c>
      <c r="H4" s="17" t="inlineStr">
        <is>
          <t>PIPELINE VALUE $</t>
        </is>
      </c>
    </row>
    <row r="5" ht="26" customHeight="1">
      <c r="B5" s="18">
        <f>COUNTIF(Listings!F:F,"Active")</f>
        <v/>
      </c>
      <c r="D5" s="19">
        <f>COUNTIF(Closings!G:G,"Closed")</f>
        <v/>
      </c>
      <c r="F5" s="20">
        <f>SUM(Closings!F:F)</f>
        <v/>
      </c>
      <c r="H5" s="21">
        <f>SUMIF(Listings!F:F,"Under Contract",Listings!D:D)</f>
        <v/>
      </c>
    </row>
    <row r="8">
      <c r="B8" s="22" t="inlineStr">
        <is>
          <t>WHAT'S INSIDE</t>
        </is>
      </c>
    </row>
    <row r="9">
      <c r="B9" s="23" t="inlineStr">
        <is>
          <t>🏡  Listings — All listings with price, status, and days on market.</t>
        </is>
      </c>
    </row>
    <row r="10">
      <c r="B10" s="23" t="inlineStr">
        <is>
          <t>🔑  Closings — All closed deals with sale price and commission earned.</t>
        </is>
      </c>
    </row>
    <row r="11">
      <c r="B11" s="23" t="inlineStr">
        <is>
          <t>👥  Clients — Client database: buyers, sellers, and past clients.</t>
        </is>
      </c>
    </row>
    <row r="12">
      <c r="B12" s="23" t="inlineStr">
        <is>
          <t>📊  Annual Report — Annual commission income and production summary.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Property</t>
        </is>
      </c>
      <c r="B1" s="6" t="inlineStr">
        <is>
          <t>Client</t>
        </is>
      </c>
      <c r="C1" s="6" t="inlineStr">
        <is>
          <t>Close Date</t>
        </is>
      </c>
      <c r="D1" s="6" t="inlineStr">
        <is>
          <t>Sale Price $</t>
        </is>
      </c>
      <c r="E1" s="6" t="inlineStr">
        <is>
          <t>Commission %</t>
        </is>
      </c>
      <c r="F1" s="6" t="inlineStr">
        <is>
          <t>Commission $</t>
        </is>
      </c>
      <c r="G1" s="6" t="inlineStr">
        <is>
          <t>Status</t>
        </is>
      </c>
    </row>
    <row r="2">
      <c r="A2" s="7" t="inlineStr">
        <is>
          <t>123 Main St</t>
        </is>
      </c>
      <c r="B2" s="7" t="inlineStr">
        <is>
          <t>Alex Martin</t>
        </is>
      </c>
      <c r="C2" s="9" t="n">
        <v>46174</v>
      </c>
      <c r="D2" s="8" t="n">
        <v>418000</v>
      </c>
      <c r="E2" s="7" t="n">
        <v>3</v>
      </c>
      <c r="F2" s="7">
        <f>D2*E2/100</f>
        <v/>
      </c>
      <c r="G2" s="7" t="inlineStr">
        <is>
          <t>Pending</t>
        </is>
      </c>
    </row>
    <row r="3">
      <c r="A3" s="10" t="inlineStr">
        <is>
          <t>123 Main St</t>
        </is>
      </c>
      <c r="B3" s="10" t="inlineStr">
        <is>
          <t>Sara Lopez</t>
        </is>
      </c>
      <c r="C3" s="12" t="n">
        <v>46180</v>
      </c>
      <c r="D3" s="11" t="n">
        <v>292600</v>
      </c>
      <c r="E3" s="10" t="n">
        <v>2.1</v>
      </c>
      <c r="F3" s="10">
        <f>D3*E3/100</f>
        <v/>
      </c>
      <c r="G3" s="10" t="inlineStr">
        <is>
          <t>Closed</t>
        </is>
      </c>
    </row>
    <row r="4">
      <c r="A4" s="7" t="inlineStr"/>
      <c r="B4" s="7" t="inlineStr">
        <is>
          <t>Omar Haddad</t>
        </is>
      </c>
      <c r="C4" s="9" t="n">
        <v>46186</v>
      </c>
      <c r="D4" s="8" t="n">
        <v>543400</v>
      </c>
      <c r="E4" s="7" t="n">
        <v>3.9</v>
      </c>
      <c r="F4" s="7">
        <f>D4*E4/100</f>
        <v/>
      </c>
      <c r="G4" s="7" t="inlineStr">
        <is>
          <t>Fallen Through</t>
        </is>
      </c>
    </row>
    <row r="5">
      <c r="A5" s="10" t="inlineStr">
        <is>
          <t>123 Main St</t>
        </is>
      </c>
      <c r="B5" s="10" t="inlineStr">
        <is>
          <t>Emma Fischer</t>
        </is>
      </c>
      <c r="C5" s="12" t="n">
        <v>46189</v>
      </c>
      <c r="D5" s="11" t="n">
        <v>355300</v>
      </c>
      <c r="E5" s="10" t="n">
        <v>2.55</v>
      </c>
      <c r="F5" s="10">
        <f>D5*E5/100</f>
        <v/>
      </c>
      <c r="G5" s="10" t="inlineStr">
        <is>
          <t>Pending</t>
        </is>
      </c>
    </row>
    <row r="6">
      <c r="A6" s="7" t="inlineStr">
        <is>
          <t>123 Main St</t>
        </is>
      </c>
      <c r="B6" s="7" t="inlineStr">
        <is>
          <t>Liam Carter</t>
        </is>
      </c>
      <c r="C6" s="9" t="n">
        <v>46195</v>
      </c>
      <c r="D6" s="8" t="n">
        <v>480700</v>
      </c>
      <c r="E6" s="7" t="n">
        <v>3.45</v>
      </c>
      <c r="F6" s="7">
        <f>D6*E6/100</f>
        <v/>
      </c>
      <c r="G6" s="7" t="inlineStr">
        <is>
          <t>Closed</t>
        </is>
      </c>
    </row>
    <row r="7">
      <c r="A7" s="10" t="inlineStr"/>
      <c r="B7" s="10" t="inlineStr">
        <is>
          <t>Nadia Rahali</t>
        </is>
      </c>
      <c r="C7" s="12" t="n">
        <v>46201</v>
      </c>
      <c r="D7" s="11" t="n">
        <v>250800</v>
      </c>
      <c r="E7" s="10" t="n">
        <v>1.8</v>
      </c>
      <c r="F7" s="10">
        <f>D7*E7/100</f>
        <v/>
      </c>
      <c r="G7" s="10" t="inlineStr">
        <is>
          <t>Fallen Through</t>
        </is>
      </c>
    </row>
    <row r="8">
      <c r="A8" s="7" t="inlineStr">
        <is>
          <t>123 Main St</t>
        </is>
      </c>
      <c r="B8" s="7" t="inlineStr">
        <is>
          <t>Tom Becker</t>
        </is>
      </c>
      <c r="C8" s="9" t="n">
        <v>46176</v>
      </c>
      <c r="D8" s="8" t="n">
        <v>606100</v>
      </c>
      <c r="E8" s="7" t="n">
        <v>4.35</v>
      </c>
      <c r="F8" s="7">
        <f>D8*E8/100</f>
        <v/>
      </c>
      <c r="G8" s="7" t="inlineStr">
        <is>
          <t>Pending</t>
        </is>
      </c>
    </row>
    <row r="9">
      <c r="A9" s="10" t="inlineStr">
        <is>
          <t>123 Main St</t>
        </is>
      </c>
      <c r="B9" s="10" t="inlineStr">
        <is>
          <t>Julia Romero</t>
        </is>
      </c>
      <c r="C9" s="12" t="n">
        <v>46182</v>
      </c>
      <c r="D9" s="11" t="n">
        <v>397100</v>
      </c>
      <c r="E9" s="10" t="n">
        <v>2.85</v>
      </c>
      <c r="F9" s="10">
        <f>D9*E9/100</f>
        <v/>
      </c>
      <c r="G9" s="10" t="inlineStr">
        <is>
          <t>Closed</t>
        </is>
      </c>
    </row>
    <row r="10">
      <c r="A10" s="7" t="inlineStr"/>
      <c r="B10" s="7" t="inlineStr">
        <is>
          <t>Karim Ziani</t>
        </is>
      </c>
      <c r="C10" s="9" t="n">
        <v>46188</v>
      </c>
      <c r="D10" s="8" t="n">
        <v>522500</v>
      </c>
      <c r="E10" s="7" t="n">
        <v>3.75</v>
      </c>
      <c r="F10" s="7">
        <f>D10*E10/100</f>
        <v/>
      </c>
      <c r="G10" s="7" t="inlineStr">
        <is>
          <t>Fallen Through</t>
        </is>
      </c>
    </row>
    <row r="11">
      <c r="A11" s="10" t="inlineStr">
        <is>
          <t>123 Main St</t>
        </is>
      </c>
      <c r="B11" s="10" t="inlineStr">
        <is>
          <t>Anna Kowalska</t>
        </is>
      </c>
      <c r="C11" s="12" t="n">
        <v>46191</v>
      </c>
      <c r="D11" s="11" t="n">
        <v>334400</v>
      </c>
      <c r="E11" s="10" t="n">
        <v>2.4</v>
      </c>
      <c r="F11" s="10">
        <f>D11*E11/100</f>
        <v/>
      </c>
      <c r="G11" s="10" t="inlineStr">
        <is>
          <t>Pending</t>
        </is>
      </c>
    </row>
    <row r="12">
      <c r="A12" s="7" t="inlineStr">
        <is>
          <t>123 Main St</t>
        </is>
      </c>
      <c r="B12" s="7" t="inlineStr">
        <is>
          <t>David Chen</t>
        </is>
      </c>
      <c r="C12" s="9" t="n">
        <v>46197</v>
      </c>
      <c r="D12" s="8" t="n">
        <v>459800</v>
      </c>
      <c r="E12" s="7" t="n">
        <v>3.3</v>
      </c>
      <c r="F12" s="7">
        <f>D12*E12/100</f>
        <v/>
      </c>
      <c r="G12" s="7" t="inlineStr">
        <is>
          <t>Closed</t>
        </is>
      </c>
    </row>
    <row r="13">
      <c r="A13" s="10" t="inlineStr"/>
      <c r="B13" s="10" t="inlineStr">
        <is>
          <t>Lea Moreau</t>
        </is>
      </c>
      <c r="C13" s="12" t="n">
        <v>46175</v>
      </c>
      <c r="D13" s="11" t="n">
        <v>313500</v>
      </c>
      <c r="E13" s="10" t="n">
        <v>2.25</v>
      </c>
      <c r="F13" s="10">
        <f>D13*E13/100</f>
        <v/>
      </c>
      <c r="G13" s="10" t="inlineStr">
        <is>
          <t>Fallen Through</t>
        </is>
      </c>
    </row>
  </sheetData>
  <dataValidations count="1">
    <dataValidation sqref="G2:G500" showDropDown="0" showInputMessage="0" showErrorMessage="0" allowBlank="1" type="list">
      <formula1>"Pending,Closed,Fallen Through"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4" customWidth="1" min="4" max="4"/>
    <col width="14" customWidth="1" min="5" max="5"/>
    <col width="16" customWidth="1" min="6" max="6"/>
  </cols>
  <sheetData>
    <row r="1">
      <c r="A1" s="6" t="inlineStr">
        <is>
          <t>Client Name</t>
        </is>
      </c>
      <c r="B1" s="6" t="inlineStr">
        <is>
          <t>Type</t>
        </is>
      </c>
      <c r="C1" s="6" t="inlineStr">
        <is>
          <t>Contact</t>
        </is>
      </c>
      <c r="D1" s="6" t="inlineStr">
        <is>
          <t>Budget $</t>
        </is>
      </c>
      <c r="E1" s="6" t="inlineStr">
        <is>
          <t>Pre-Approved</t>
        </is>
      </c>
      <c r="F1" s="6" t="inlineStr">
        <is>
          <t>Status</t>
        </is>
      </c>
    </row>
    <row r="2">
      <c r="A2" s="7" t="inlineStr">
        <is>
          <t>Alex Martin</t>
        </is>
      </c>
      <c r="B2" s="7" t="inlineStr">
        <is>
          <t>Buyer</t>
        </is>
      </c>
      <c r="C2" s="7" t="inlineStr">
        <is>
          <t>+1 555 234 5678</t>
        </is>
      </c>
      <c r="D2" s="8" t="n">
        <v>450000</v>
      </c>
      <c r="E2" s="7" t="inlineStr">
        <is>
          <t>Yes</t>
        </is>
      </c>
      <c r="F2" s="7" t="inlineStr">
        <is>
          <t>Active</t>
        </is>
      </c>
    </row>
    <row r="3">
      <c r="A3" s="10" t="inlineStr">
        <is>
          <t>Sara Lopez</t>
        </is>
      </c>
      <c r="B3" s="10" t="inlineStr">
        <is>
          <t>Seller</t>
        </is>
      </c>
      <c r="C3" s="10" t="inlineStr">
        <is>
          <t>+1 555 234 5679</t>
        </is>
      </c>
      <c r="D3" s="11" t="n">
        <v>315000</v>
      </c>
      <c r="E3" s="10" t="inlineStr">
        <is>
          <t>No</t>
        </is>
      </c>
      <c r="F3" s="10" t="inlineStr">
        <is>
          <t>Closed</t>
        </is>
      </c>
    </row>
    <row r="4">
      <c r="A4" s="7" t="inlineStr">
        <is>
          <t>Omar Haddad</t>
        </is>
      </c>
      <c r="B4" s="7" t="inlineStr">
        <is>
          <t>Both</t>
        </is>
      </c>
      <c r="C4" s="7" t="inlineStr">
        <is>
          <t>+1 555 234 5680</t>
        </is>
      </c>
      <c r="D4" s="8" t="n">
        <v>585000</v>
      </c>
      <c r="E4" s="7" t="inlineStr">
        <is>
          <t>In Progress</t>
        </is>
      </c>
      <c r="F4" s="7" t="inlineStr">
        <is>
          <t>On Hold</t>
        </is>
      </c>
    </row>
    <row r="5">
      <c r="A5" s="10" t="inlineStr">
        <is>
          <t>Emma Fischer</t>
        </is>
      </c>
      <c r="B5" s="10" t="inlineStr">
        <is>
          <t>Past Client</t>
        </is>
      </c>
      <c r="C5" s="10" t="inlineStr">
        <is>
          <t>+1 555 234 5681</t>
        </is>
      </c>
      <c r="D5" s="11" t="n">
        <v>382500</v>
      </c>
      <c r="E5" s="10" t="inlineStr">
        <is>
          <t>Yes</t>
        </is>
      </c>
      <c r="F5" s="10" t="inlineStr">
        <is>
          <t>Lost</t>
        </is>
      </c>
    </row>
    <row r="6">
      <c r="A6" s="7" t="inlineStr">
        <is>
          <t>Liam Carter</t>
        </is>
      </c>
      <c r="B6" s="7" t="inlineStr">
        <is>
          <t>Referral</t>
        </is>
      </c>
      <c r="C6" s="7" t="inlineStr">
        <is>
          <t>+1 555 234 5682</t>
        </is>
      </c>
      <c r="D6" s="8" t="n">
        <v>517500</v>
      </c>
      <c r="E6" s="7" t="inlineStr">
        <is>
          <t>No</t>
        </is>
      </c>
      <c r="F6" s="7" t="inlineStr">
        <is>
          <t>Active</t>
        </is>
      </c>
    </row>
    <row r="7">
      <c r="A7" s="10" t="inlineStr">
        <is>
          <t>Nadia Rahali</t>
        </is>
      </c>
      <c r="B7" s="10" t="inlineStr">
        <is>
          <t>Buyer</t>
        </is>
      </c>
      <c r="C7" s="10" t="inlineStr">
        <is>
          <t>+1 555 234 5683</t>
        </is>
      </c>
      <c r="D7" s="11" t="n">
        <v>270000</v>
      </c>
      <c r="E7" s="10" t="inlineStr">
        <is>
          <t>In Progress</t>
        </is>
      </c>
      <c r="F7" s="10" t="inlineStr">
        <is>
          <t>Closed</t>
        </is>
      </c>
    </row>
    <row r="8">
      <c r="A8" s="7" t="inlineStr">
        <is>
          <t>Tom Becker</t>
        </is>
      </c>
      <c r="B8" s="7" t="inlineStr">
        <is>
          <t>Seller</t>
        </is>
      </c>
      <c r="C8" s="7" t="inlineStr">
        <is>
          <t>+1 555 234 5684</t>
        </is>
      </c>
      <c r="D8" s="8" t="n">
        <v>652500</v>
      </c>
      <c r="E8" s="7" t="inlineStr">
        <is>
          <t>Yes</t>
        </is>
      </c>
      <c r="F8" s="7" t="inlineStr">
        <is>
          <t>On Hold</t>
        </is>
      </c>
    </row>
    <row r="9">
      <c r="A9" s="10" t="inlineStr">
        <is>
          <t>Julia Romero</t>
        </is>
      </c>
      <c r="B9" s="10" t="inlineStr">
        <is>
          <t>Both</t>
        </is>
      </c>
      <c r="C9" s="10" t="inlineStr">
        <is>
          <t>+1 555 234 5685</t>
        </is>
      </c>
      <c r="D9" s="11" t="n">
        <v>427500</v>
      </c>
      <c r="E9" s="10" t="inlineStr">
        <is>
          <t>No</t>
        </is>
      </c>
      <c r="F9" s="10" t="inlineStr">
        <is>
          <t>Lost</t>
        </is>
      </c>
    </row>
    <row r="10">
      <c r="A10" s="7" t="inlineStr">
        <is>
          <t>Karim Ziani</t>
        </is>
      </c>
      <c r="B10" s="7" t="inlineStr">
        <is>
          <t>Past Client</t>
        </is>
      </c>
      <c r="C10" s="7" t="inlineStr">
        <is>
          <t>+1 555 234 5686</t>
        </is>
      </c>
      <c r="D10" s="8" t="n">
        <v>562500</v>
      </c>
      <c r="E10" s="7" t="inlineStr">
        <is>
          <t>In Progress</t>
        </is>
      </c>
      <c r="F10" s="7" t="inlineStr">
        <is>
          <t>Active</t>
        </is>
      </c>
    </row>
    <row r="11">
      <c r="A11" s="10" t="inlineStr">
        <is>
          <t>Anna Kowalska</t>
        </is>
      </c>
      <c r="B11" s="10" t="inlineStr">
        <is>
          <t>Referral</t>
        </is>
      </c>
      <c r="C11" s="10" t="inlineStr">
        <is>
          <t>+1 555 234 5687</t>
        </is>
      </c>
      <c r="D11" s="11" t="n">
        <v>360000</v>
      </c>
      <c r="E11" s="10" t="inlineStr">
        <is>
          <t>Yes</t>
        </is>
      </c>
      <c r="F11" s="10" t="inlineStr">
        <is>
          <t>Closed</t>
        </is>
      </c>
    </row>
    <row r="12">
      <c r="A12" s="7" t="inlineStr">
        <is>
          <t>David Chen</t>
        </is>
      </c>
      <c r="B12" s="7" t="inlineStr">
        <is>
          <t>Buyer</t>
        </is>
      </c>
      <c r="C12" s="7" t="inlineStr">
        <is>
          <t>+1 555 234 5688</t>
        </is>
      </c>
      <c r="D12" s="8" t="n">
        <v>495000</v>
      </c>
      <c r="E12" s="7" t="inlineStr">
        <is>
          <t>No</t>
        </is>
      </c>
      <c r="F12" s="7" t="inlineStr">
        <is>
          <t>On Hold</t>
        </is>
      </c>
    </row>
    <row r="13">
      <c r="A13" s="10" t="inlineStr">
        <is>
          <t>Lea Moreau</t>
        </is>
      </c>
      <c r="B13" s="10" t="inlineStr">
        <is>
          <t>Seller</t>
        </is>
      </c>
      <c r="C13" s="10" t="inlineStr">
        <is>
          <t>+1 555 234 5689</t>
        </is>
      </c>
      <c r="D13" s="11" t="n">
        <v>337500</v>
      </c>
      <c r="E13" s="10" t="inlineStr">
        <is>
          <t>In Progress</t>
        </is>
      </c>
      <c r="F13" s="10" t="inlineStr">
        <is>
          <t>Lost</t>
        </is>
      </c>
    </row>
  </sheetData>
  <dataValidations count="3">
    <dataValidation sqref="B2:B500" showDropDown="0" showInputMessage="0" showErrorMessage="0" allowBlank="1" type="list">
      <formula1>"Buyer,Seller,Both,Past Client,Referral"</formula1>
    </dataValidation>
    <dataValidation sqref="E2:E500" showDropDown="0" showInputMessage="0" showErrorMessage="0" allowBlank="1" type="list">
      <formula1>"Yes,No,In Progress"</formula1>
    </dataValidation>
    <dataValidation sqref="F2:F500" showDropDown="0" showInputMessage="0" showErrorMessage="0" allowBlank="1" type="list">
      <formula1>"Active,Closed,On Hold,Lost"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ANNUAL REPORT</t>
        </is>
      </c>
    </row>
    <row r="4">
      <c r="B4" s="3" t="inlineStr">
        <is>
          <t>Agent Production Summary</t>
        </is>
      </c>
    </row>
    <row r="5">
      <c r="B5" s="10" t="inlineStr">
        <is>
          <t>Total Closings</t>
        </is>
      </c>
      <c r="C5" s="25">
        <f>COUNTIF(Closings!G:G,"Closed")</f>
        <v/>
      </c>
    </row>
    <row r="6">
      <c r="B6" s="7" t="inlineStr">
        <is>
          <t>Total Sales Volume</t>
        </is>
      </c>
      <c r="C6" s="26">
        <f>SUM(Closings!D:D)</f>
        <v/>
      </c>
    </row>
    <row r="7">
      <c r="B7" s="10" t="inlineStr">
        <is>
          <t>Total Commission</t>
        </is>
      </c>
      <c r="C7" s="25">
        <f>SUM(Closings!F:F)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