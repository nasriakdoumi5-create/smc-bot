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ings" sheetId="2" state="visible" r:id="rId2"/>
    <sheet name="Closings" sheetId="3" state="visible" r:id="rId3"/>
    <sheet name="Clients" sheetId="4" state="visible" r:id="rId4"/>
    <sheet name="Annual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2332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Real Estate Agent Commission Tracker</t>
        </is>
      </c>
    </row>
    <row r="3">
      <c r="A3" s="2" t="inlineStr">
        <is>
          <t>Active Listings</t>
        </is>
      </c>
      <c r="B3" s="2" t="inlineStr">
        <is>
          <t>YTD Closings</t>
        </is>
      </c>
      <c r="C3" s="2" t="inlineStr">
        <is>
          <t>YTD Commission $</t>
        </is>
      </c>
      <c r="D3" s="2" t="inlineStr">
        <is>
          <t>Pipeline Value $</t>
        </is>
      </c>
    </row>
    <row r="4" ht="36" customHeight="1">
      <c r="A4" s="3">
        <f>COUNTIF(Listings!F:F,"Active")</f>
        <v/>
      </c>
      <c r="B4" s="3">
        <f>COUNTIF(Closings!G:G,"Closed")</f>
        <v/>
      </c>
      <c r="C4" s="3">
        <f>SUM(Closings!F:F)</f>
        <v/>
      </c>
      <c r="D4" s="3">
        <f>SUMIF(Listings!F:F,"Under Contract",Listings!D:D)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CC71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4" customWidth="1" min="5" max="5"/>
    <col width="22" customWidth="1" min="6" max="6"/>
    <col width="16" customWidth="1" min="7" max="7"/>
  </cols>
  <sheetData>
    <row r="1">
      <c r="A1" s="4" t="inlineStr">
        <is>
          <t>Property Address</t>
        </is>
      </c>
      <c r="B1" s="4" t="inlineStr">
        <is>
          <t>Client</t>
        </is>
      </c>
      <c r="C1" s="4" t="inlineStr">
        <is>
          <t>List Type</t>
        </is>
      </c>
      <c r="D1" s="4" t="inlineStr">
        <is>
          <t>List Price $</t>
        </is>
      </c>
      <c r="E1" s="4" t="inlineStr">
        <is>
          <t>List Date</t>
        </is>
      </c>
      <c r="F1" s="4" t="inlineStr">
        <is>
          <t>Status</t>
        </is>
      </c>
      <c r="G1" s="4" t="inlineStr">
        <is>
          <t>Days on Market</t>
        </is>
      </c>
    </row>
    <row r="2" ht="22" customHeight="1">
      <c r="A2" s="5" t="inlineStr">
        <is>
          <t>123 Main St, City, State</t>
        </is>
      </c>
      <c r="B2" s="5" t="inlineStr">
        <is>
          <t>John &amp; Mary Smith</t>
        </is>
      </c>
      <c r="C2" s="5" t="inlineStr"/>
      <c r="D2" s="5" t="inlineStr">
        <is>
          <t>425000</t>
        </is>
      </c>
      <c r="E2" s="5" t="inlineStr">
        <is>
          <t>2024-01-15</t>
        </is>
      </c>
      <c r="F2" s="5" t="inlineStr"/>
      <c r="G2" s="5" t="inlineStr">
        <is>
          <t>12</t>
        </is>
      </c>
    </row>
    <row r="3" ht="22" customHeight="1">
      <c r="A3" s="5" t="inlineStr">
        <is>
          <t>123 Main St, City, State</t>
        </is>
      </c>
      <c r="B3" s="5" t="inlineStr">
        <is>
          <t>John &amp; Mary Smith</t>
        </is>
      </c>
      <c r="C3" s="5" t="inlineStr"/>
      <c r="D3" s="5" t="inlineStr">
        <is>
          <t>425000</t>
        </is>
      </c>
      <c r="E3" s="5" t="inlineStr">
        <is>
          <t>2024-01-15</t>
        </is>
      </c>
      <c r="F3" s="5" t="inlineStr"/>
      <c r="G3" s="5" t="inlineStr">
        <is>
          <t>12</t>
        </is>
      </c>
    </row>
    <row r="4" ht="22" customHeight="1">
      <c r="A4" s="5" t="inlineStr">
        <is>
          <t>123 Main St, City, State</t>
        </is>
      </c>
      <c r="B4" s="5" t="inlineStr">
        <is>
          <t>John &amp; Mary Smith</t>
        </is>
      </c>
      <c r="C4" s="5" t="inlineStr"/>
      <c r="D4" s="5" t="inlineStr">
        <is>
          <t>425000</t>
        </is>
      </c>
      <c r="E4" s="5" t="inlineStr">
        <is>
          <t>2024-01-15</t>
        </is>
      </c>
      <c r="F4" s="5" t="inlineStr"/>
      <c r="G4" s="5" t="inlineStr">
        <is>
          <t>12</t>
        </is>
      </c>
    </row>
    <row r="5" ht="22" customHeight="1">
      <c r="A5" s="5" t="inlineStr">
        <is>
          <t>123 Main St, City, State</t>
        </is>
      </c>
      <c r="B5" s="5" t="inlineStr">
        <is>
          <t>John &amp; Mary Smith</t>
        </is>
      </c>
      <c r="C5" s="5" t="inlineStr"/>
      <c r="D5" s="5" t="inlineStr">
        <is>
          <t>425000</t>
        </is>
      </c>
      <c r="E5" s="5" t="inlineStr">
        <is>
          <t>2024-01-15</t>
        </is>
      </c>
      <c r="F5" s="5" t="inlineStr"/>
      <c r="G5" s="5" t="inlineStr">
        <is>
          <t>12</t>
        </is>
      </c>
    </row>
    <row r="6" ht="22" customHeight="1">
      <c r="A6" s="5" t="inlineStr">
        <is>
          <t>123 Main St, City, State</t>
        </is>
      </c>
      <c r="B6" s="5" t="inlineStr">
        <is>
          <t>John &amp; Mary Smith</t>
        </is>
      </c>
      <c r="C6" s="5" t="inlineStr"/>
      <c r="D6" s="5" t="inlineStr">
        <is>
          <t>425000</t>
        </is>
      </c>
      <c r="E6" s="5" t="inlineStr">
        <is>
          <t>2024-01-15</t>
        </is>
      </c>
      <c r="F6" s="5" t="inlineStr"/>
      <c r="G6" s="5" t="inlineStr">
        <is>
          <t>12</t>
        </is>
      </c>
    </row>
    <row r="7" ht="22" customHeight="1">
      <c r="A7" s="5" t="inlineStr">
        <is>
          <t>123 Main St, City, State</t>
        </is>
      </c>
      <c r="B7" s="5" t="inlineStr">
        <is>
          <t>John &amp; Mary Smith</t>
        </is>
      </c>
      <c r="C7" s="5" t="inlineStr"/>
      <c r="D7" s="5" t="inlineStr">
        <is>
          <t>425000</t>
        </is>
      </c>
      <c r="E7" s="5" t="inlineStr">
        <is>
          <t>2024-01-15</t>
        </is>
      </c>
      <c r="F7" s="5" t="inlineStr"/>
      <c r="G7" s="5" t="inlineStr">
        <is>
          <t>12</t>
        </is>
      </c>
    </row>
    <row r="8" ht="22" customHeight="1">
      <c r="A8" s="5" t="inlineStr">
        <is>
          <t>123 Main St, City, State</t>
        </is>
      </c>
      <c r="B8" s="5" t="inlineStr">
        <is>
          <t>John &amp; Mary Smith</t>
        </is>
      </c>
      <c r="C8" s="5" t="inlineStr"/>
      <c r="D8" s="5" t="inlineStr">
        <is>
          <t>425000</t>
        </is>
      </c>
      <c r="E8" s="5" t="inlineStr">
        <is>
          <t>2024-01-15</t>
        </is>
      </c>
      <c r="F8" s="5" t="inlineStr"/>
      <c r="G8" s="5" t="inlineStr">
        <is>
          <t>12</t>
        </is>
      </c>
    </row>
    <row r="9" ht="22" customHeight="1">
      <c r="A9" s="5" t="inlineStr">
        <is>
          <t>123 Main St, City, State</t>
        </is>
      </c>
      <c r="B9" s="5" t="inlineStr">
        <is>
          <t>John &amp; Mary Smith</t>
        </is>
      </c>
      <c r="C9" s="5" t="inlineStr"/>
      <c r="D9" s="5" t="inlineStr">
        <is>
          <t>425000</t>
        </is>
      </c>
      <c r="E9" s="5" t="inlineStr">
        <is>
          <t>2024-01-15</t>
        </is>
      </c>
      <c r="F9" s="5" t="inlineStr"/>
      <c r="G9" s="5" t="inlineStr">
        <is>
          <t>12</t>
        </is>
      </c>
    </row>
    <row r="10" ht="22" customHeight="1">
      <c r="A10" s="5" t="inlineStr">
        <is>
          <t>123 Main St, City, State</t>
        </is>
      </c>
      <c r="B10" s="5" t="inlineStr">
        <is>
          <t>John &amp; Mary Smith</t>
        </is>
      </c>
      <c r="C10" s="5" t="inlineStr"/>
      <c r="D10" s="5" t="inlineStr">
        <is>
          <t>425000</t>
        </is>
      </c>
      <c r="E10" s="5" t="inlineStr">
        <is>
          <t>2024-01-15</t>
        </is>
      </c>
      <c r="F10" s="5" t="inlineStr"/>
      <c r="G10" s="5" t="inlineStr">
        <is>
          <t>12</t>
        </is>
      </c>
    </row>
    <row r="11" ht="22" customHeight="1">
      <c r="A11" s="5" t="inlineStr">
        <is>
          <t>123 Main St, City, State</t>
        </is>
      </c>
      <c r="B11" s="5" t="inlineStr">
        <is>
          <t>John &amp; Mary Smith</t>
        </is>
      </c>
      <c r="C11" s="5" t="inlineStr"/>
      <c r="D11" s="5" t="inlineStr">
        <is>
          <t>425000</t>
        </is>
      </c>
      <c r="E11" s="5" t="inlineStr">
        <is>
          <t>2024-01-15</t>
        </is>
      </c>
      <c r="F11" s="5" t="inlineStr"/>
      <c r="G11" s="5" t="inlineStr">
        <is>
          <t>12</t>
        </is>
      </c>
    </row>
    <row r="12" ht="22" customHeight="1">
      <c r="A12" s="5" t="inlineStr">
        <is>
          <t>123 Main St, City, State</t>
        </is>
      </c>
      <c r="B12" s="5" t="inlineStr">
        <is>
          <t>John &amp; Mary Smith</t>
        </is>
      </c>
      <c r="C12" s="5" t="inlineStr"/>
      <c r="D12" s="5" t="inlineStr">
        <is>
          <t>425000</t>
        </is>
      </c>
      <c r="E12" s="5" t="inlineStr">
        <is>
          <t>2024-01-15</t>
        </is>
      </c>
      <c r="F12" s="5" t="inlineStr"/>
      <c r="G12" s="5" t="inlineStr">
        <is>
          <t>12</t>
        </is>
      </c>
    </row>
    <row r="13" ht="22" customHeight="1">
      <c r="A13" s="5" t="inlineStr">
        <is>
          <t>123 Main St, City, State</t>
        </is>
      </c>
      <c r="B13" s="5" t="inlineStr">
        <is>
          <t>John &amp; Mary Smith</t>
        </is>
      </c>
      <c r="C13" s="5" t="inlineStr"/>
      <c r="D13" s="5" t="inlineStr">
        <is>
          <t>425000</t>
        </is>
      </c>
      <c r="E13" s="5" t="inlineStr">
        <is>
          <t>2024-01-15</t>
        </is>
      </c>
      <c r="F13" s="5" t="inlineStr"/>
      <c r="G13" s="5" t="inlineStr">
        <is>
          <t>12</t>
        </is>
      </c>
    </row>
    <row r="14" ht="22" customHeight="1">
      <c r="A14" s="5" t="inlineStr">
        <is>
          <t>123 Main St, City, State</t>
        </is>
      </c>
      <c r="B14" s="5" t="inlineStr">
        <is>
          <t>John &amp; Mary Smith</t>
        </is>
      </c>
      <c r="C14" s="5" t="inlineStr"/>
      <c r="D14" s="5" t="inlineStr">
        <is>
          <t>425000</t>
        </is>
      </c>
      <c r="E14" s="5" t="inlineStr">
        <is>
          <t>2024-01-15</t>
        </is>
      </c>
      <c r="F14" s="5" t="inlineStr"/>
      <c r="G14" s="5" t="inlineStr">
        <is>
          <t>12</t>
        </is>
      </c>
    </row>
    <row r="15" ht="22" customHeight="1">
      <c r="A15" s="5" t="inlineStr">
        <is>
          <t>123 Main St, City, State</t>
        </is>
      </c>
      <c r="B15" s="5" t="inlineStr">
        <is>
          <t>John &amp; Mary Smith</t>
        </is>
      </c>
      <c r="C15" s="5" t="inlineStr"/>
      <c r="D15" s="5" t="inlineStr">
        <is>
          <t>425000</t>
        </is>
      </c>
      <c r="E15" s="5" t="inlineStr">
        <is>
          <t>2024-01-15</t>
        </is>
      </c>
      <c r="F15" s="5" t="inlineStr"/>
      <c r="G15" s="5" t="inlineStr">
        <is>
          <t>12</t>
        </is>
      </c>
    </row>
    <row r="16" ht="22" customHeight="1">
      <c r="A16" s="5" t="inlineStr">
        <is>
          <t>123 Main St, City, State</t>
        </is>
      </c>
      <c r="B16" s="5" t="inlineStr">
        <is>
          <t>John &amp; Mary Smith</t>
        </is>
      </c>
      <c r="C16" s="5" t="inlineStr"/>
      <c r="D16" s="5" t="inlineStr">
        <is>
          <t>425000</t>
        </is>
      </c>
      <c r="E16" s="5" t="inlineStr">
        <is>
          <t>2024-01-15</t>
        </is>
      </c>
      <c r="F16" s="5" t="inlineStr"/>
      <c r="G16" s="5" t="inlineStr">
        <is>
          <t>12</t>
        </is>
      </c>
    </row>
  </sheetData>
  <dataValidations count="2">
    <dataValidation sqref="C2 C3 C4 C5 C6 C7 C8 C9 C10 C11 C12 C13 C14 C15 C16" showDropDown="0" showInputMessage="0" showErrorMessage="0" allowBlank="1" type="list">
      <formula1>"Seller","Buyer","Rental"</formula1>
    </dataValidation>
    <dataValidation sqref="F2 F3 F4 F5 F6 F7 F8 F9 F10 F11 F12 F13 F14 F15 F16" showDropDown="0" showInputMessage="0" showErrorMessage="0" allowBlank="1" type="list">
      <formula1>"Active","Under Contract","Closed","Expired","Withdrawn"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7AE6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Property</t>
        </is>
      </c>
      <c r="B1" s="4" t="inlineStr">
        <is>
          <t>Client</t>
        </is>
      </c>
      <c r="C1" s="4" t="inlineStr">
        <is>
          <t>Close Date</t>
        </is>
      </c>
      <c r="D1" s="4" t="inlineStr">
        <is>
          <t>Sale Price $</t>
        </is>
      </c>
      <c r="E1" s="4" t="inlineStr">
        <is>
          <t>Commission %</t>
        </is>
      </c>
      <c r="F1" s="4" t="inlineStr">
        <is>
          <t>Commission $</t>
        </is>
      </c>
      <c r="G1" s="4" t="inlineStr">
        <is>
          <t>Status</t>
        </is>
      </c>
    </row>
    <row r="2" ht="22" customHeight="1">
      <c r="A2" s="5" t="inlineStr">
        <is>
          <t>123 Main St</t>
        </is>
      </c>
      <c r="B2" s="5" t="inlineStr">
        <is>
          <t>John &amp; Mary Smith</t>
        </is>
      </c>
      <c r="C2" s="5" t="inlineStr">
        <is>
          <t>2024-02-10</t>
        </is>
      </c>
      <c r="D2" s="5" t="inlineStr">
        <is>
          <t>418000</t>
        </is>
      </c>
      <c r="E2" s="5" t="inlineStr">
        <is>
          <t>3</t>
        </is>
      </c>
      <c r="F2" s="6">
        <f>D2*E2/100</f>
        <v/>
      </c>
      <c r="G2" s="5" t="inlineStr"/>
    </row>
    <row r="3" ht="22" customHeight="1">
      <c r="A3" s="5" t="inlineStr">
        <is>
          <t>123 Main St</t>
        </is>
      </c>
      <c r="B3" s="5" t="inlineStr">
        <is>
          <t>John &amp; Mary Smith</t>
        </is>
      </c>
      <c r="C3" s="5" t="inlineStr">
        <is>
          <t>2024-02-10</t>
        </is>
      </c>
      <c r="D3" s="5" t="inlineStr">
        <is>
          <t>418000</t>
        </is>
      </c>
      <c r="E3" s="5" t="inlineStr">
        <is>
          <t>3</t>
        </is>
      </c>
      <c r="F3" s="6">
        <f>D3*E3/100</f>
        <v/>
      </c>
      <c r="G3" s="5" t="inlineStr"/>
    </row>
    <row r="4" ht="22" customHeight="1">
      <c r="A4" s="5" t="inlineStr">
        <is>
          <t>123 Main St</t>
        </is>
      </c>
      <c r="B4" s="5" t="inlineStr">
        <is>
          <t>John &amp; Mary Smith</t>
        </is>
      </c>
      <c r="C4" s="5" t="inlineStr">
        <is>
          <t>2024-02-10</t>
        </is>
      </c>
      <c r="D4" s="5" t="inlineStr">
        <is>
          <t>418000</t>
        </is>
      </c>
      <c r="E4" s="5" t="inlineStr">
        <is>
          <t>3</t>
        </is>
      </c>
      <c r="F4" s="6">
        <f>D4*E4/100</f>
        <v/>
      </c>
      <c r="G4" s="5" t="inlineStr"/>
    </row>
    <row r="5" ht="22" customHeight="1">
      <c r="A5" s="5" t="inlineStr">
        <is>
          <t>123 Main St</t>
        </is>
      </c>
      <c r="B5" s="5" t="inlineStr">
        <is>
          <t>John &amp; Mary Smith</t>
        </is>
      </c>
      <c r="C5" s="5" t="inlineStr">
        <is>
          <t>2024-02-10</t>
        </is>
      </c>
      <c r="D5" s="5" t="inlineStr">
        <is>
          <t>418000</t>
        </is>
      </c>
      <c r="E5" s="5" t="inlineStr">
        <is>
          <t>3</t>
        </is>
      </c>
      <c r="F5" s="6">
        <f>D5*E5/100</f>
        <v/>
      </c>
      <c r="G5" s="5" t="inlineStr"/>
    </row>
    <row r="6" ht="22" customHeight="1">
      <c r="A6" s="5" t="inlineStr">
        <is>
          <t>123 Main St</t>
        </is>
      </c>
      <c r="B6" s="5" t="inlineStr">
        <is>
          <t>John &amp; Mary Smith</t>
        </is>
      </c>
      <c r="C6" s="5" t="inlineStr">
        <is>
          <t>2024-02-10</t>
        </is>
      </c>
      <c r="D6" s="5" t="inlineStr">
        <is>
          <t>418000</t>
        </is>
      </c>
      <c r="E6" s="5" t="inlineStr">
        <is>
          <t>3</t>
        </is>
      </c>
      <c r="F6" s="6">
        <f>D6*E6/100</f>
        <v/>
      </c>
      <c r="G6" s="5" t="inlineStr"/>
    </row>
    <row r="7" ht="22" customHeight="1">
      <c r="A7" s="5" t="inlineStr">
        <is>
          <t>123 Main St</t>
        </is>
      </c>
      <c r="B7" s="5" t="inlineStr">
        <is>
          <t>John &amp; Mary Smith</t>
        </is>
      </c>
      <c r="C7" s="5" t="inlineStr">
        <is>
          <t>2024-02-10</t>
        </is>
      </c>
      <c r="D7" s="5" t="inlineStr">
        <is>
          <t>418000</t>
        </is>
      </c>
      <c r="E7" s="5" t="inlineStr">
        <is>
          <t>3</t>
        </is>
      </c>
      <c r="F7" s="6">
        <f>D7*E7/100</f>
        <v/>
      </c>
      <c r="G7" s="5" t="inlineStr"/>
    </row>
    <row r="8" ht="22" customHeight="1">
      <c r="A8" s="5" t="inlineStr">
        <is>
          <t>123 Main St</t>
        </is>
      </c>
      <c r="B8" s="5" t="inlineStr">
        <is>
          <t>John &amp; Mary Smith</t>
        </is>
      </c>
      <c r="C8" s="5" t="inlineStr">
        <is>
          <t>2024-02-10</t>
        </is>
      </c>
      <c r="D8" s="5" t="inlineStr">
        <is>
          <t>418000</t>
        </is>
      </c>
      <c r="E8" s="5" t="inlineStr">
        <is>
          <t>3</t>
        </is>
      </c>
      <c r="F8" s="6">
        <f>D8*E8/100</f>
        <v/>
      </c>
      <c r="G8" s="5" t="inlineStr"/>
    </row>
    <row r="9" ht="22" customHeight="1">
      <c r="A9" s="5" t="inlineStr">
        <is>
          <t>123 Main St</t>
        </is>
      </c>
      <c r="B9" s="5" t="inlineStr">
        <is>
          <t>John &amp; Mary Smith</t>
        </is>
      </c>
      <c r="C9" s="5" t="inlineStr">
        <is>
          <t>2024-02-10</t>
        </is>
      </c>
      <c r="D9" s="5" t="inlineStr">
        <is>
          <t>418000</t>
        </is>
      </c>
      <c r="E9" s="5" t="inlineStr">
        <is>
          <t>3</t>
        </is>
      </c>
      <c r="F9" s="6">
        <f>D9*E9/100</f>
        <v/>
      </c>
      <c r="G9" s="5" t="inlineStr"/>
    </row>
    <row r="10" ht="22" customHeight="1">
      <c r="A10" s="5" t="inlineStr">
        <is>
          <t>123 Main St</t>
        </is>
      </c>
      <c r="B10" s="5" t="inlineStr">
        <is>
          <t>John &amp; Mary Smith</t>
        </is>
      </c>
      <c r="C10" s="5" t="inlineStr">
        <is>
          <t>2024-02-10</t>
        </is>
      </c>
      <c r="D10" s="5" t="inlineStr">
        <is>
          <t>418000</t>
        </is>
      </c>
      <c r="E10" s="5" t="inlineStr">
        <is>
          <t>3</t>
        </is>
      </c>
      <c r="F10" s="6">
        <f>D10*E10/100</f>
        <v/>
      </c>
      <c r="G10" s="5" t="inlineStr"/>
    </row>
    <row r="11" ht="22" customHeight="1">
      <c r="A11" s="5" t="inlineStr">
        <is>
          <t>123 Main St</t>
        </is>
      </c>
      <c r="B11" s="5" t="inlineStr">
        <is>
          <t>John &amp; Mary Smith</t>
        </is>
      </c>
      <c r="C11" s="5" t="inlineStr">
        <is>
          <t>2024-02-10</t>
        </is>
      </c>
      <c r="D11" s="5" t="inlineStr">
        <is>
          <t>418000</t>
        </is>
      </c>
      <c r="E11" s="5" t="inlineStr">
        <is>
          <t>3</t>
        </is>
      </c>
      <c r="F11" s="6">
        <f>D11*E11/100</f>
        <v/>
      </c>
      <c r="G11" s="5" t="inlineStr"/>
    </row>
    <row r="12" ht="22" customHeight="1">
      <c r="A12" s="5" t="inlineStr">
        <is>
          <t>123 Main St</t>
        </is>
      </c>
      <c r="B12" s="5" t="inlineStr">
        <is>
          <t>John &amp; Mary Smith</t>
        </is>
      </c>
      <c r="C12" s="5" t="inlineStr">
        <is>
          <t>2024-02-10</t>
        </is>
      </c>
      <c r="D12" s="5" t="inlineStr">
        <is>
          <t>418000</t>
        </is>
      </c>
      <c r="E12" s="5" t="inlineStr">
        <is>
          <t>3</t>
        </is>
      </c>
      <c r="F12" s="6">
        <f>D12*E12/100</f>
        <v/>
      </c>
      <c r="G12" s="5" t="inlineStr"/>
    </row>
    <row r="13" ht="22" customHeight="1">
      <c r="A13" s="5" t="inlineStr">
        <is>
          <t>123 Main St</t>
        </is>
      </c>
      <c r="B13" s="5" t="inlineStr">
        <is>
          <t>John &amp; Mary Smith</t>
        </is>
      </c>
      <c r="C13" s="5" t="inlineStr">
        <is>
          <t>2024-02-10</t>
        </is>
      </c>
      <c r="D13" s="5" t="inlineStr">
        <is>
          <t>418000</t>
        </is>
      </c>
      <c r="E13" s="5" t="inlineStr">
        <is>
          <t>3</t>
        </is>
      </c>
      <c r="F13" s="6">
        <f>D13*E13/100</f>
        <v/>
      </c>
      <c r="G13" s="5" t="inlineStr"/>
    </row>
    <row r="14" ht="22" customHeight="1">
      <c r="A14" s="5" t="inlineStr">
        <is>
          <t>123 Main St</t>
        </is>
      </c>
      <c r="B14" s="5" t="inlineStr">
        <is>
          <t>John &amp; Mary Smith</t>
        </is>
      </c>
      <c r="C14" s="5" t="inlineStr">
        <is>
          <t>2024-02-10</t>
        </is>
      </c>
      <c r="D14" s="5" t="inlineStr">
        <is>
          <t>418000</t>
        </is>
      </c>
      <c r="E14" s="5" t="inlineStr">
        <is>
          <t>3</t>
        </is>
      </c>
      <c r="F14" s="6">
        <f>D14*E14/100</f>
        <v/>
      </c>
      <c r="G14" s="5" t="inlineStr"/>
    </row>
    <row r="15" ht="22" customHeight="1">
      <c r="A15" s="5" t="inlineStr">
        <is>
          <t>123 Main St</t>
        </is>
      </c>
      <c r="B15" s="5" t="inlineStr">
        <is>
          <t>John &amp; Mary Smith</t>
        </is>
      </c>
      <c r="C15" s="5" t="inlineStr">
        <is>
          <t>2024-02-10</t>
        </is>
      </c>
      <c r="D15" s="5" t="inlineStr">
        <is>
          <t>418000</t>
        </is>
      </c>
      <c r="E15" s="5" t="inlineStr">
        <is>
          <t>3</t>
        </is>
      </c>
      <c r="F15" s="6">
        <f>D15*E15/100</f>
        <v/>
      </c>
      <c r="G15" s="5" t="inlineStr"/>
    </row>
    <row r="16" ht="22" customHeight="1">
      <c r="A16" s="5" t="inlineStr">
        <is>
          <t>123 Main St</t>
        </is>
      </c>
      <c r="B16" s="5" t="inlineStr">
        <is>
          <t>John &amp; Mary Smith</t>
        </is>
      </c>
      <c r="C16" s="5" t="inlineStr">
        <is>
          <t>2024-02-10</t>
        </is>
      </c>
      <c r="D16" s="5" t="inlineStr">
        <is>
          <t>418000</t>
        </is>
      </c>
      <c r="E16" s="5" t="inlineStr">
        <is>
          <t>3</t>
        </is>
      </c>
      <c r="F16" s="6">
        <f>D16*E16/100</f>
        <v/>
      </c>
      <c r="G16" s="5" t="inlineStr"/>
    </row>
  </sheetData>
  <dataValidations count="1">
    <dataValidation sqref="G2 G3 G4 G5 G6 G7 G8 G9 G10 G11 G12 G13 G14 G15 G16" showDropDown="0" showInputMessage="0" showErrorMessage="0" allowBlank="1" type="list">
      <formula1>"Pending","Closed","Fallen Through"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1C40F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4" t="inlineStr">
        <is>
          <t>Client Name</t>
        </is>
      </c>
      <c r="B1" s="4" t="inlineStr">
        <is>
          <t>Type</t>
        </is>
      </c>
      <c r="C1" s="4" t="inlineStr">
        <is>
          <t>Contact</t>
        </is>
      </c>
      <c r="D1" s="4" t="inlineStr">
        <is>
          <t>Budget $</t>
        </is>
      </c>
      <c r="E1" s="4" t="inlineStr">
        <is>
          <t>Pre-Approved</t>
        </is>
      </c>
      <c r="F1" s="4" t="inlineStr">
        <is>
          <t>Status</t>
        </is>
      </c>
    </row>
    <row r="2" ht="22" customHeight="1">
      <c r="A2" s="5" t="inlineStr">
        <is>
          <t>John &amp; Mary Smith</t>
        </is>
      </c>
      <c r="B2" s="5" t="inlineStr"/>
      <c r="C2" s="5" t="inlineStr">
        <is>
          <t>+1 555 234 5678</t>
        </is>
      </c>
      <c r="D2" s="5" t="inlineStr">
        <is>
          <t>450000</t>
        </is>
      </c>
      <c r="E2" s="5" t="inlineStr"/>
      <c r="F2" s="5" t="inlineStr"/>
    </row>
    <row r="3" ht="22" customHeight="1">
      <c r="A3" s="5" t="inlineStr">
        <is>
          <t>John &amp; Mary Smith</t>
        </is>
      </c>
      <c r="B3" s="5" t="inlineStr"/>
      <c r="C3" s="5" t="inlineStr">
        <is>
          <t>+1 555 234 5678</t>
        </is>
      </c>
      <c r="D3" s="5" t="inlineStr">
        <is>
          <t>450000</t>
        </is>
      </c>
      <c r="E3" s="5" t="inlineStr"/>
      <c r="F3" s="5" t="inlineStr"/>
    </row>
    <row r="4" ht="22" customHeight="1">
      <c r="A4" s="5" t="inlineStr">
        <is>
          <t>John &amp; Mary Smith</t>
        </is>
      </c>
      <c r="B4" s="5" t="inlineStr"/>
      <c r="C4" s="5" t="inlineStr">
        <is>
          <t>+1 555 234 5678</t>
        </is>
      </c>
      <c r="D4" s="5" t="inlineStr">
        <is>
          <t>450000</t>
        </is>
      </c>
      <c r="E4" s="5" t="inlineStr"/>
      <c r="F4" s="5" t="inlineStr"/>
    </row>
    <row r="5" ht="22" customHeight="1">
      <c r="A5" s="5" t="inlineStr">
        <is>
          <t>John &amp; Mary Smith</t>
        </is>
      </c>
      <c r="B5" s="5" t="inlineStr"/>
      <c r="C5" s="5" t="inlineStr">
        <is>
          <t>+1 555 234 5678</t>
        </is>
      </c>
      <c r="D5" s="5" t="inlineStr">
        <is>
          <t>450000</t>
        </is>
      </c>
      <c r="E5" s="5" t="inlineStr"/>
      <c r="F5" s="5" t="inlineStr"/>
    </row>
    <row r="6" ht="22" customHeight="1">
      <c r="A6" s="5" t="inlineStr">
        <is>
          <t>John &amp; Mary Smith</t>
        </is>
      </c>
      <c r="B6" s="5" t="inlineStr"/>
      <c r="C6" s="5" t="inlineStr">
        <is>
          <t>+1 555 234 5678</t>
        </is>
      </c>
      <c r="D6" s="5" t="inlineStr">
        <is>
          <t>450000</t>
        </is>
      </c>
      <c r="E6" s="5" t="inlineStr"/>
      <c r="F6" s="5" t="inlineStr"/>
    </row>
    <row r="7" ht="22" customHeight="1">
      <c r="A7" s="5" t="inlineStr">
        <is>
          <t>John &amp; Mary Smith</t>
        </is>
      </c>
      <c r="B7" s="5" t="inlineStr"/>
      <c r="C7" s="5" t="inlineStr">
        <is>
          <t>+1 555 234 5678</t>
        </is>
      </c>
      <c r="D7" s="5" t="inlineStr">
        <is>
          <t>450000</t>
        </is>
      </c>
      <c r="E7" s="5" t="inlineStr"/>
      <c r="F7" s="5" t="inlineStr"/>
    </row>
    <row r="8" ht="22" customHeight="1">
      <c r="A8" s="5" t="inlineStr">
        <is>
          <t>John &amp; Mary Smith</t>
        </is>
      </c>
      <c r="B8" s="5" t="inlineStr"/>
      <c r="C8" s="5" t="inlineStr">
        <is>
          <t>+1 555 234 5678</t>
        </is>
      </c>
      <c r="D8" s="5" t="inlineStr">
        <is>
          <t>450000</t>
        </is>
      </c>
      <c r="E8" s="5" t="inlineStr"/>
      <c r="F8" s="5" t="inlineStr"/>
    </row>
    <row r="9" ht="22" customHeight="1">
      <c r="A9" s="5" t="inlineStr">
        <is>
          <t>John &amp; Mary Smith</t>
        </is>
      </c>
      <c r="B9" s="5" t="inlineStr"/>
      <c r="C9" s="5" t="inlineStr">
        <is>
          <t>+1 555 234 5678</t>
        </is>
      </c>
      <c r="D9" s="5" t="inlineStr">
        <is>
          <t>450000</t>
        </is>
      </c>
      <c r="E9" s="5" t="inlineStr"/>
      <c r="F9" s="5" t="inlineStr"/>
    </row>
    <row r="10" ht="22" customHeight="1">
      <c r="A10" s="5" t="inlineStr">
        <is>
          <t>John &amp; Mary Smith</t>
        </is>
      </c>
      <c r="B10" s="5" t="inlineStr"/>
      <c r="C10" s="5" t="inlineStr">
        <is>
          <t>+1 555 234 5678</t>
        </is>
      </c>
      <c r="D10" s="5" t="inlineStr">
        <is>
          <t>450000</t>
        </is>
      </c>
      <c r="E10" s="5" t="inlineStr"/>
      <c r="F10" s="5" t="inlineStr"/>
    </row>
    <row r="11" ht="22" customHeight="1">
      <c r="A11" s="5" t="inlineStr">
        <is>
          <t>John &amp; Mary Smith</t>
        </is>
      </c>
      <c r="B11" s="5" t="inlineStr"/>
      <c r="C11" s="5" t="inlineStr">
        <is>
          <t>+1 555 234 5678</t>
        </is>
      </c>
      <c r="D11" s="5" t="inlineStr">
        <is>
          <t>450000</t>
        </is>
      </c>
      <c r="E11" s="5" t="inlineStr"/>
      <c r="F11" s="5" t="inlineStr"/>
    </row>
    <row r="12" ht="22" customHeight="1">
      <c r="A12" s="5" t="inlineStr">
        <is>
          <t>John &amp; Mary Smith</t>
        </is>
      </c>
      <c r="B12" s="5" t="inlineStr"/>
      <c r="C12" s="5" t="inlineStr">
        <is>
          <t>+1 555 234 5678</t>
        </is>
      </c>
      <c r="D12" s="5" t="inlineStr">
        <is>
          <t>450000</t>
        </is>
      </c>
      <c r="E12" s="5" t="inlineStr"/>
      <c r="F12" s="5" t="inlineStr"/>
    </row>
    <row r="13" ht="22" customHeight="1">
      <c r="A13" s="5" t="inlineStr">
        <is>
          <t>John &amp; Mary Smith</t>
        </is>
      </c>
      <c r="B13" s="5" t="inlineStr"/>
      <c r="C13" s="5" t="inlineStr">
        <is>
          <t>+1 555 234 5678</t>
        </is>
      </c>
      <c r="D13" s="5" t="inlineStr">
        <is>
          <t>450000</t>
        </is>
      </c>
      <c r="E13" s="5" t="inlineStr"/>
      <c r="F13" s="5" t="inlineStr"/>
    </row>
    <row r="14" ht="22" customHeight="1">
      <c r="A14" s="5" t="inlineStr">
        <is>
          <t>John &amp; Mary Smith</t>
        </is>
      </c>
      <c r="B14" s="5" t="inlineStr"/>
      <c r="C14" s="5" t="inlineStr">
        <is>
          <t>+1 555 234 5678</t>
        </is>
      </c>
      <c r="D14" s="5" t="inlineStr">
        <is>
          <t>450000</t>
        </is>
      </c>
      <c r="E14" s="5" t="inlineStr"/>
      <c r="F14" s="5" t="inlineStr"/>
    </row>
    <row r="15" ht="22" customHeight="1">
      <c r="A15" s="5" t="inlineStr">
        <is>
          <t>John &amp; Mary Smith</t>
        </is>
      </c>
      <c r="B15" s="5" t="inlineStr"/>
      <c r="C15" s="5" t="inlineStr">
        <is>
          <t>+1 555 234 5678</t>
        </is>
      </c>
      <c r="D15" s="5" t="inlineStr">
        <is>
          <t>450000</t>
        </is>
      </c>
      <c r="E15" s="5" t="inlineStr"/>
      <c r="F15" s="5" t="inlineStr"/>
    </row>
    <row r="16" ht="22" customHeight="1">
      <c r="A16" s="5" t="inlineStr">
        <is>
          <t>John &amp; Mary Smith</t>
        </is>
      </c>
      <c r="B16" s="5" t="inlineStr"/>
      <c r="C16" s="5" t="inlineStr">
        <is>
          <t>+1 555 234 5678</t>
        </is>
      </c>
      <c r="D16" s="5" t="inlineStr">
        <is>
          <t>450000</t>
        </is>
      </c>
      <c r="E16" s="5" t="inlineStr"/>
      <c r="F16" s="5" t="inlineStr"/>
    </row>
  </sheetData>
  <dataValidations count="3">
    <dataValidation sqref="B2 B3 B4 B5 B6 B7 B8 B9 B10 B11 B12 B13 B14 B15 B16" showDropDown="0" showInputMessage="0" showErrorMessage="0" allowBlank="1" type="list">
      <formula1>"Buyer","Seller","Both","Past Client","Referral"</formula1>
    </dataValidation>
    <dataValidation sqref="E2 E3 E4 E5 E6 E7 E8 E9 E10 E11 E12 E13 E14 E15 E16" showDropDown="0" showInputMessage="0" showErrorMessage="0" allowBlank="1" type="list">
      <formula1>"Yes","No","In Progress"</formula1>
    </dataValidation>
    <dataValidation sqref="F2 F3 F4 F5 F6 F7 F8 F9 F10 F11 F12 F13 F14 F15 F16" showDropDown="0" showInputMessage="0" showErrorMessage="0" allowBlank="1" type="list">
      <formula1>"Active","Closed","On Hold","Lost"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74C3C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Agent Production Summary</t>
        </is>
      </c>
    </row>
    <row r="4">
      <c r="A4" s="9" t="inlineStr">
        <is>
          <t>Total Closings</t>
        </is>
      </c>
      <c r="B4" s="6">
        <f>COUNTIF(Closings!G:G,"Closed")</f>
        <v/>
      </c>
    </row>
    <row r="5">
      <c r="A5" s="9" t="inlineStr">
        <is>
          <t>Total Sales Volume</t>
        </is>
      </c>
      <c r="B5" s="6">
        <f>SUM(Closings!D:D)</f>
        <v/>
      </c>
    </row>
    <row r="6">
      <c r="A6" s="9" t="inlineStr">
        <is>
          <t>Total Commission</t>
        </is>
      </c>
      <c r="B6" s="6">
        <f>SUM(Closings!F:F)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2026-06-16T07:19:33Z</dcterms:created>
  <dcterms:modified xsi:type="dcterms:W3CDTF">2026-06-16T07:19:33Z</dcterms:modified>
</cp:coreProperties>
</file>