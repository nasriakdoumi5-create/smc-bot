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ccounts" sheetId="2" state="visible" r:id="rId2"/>
    <sheet name="Dashboard" sheetId="3" state="visible" r:id="rId3"/>
    <sheet name="Projections" sheetId="4" state="visible" r:id="rId4"/>
    <sheet name="Budget in Retirement" sheetId="5" state="visible" r:id="rId5"/>
    <sheet name="FIRE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0891B2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64E63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64E63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🌴  RETIREMENT SAVINGS PLANNER</t>
        </is>
      </c>
    </row>
    <row r="3"/>
    <row r="4">
      <c r="B4" s="2" t="inlineStr">
        <is>
          <t>401k, IRA &amp; FIRE Calculator Google Sheets</t>
        </is>
      </c>
    </row>
    <row r="6">
      <c r="B6" s="3" t="inlineStr">
        <is>
          <t>STEP 1 — Fill in “Accounts”</t>
        </is>
      </c>
    </row>
    <row r="7" ht="28" customHeight="1">
      <c r="B7" s="4" t="inlineStr">
        <is>
          <t>All retirement accounts: 401k, IRA, brokerage, pension.</t>
        </is>
      </c>
    </row>
    <row r="9">
      <c r="B9" s="3" t="inlineStr">
        <is>
          <t>STEP 2 — Fill in “Projections”</t>
        </is>
      </c>
    </row>
    <row r="10" ht="28" customHeight="1">
      <c r="B10" s="4" t="inlineStr">
        <is>
          <t>Year-by-year projection of portfolio growth to retirement.</t>
        </is>
      </c>
    </row>
    <row r="12">
      <c r="B12" s="3" t="inlineStr">
        <is>
          <t>STEP 3 — Fill in “Budget in Retirement”</t>
        </is>
      </c>
    </row>
    <row r="13" ht="28" customHeight="1">
      <c r="B13" s="4" t="inlineStr">
        <is>
          <t>Estimate your monthly retirement expenses.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22" customWidth="1" min="4" max="4"/>
    <col width="18" customWidth="1" min="5" max="5"/>
    <col width="14" customWidth="1" min="6" max="6"/>
  </cols>
  <sheetData>
    <row r="1">
      <c r="A1" s="6" t="inlineStr">
        <is>
          <t>Account</t>
        </is>
      </c>
      <c r="B1" s="6" t="inlineStr">
        <is>
          <t>Type</t>
        </is>
      </c>
      <c r="C1" s="6" t="inlineStr">
        <is>
          <t>Balance $</t>
        </is>
      </c>
      <c r="D1" s="6" t="inlineStr">
        <is>
          <t>Annual Contribution</t>
        </is>
      </c>
      <c r="E1" s="6" t="inlineStr">
        <is>
          <t>Employer Match</t>
        </is>
      </c>
      <c r="F1" s="6" t="inlineStr">
        <is>
          <t>Return %</t>
        </is>
      </c>
    </row>
    <row r="2">
      <c r="A2" s="7" t="inlineStr">
        <is>
          <t>401k - Fidelity</t>
        </is>
      </c>
      <c r="B2" s="7" t="inlineStr">
        <is>
          <t>401k</t>
        </is>
      </c>
      <c r="C2" s="8" t="n">
        <v>85000</v>
      </c>
      <c r="D2" s="7" t="n">
        <v>7500</v>
      </c>
      <c r="E2" s="7" t="n">
        <v>3000</v>
      </c>
      <c r="F2" s="7" t="n">
        <v>7</v>
      </c>
    </row>
    <row r="3">
      <c r="A3" s="9" t="inlineStr">
        <is>
          <t>401k - Fidelity</t>
        </is>
      </c>
      <c r="B3" s="9" t="inlineStr">
        <is>
          <t>Roth 401k</t>
        </is>
      </c>
      <c r="C3" s="10" t="n">
        <v>59500</v>
      </c>
      <c r="D3" s="9" t="n">
        <v>5250</v>
      </c>
      <c r="E3" s="9" t="n">
        <v>2100</v>
      </c>
      <c r="F3" s="9" t="n">
        <v>4.9</v>
      </c>
    </row>
    <row r="4">
      <c r="A4" s="7" t="inlineStr"/>
      <c r="B4" s="7" t="inlineStr">
        <is>
          <t>IRA</t>
        </is>
      </c>
      <c r="C4" s="8" t="n">
        <v>110500</v>
      </c>
      <c r="D4" s="7" t="n">
        <v>9750</v>
      </c>
      <c r="E4" s="7" t="n">
        <v>3900</v>
      </c>
      <c r="F4" s="7" t="n">
        <v>9.1</v>
      </c>
    </row>
    <row r="5">
      <c r="A5" s="9" t="inlineStr">
        <is>
          <t>401k - Fidelity</t>
        </is>
      </c>
      <c r="B5" s="9" t="inlineStr">
        <is>
          <t>Roth IRA</t>
        </is>
      </c>
      <c r="C5" s="10" t="n">
        <v>72250</v>
      </c>
      <c r="D5" s="9" t="n">
        <v>6375</v>
      </c>
      <c r="E5" s="9" t="n">
        <v>2550</v>
      </c>
      <c r="F5" s="9" t="n">
        <v>5.95</v>
      </c>
    </row>
    <row r="6">
      <c r="A6" s="7" t="inlineStr">
        <is>
          <t>401k - Fidelity</t>
        </is>
      </c>
      <c r="B6" s="7" t="inlineStr">
        <is>
          <t>Brokerage</t>
        </is>
      </c>
      <c r="C6" s="8" t="n">
        <v>97750</v>
      </c>
      <c r="D6" s="7" t="n">
        <v>8625</v>
      </c>
      <c r="E6" s="7" t="n">
        <v>3450</v>
      </c>
      <c r="F6" s="7" t="n">
        <v>8.050000000000001</v>
      </c>
    </row>
    <row r="7">
      <c r="A7" s="9" t="inlineStr"/>
      <c r="B7" s="9" t="inlineStr">
        <is>
          <t>Pension</t>
        </is>
      </c>
      <c r="C7" s="10" t="n">
        <v>51000</v>
      </c>
      <c r="D7" s="9" t="n">
        <v>4500</v>
      </c>
      <c r="E7" s="9" t="n">
        <v>1800</v>
      </c>
      <c r="F7" s="9" t="n">
        <v>4.2</v>
      </c>
    </row>
    <row r="8">
      <c r="A8" s="7" t="inlineStr">
        <is>
          <t>401k - Fidelity</t>
        </is>
      </c>
      <c r="B8" s="7" t="inlineStr">
        <is>
          <t>HSA</t>
        </is>
      </c>
      <c r="C8" s="8" t="n">
        <v>123250</v>
      </c>
      <c r="D8" s="7" t="n">
        <v>10875</v>
      </c>
      <c r="E8" s="7" t="n">
        <v>4350</v>
      </c>
      <c r="F8" s="7" t="n">
        <v>10.15</v>
      </c>
    </row>
    <row r="9">
      <c r="A9" s="9" t="inlineStr">
        <is>
          <t>401k - Fidelity</t>
        </is>
      </c>
      <c r="B9" s="9" t="inlineStr">
        <is>
          <t>Other</t>
        </is>
      </c>
      <c r="C9" s="10" t="n">
        <v>80750</v>
      </c>
      <c r="D9" s="9" t="n">
        <v>7125</v>
      </c>
      <c r="E9" s="9" t="n">
        <v>2850</v>
      </c>
      <c r="F9" s="9" t="n">
        <v>6.65</v>
      </c>
    </row>
    <row r="10">
      <c r="A10" s="7" t="inlineStr"/>
      <c r="B10" s="7" t="inlineStr">
        <is>
          <t>401k</t>
        </is>
      </c>
      <c r="C10" s="8" t="n">
        <v>106250</v>
      </c>
      <c r="D10" s="7" t="n">
        <v>9375</v>
      </c>
      <c r="E10" s="7" t="n">
        <v>3750</v>
      </c>
      <c r="F10" s="7" t="n">
        <v>8.75</v>
      </c>
    </row>
    <row r="11">
      <c r="A11" s="9" t="inlineStr">
        <is>
          <t>401k - Fidelity</t>
        </is>
      </c>
      <c r="B11" s="9" t="inlineStr">
        <is>
          <t>Roth 401k</t>
        </is>
      </c>
      <c r="C11" s="10" t="n">
        <v>68000</v>
      </c>
      <c r="D11" s="9" t="n">
        <v>6000</v>
      </c>
      <c r="E11" s="9" t="n">
        <v>2400</v>
      </c>
      <c r="F11" s="9" t="n">
        <v>5.6</v>
      </c>
    </row>
    <row r="12">
      <c r="A12" s="7" t="inlineStr">
        <is>
          <t>401k - Fidelity</t>
        </is>
      </c>
      <c r="B12" s="7" t="inlineStr">
        <is>
          <t>IRA</t>
        </is>
      </c>
      <c r="C12" s="8" t="n">
        <v>93500</v>
      </c>
      <c r="D12" s="7" t="n">
        <v>8250</v>
      </c>
      <c r="E12" s="7" t="n">
        <v>3300</v>
      </c>
      <c r="F12" s="7" t="n">
        <v>7.7</v>
      </c>
    </row>
    <row r="13">
      <c r="A13" s="9" t="inlineStr"/>
      <c r="B13" s="9" t="inlineStr">
        <is>
          <t>Roth IRA</t>
        </is>
      </c>
      <c r="C13" s="10" t="n">
        <v>63750</v>
      </c>
      <c r="D13" s="9" t="n">
        <v>5625</v>
      </c>
      <c r="E13" s="9" t="n">
        <v>2250</v>
      </c>
      <c r="F13" s="9" t="n">
        <v>5.25</v>
      </c>
    </row>
  </sheetData>
  <dataValidations count="1">
    <dataValidation sqref="B2:B500" showDropDown="0" showInputMessage="0" showErrorMessage="0" allowBlank="1" type="list">
      <formula1>"401k,Roth 401k,IRA,Roth IRA,Brokerage,Pension,HSA,Other"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RETIREMENT SAVINGS PLANNER — DASHBOARD</t>
        </is>
      </c>
    </row>
    <row r="4">
      <c r="B4" s="12" t="inlineStr">
        <is>
          <t>FIRE NUMBER $</t>
        </is>
      </c>
      <c r="D4" s="13" t="inlineStr">
        <is>
          <t>TOTAL SAVED $</t>
        </is>
      </c>
      <c r="F4" s="14" t="inlineStr">
        <is>
          <t>PROGRESS %</t>
        </is>
      </c>
      <c r="H4" s="15" t="inlineStr">
        <is>
          <t>YEARS TO FIRE</t>
        </is>
      </c>
    </row>
    <row r="5" ht="26" customHeight="1">
      <c r="B5" s="16">
        <f>Settings!B4*25</f>
        <v/>
      </c>
      <c r="D5" s="17">
        <f>SUM(Accounts!C:C)</f>
        <v/>
      </c>
      <c r="F5" s="18">
        <f>TEXT(SUM(Accounts!C:C)/(Settings!B4*25),"0%")</f>
        <v/>
      </c>
      <c r="H5" s="19">
        <f>Settings!B6</f>
        <v/>
      </c>
    </row>
    <row r="8">
      <c r="B8" s="20" t="inlineStr">
        <is>
          <t>WHAT'S INSIDE</t>
        </is>
      </c>
    </row>
    <row r="9">
      <c r="B9" s="21" t="inlineStr">
        <is>
          <t>🏦  Accounts — All retirement accounts: 401k, IRA, brokerage, pension.</t>
        </is>
      </c>
    </row>
    <row r="10">
      <c r="B10" s="21" t="inlineStr">
        <is>
          <t>📈  Projections — Year-by-year projection of portfolio growth to retirement.</t>
        </is>
      </c>
    </row>
    <row r="11">
      <c r="B11" s="21" t="inlineStr">
        <is>
          <t>💰  Budget in Retirement — Estimate your monthly retirement expenses.</t>
        </is>
      </c>
    </row>
    <row r="12">
      <c r="B12" s="21" t="inlineStr">
        <is>
          <t>📊  FIRE Summary — FIRE number calculation and retirement readiness summary.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22" customWidth="1" min="4" max="4"/>
    <col width="14" customWidth="1" min="5" max="5"/>
    <col width="16" customWidth="1" min="6" max="6"/>
  </cols>
  <sheetData>
    <row r="1">
      <c r="A1" s="6" t="inlineStr">
        <is>
          <t>Year</t>
        </is>
      </c>
      <c r="B1" s="6" t="inlineStr">
        <is>
          <t>Age</t>
        </is>
      </c>
      <c r="C1" s="6" t="inlineStr">
        <is>
          <t>Portfolio $</t>
        </is>
      </c>
      <c r="D1" s="6" t="inlineStr">
        <is>
          <t>Annual Contribution</t>
        </is>
      </c>
      <c r="E1" s="6" t="inlineStr">
        <is>
          <t>Growth $</t>
        </is>
      </c>
      <c r="F1" s="6" t="inlineStr">
        <is>
          <t>End Balance $</t>
        </is>
      </c>
    </row>
    <row r="2">
      <c r="A2" s="7" t="n">
        <v>2024</v>
      </c>
      <c r="B2" s="7" t="n">
        <v>35</v>
      </c>
      <c r="C2" s="7" t="n">
        <v>125000</v>
      </c>
      <c r="D2" s="7" t="n">
        <v>15000</v>
      </c>
      <c r="E2" s="7" t="n">
        <v>8750</v>
      </c>
      <c r="F2" s="7">
        <f>C2+D2+E2</f>
        <v/>
      </c>
    </row>
    <row r="3">
      <c r="A3" s="9" t="n">
        <v>1417</v>
      </c>
      <c r="B3" s="9" t="n">
        <v>24.5</v>
      </c>
      <c r="C3" s="9" t="n">
        <v>87500</v>
      </c>
      <c r="D3" s="9" t="n">
        <v>10500</v>
      </c>
      <c r="E3" s="9" t="n">
        <v>6125</v>
      </c>
      <c r="F3" s="9">
        <f>C3+D3+E3</f>
        <v/>
      </c>
    </row>
    <row r="4">
      <c r="A4" s="7" t="n">
        <v>2631</v>
      </c>
      <c r="B4" s="7" t="n">
        <v>45.5</v>
      </c>
      <c r="C4" s="7" t="n">
        <v>162500</v>
      </c>
      <c r="D4" s="7" t="n">
        <v>19500</v>
      </c>
      <c r="E4" s="7" t="n">
        <v>11375</v>
      </c>
      <c r="F4" s="7">
        <f>C4+D4+E4</f>
        <v/>
      </c>
    </row>
    <row r="5">
      <c r="A5" s="9" t="n">
        <v>1720</v>
      </c>
      <c r="B5" s="9" t="n">
        <v>29.75</v>
      </c>
      <c r="C5" s="9" t="n">
        <v>106250</v>
      </c>
      <c r="D5" s="9" t="n">
        <v>12750</v>
      </c>
      <c r="E5" s="9" t="n">
        <v>7438</v>
      </c>
      <c r="F5" s="9">
        <f>C5+D5+E5</f>
        <v/>
      </c>
    </row>
    <row r="6">
      <c r="A6" s="7" t="n">
        <v>2328</v>
      </c>
      <c r="B6" s="7" t="n">
        <v>40.25</v>
      </c>
      <c r="C6" s="7" t="n">
        <v>143750</v>
      </c>
      <c r="D6" s="7" t="n">
        <v>17250</v>
      </c>
      <c r="E6" s="7" t="n">
        <v>10062</v>
      </c>
      <c r="F6" s="7">
        <f>C6+D6+E6</f>
        <v/>
      </c>
    </row>
    <row r="7">
      <c r="A7" s="9" t="n">
        <v>1214</v>
      </c>
      <c r="B7" s="9" t="n">
        <v>21</v>
      </c>
      <c r="C7" s="9" t="n">
        <v>75000</v>
      </c>
      <c r="D7" s="9" t="n">
        <v>9000</v>
      </c>
      <c r="E7" s="9" t="n">
        <v>5250</v>
      </c>
      <c r="F7" s="9">
        <f>C7+D7+E7</f>
        <v/>
      </c>
    </row>
    <row r="8">
      <c r="A8" s="7" t="n">
        <v>2935</v>
      </c>
      <c r="B8" s="7" t="n">
        <v>50.75</v>
      </c>
      <c r="C8" s="7" t="n">
        <v>181250</v>
      </c>
      <c r="D8" s="7" t="n">
        <v>21750</v>
      </c>
      <c r="E8" s="7" t="n">
        <v>12688</v>
      </c>
      <c r="F8" s="7">
        <f>C8+D8+E8</f>
        <v/>
      </c>
    </row>
    <row r="9">
      <c r="A9" s="9" t="n">
        <v>1923</v>
      </c>
      <c r="B9" s="9" t="n">
        <v>33.25</v>
      </c>
      <c r="C9" s="9" t="n">
        <v>118750</v>
      </c>
      <c r="D9" s="9" t="n">
        <v>14250</v>
      </c>
      <c r="E9" s="9" t="n">
        <v>8312</v>
      </c>
      <c r="F9" s="9">
        <f>C9+D9+E9</f>
        <v/>
      </c>
    </row>
    <row r="10">
      <c r="A10" s="7" t="n">
        <v>2530</v>
      </c>
      <c r="B10" s="7" t="n">
        <v>43.75</v>
      </c>
      <c r="C10" s="7" t="n">
        <v>156250</v>
      </c>
      <c r="D10" s="7" t="n">
        <v>18750</v>
      </c>
      <c r="E10" s="7" t="n">
        <v>10938</v>
      </c>
      <c r="F10" s="7">
        <f>C10+D10+E10</f>
        <v/>
      </c>
    </row>
    <row r="11">
      <c r="A11" s="9" t="n">
        <v>1619</v>
      </c>
      <c r="B11" s="9" t="n">
        <v>28</v>
      </c>
      <c r="C11" s="9" t="n">
        <v>100000</v>
      </c>
      <c r="D11" s="9" t="n">
        <v>12000</v>
      </c>
      <c r="E11" s="9" t="n">
        <v>7000</v>
      </c>
      <c r="F11" s="9">
        <f>C11+D11+E11</f>
        <v/>
      </c>
    </row>
    <row r="12">
      <c r="A12" s="7" t="n">
        <v>2226</v>
      </c>
      <c r="B12" s="7" t="n">
        <v>38.5</v>
      </c>
      <c r="C12" s="7" t="n">
        <v>137500</v>
      </c>
      <c r="D12" s="7" t="n">
        <v>16500</v>
      </c>
      <c r="E12" s="7" t="n">
        <v>9625</v>
      </c>
      <c r="F12" s="7">
        <f>C12+D12+E12</f>
        <v/>
      </c>
    </row>
    <row r="13">
      <c r="A13" s="9" t="n">
        <v>1518</v>
      </c>
      <c r="B13" s="9" t="n">
        <v>26.25</v>
      </c>
      <c r="C13" s="9" t="n">
        <v>93750</v>
      </c>
      <c r="D13" s="9" t="n">
        <v>11250</v>
      </c>
      <c r="E13" s="9" t="n">
        <v>6562</v>
      </c>
      <c r="F13" s="9">
        <f>C13+D13+E13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28" customWidth="1" min="4" max="4"/>
  </cols>
  <sheetData>
    <row r="1">
      <c r="A1" s="6" t="inlineStr">
        <is>
          <t>Expense</t>
        </is>
      </c>
      <c r="B1" s="6" t="inlineStr">
        <is>
          <t>Monthly $</t>
        </is>
      </c>
      <c r="C1" s="6" t="inlineStr">
        <is>
          <t>Annual $</t>
        </is>
      </c>
      <c r="D1" s="6" t="inlineStr">
        <is>
          <t>Notes</t>
        </is>
      </c>
    </row>
    <row r="2">
      <c r="A2" s="7" t="inlineStr">
        <is>
          <t>Housing</t>
        </is>
      </c>
      <c r="B2" s="7" t="n">
        <v>2000</v>
      </c>
      <c r="C2" s="7">
        <f>C2*12</f>
        <v/>
      </c>
      <c r="D2" s="7" t="inlineStr"/>
    </row>
    <row r="3">
      <c r="A3" s="9" t="inlineStr">
        <is>
          <t>Housing</t>
        </is>
      </c>
      <c r="B3" s="9" t="n">
        <v>1400</v>
      </c>
      <c r="C3" s="9">
        <f>C3*12</f>
        <v/>
      </c>
      <c r="D3" s="9" t="inlineStr">
        <is>
          <t>Paid</t>
        </is>
      </c>
    </row>
    <row r="4">
      <c r="A4" s="7" t="inlineStr"/>
      <c r="B4" s="7" t="n">
        <v>2600</v>
      </c>
      <c r="C4" s="7">
        <f>C4*12</f>
        <v/>
      </c>
      <c r="D4" s="7" t="inlineStr">
        <is>
          <t>Urgent</t>
        </is>
      </c>
    </row>
    <row r="5">
      <c r="A5" s="9" t="inlineStr">
        <is>
          <t>Housing</t>
        </is>
      </c>
      <c r="B5" s="9" t="n">
        <v>1700</v>
      </c>
      <c r="C5" s="9">
        <f>C5*12</f>
        <v/>
      </c>
      <c r="D5" s="9" t="inlineStr">
        <is>
          <t>Follow up Friday</t>
        </is>
      </c>
    </row>
    <row r="6">
      <c r="A6" s="7" t="inlineStr">
        <is>
          <t>Housing</t>
        </is>
      </c>
      <c r="B6" s="7" t="n">
        <v>2300</v>
      </c>
      <c r="C6" s="7">
        <f>C6*12</f>
        <v/>
      </c>
      <c r="D6" s="7" t="inlineStr"/>
    </row>
    <row r="7">
      <c r="A7" s="9" t="inlineStr"/>
      <c r="B7" s="9" t="n">
        <v>1200</v>
      </c>
      <c r="C7" s="9">
        <f>C7*12</f>
        <v/>
      </c>
      <c r="D7" s="9" t="inlineStr">
        <is>
          <t>Monthly</t>
        </is>
      </c>
    </row>
    <row r="8">
      <c r="A8" s="7" t="inlineStr">
        <is>
          <t>Housing</t>
        </is>
      </c>
      <c r="B8" s="7" t="n">
        <v>2900</v>
      </c>
      <c r="C8" s="7">
        <f>C8*12</f>
        <v/>
      </c>
      <c r="D8" s="7" t="inlineStr">
        <is>
          <t>Confirmed</t>
        </is>
      </c>
    </row>
    <row r="9">
      <c r="A9" s="9" t="inlineStr">
        <is>
          <t>Housing</t>
        </is>
      </c>
      <c r="B9" s="9" t="n">
        <v>1900</v>
      </c>
      <c r="C9" s="9">
        <f>C9*12</f>
        <v/>
      </c>
      <c r="D9" s="9" t="inlineStr"/>
    </row>
    <row r="10">
      <c r="A10" s="7" t="inlineStr"/>
      <c r="B10" s="7" t="n">
        <v>2500</v>
      </c>
      <c r="C10" s="7">
        <f>C10*12</f>
        <v/>
      </c>
      <c r="D10" s="7" t="inlineStr">
        <is>
          <t>Waiting reply</t>
        </is>
      </c>
    </row>
    <row r="11">
      <c r="A11" s="9" t="inlineStr">
        <is>
          <t>Housing</t>
        </is>
      </c>
      <c r="B11" s="9" t="n">
        <v>1600</v>
      </c>
      <c r="C11" s="9">
        <f>C11*12</f>
        <v/>
      </c>
      <c r="D11" s="9" t="inlineStr">
        <is>
          <t>Done early</t>
        </is>
      </c>
    </row>
    <row r="12">
      <c r="A12" s="7" t="inlineStr">
        <is>
          <t>Housing</t>
        </is>
      </c>
      <c r="B12" s="7" t="n">
        <v>2200</v>
      </c>
      <c r="C12" s="7">
        <f>C12*12</f>
        <v/>
      </c>
      <c r="D12" s="7" t="inlineStr"/>
    </row>
    <row r="13">
      <c r="A13" s="9" t="inlineStr"/>
      <c r="B13" s="9" t="n">
        <v>1500</v>
      </c>
      <c r="C13" s="9">
        <f>C13*12</f>
        <v/>
      </c>
      <c r="D13" s="9" t="inlineStr">
        <is>
          <t>Recheck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FIRE SUMMARY</t>
        </is>
      </c>
    </row>
    <row r="4">
      <c r="B4" s="3" t="inlineStr">
        <is>
          <t>Retirement Summary</t>
        </is>
      </c>
    </row>
    <row r="5">
      <c r="B5" s="9" t="inlineStr">
        <is>
          <t>FIRE Number (25x)</t>
        </is>
      </c>
      <c r="C5" s="23">
        <f>Settings!B4*25</f>
        <v/>
      </c>
    </row>
    <row r="6">
      <c r="B6" s="7" t="inlineStr">
        <is>
          <t>Total Saved</t>
        </is>
      </c>
      <c r="C6" s="24">
        <f>SUM(Accounts!C:C)</f>
        <v/>
      </c>
    </row>
    <row r="7">
      <c r="B7" s="9" t="inlineStr">
        <is>
          <t>Annual Contribution</t>
        </is>
      </c>
      <c r="C7" s="23">
        <f>SUM(Accounts!D:D)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