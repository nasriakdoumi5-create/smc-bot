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counts" sheetId="2" state="visible" r:id="rId2"/>
    <sheet name="Projections" sheetId="3" state="visible" r:id="rId3"/>
    <sheet name="Budget in Retirement" sheetId="4" state="visible" r:id="rId4"/>
    <sheet name="FIR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64E63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Retirement Savings Planner</t>
        </is>
      </c>
    </row>
    <row r="3">
      <c r="A3" s="2" t="inlineStr">
        <is>
          <t>FIRE Number $</t>
        </is>
      </c>
      <c r="B3" s="2" t="inlineStr">
        <is>
          <t>Total Saved $</t>
        </is>
      </c>
      <c r="C3" s="2" t="inlineStr">
        <is>
          <t>Progress %</t>
        </is>
      </c>
      <c r="D3" s="2" t="inlineStr">
        <is>
          <t>Years to FIRE</t>
        </is>
      </c>
    </row>
    <row r="4" ht="36" customHeight="1">
      <c r="A4" s="3">
        <f>Settings!B4*25</f>
        <v/>
      </c>
      <c r="B4" s="3">
        <f>SUM(Accounts!C:C)</f>
        <v/>
      </c>
      <c r="C4" s="3">
        <f>TEXT(SUM(Accounts!C:C)/(Settings!B4*25),"0%")</f>
        <v/>
      </c>
      <c r="D4" s="3">
        <f>Settings!B6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891B2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22" customWidth="1" min="4" max="4"/>
    <col width="18" customWidth="1" min="5" max="5"/>
    <col width="14" customWidth="1" min="6" max="6"/>
  </cols>
  <sheetData>
    <row r="1">
      <c r="A1" s="4" t="inlineStr">
        <is>
          <t>Account</t>
        </is>
      </c>
      <c r="B1" s="4" t="inlineStr">
        <is>
          <t>Type</t>
        </is>
      </c>
      <c r="C1" s="4" t="inlineStr">
        <is>
          <t>Balance $</t>
        </is>
      </c>
      <c r="D1" s="4" t="inlineStr">
        <is>
          <t>Annual Contribution</t>
        </is>
      </c>
      <c r="E1" s="4" t="inlineStr">
        <is>
          <t>Employer Match</t>
        </is>
      </c>
      <c r="F1" s="4" t="inlineStr">
        <is>
          <t>Return %</t>
        </is>
      </c>
    </row>
    <row r="2" ht="22" customHeight="1">
      <c r="A2" s="5" t="inlineStr">
        <is>
          <t>401k - Fidelity</t>
        </is>
      </c>
      <c r="B2" s="5" t="inlineStr"/>
      <c r="C2" s="5" t="inlineStr">
        <is>
          <t>85000</t>
        </is>
      </c>
      <c r="D2" s="5" t="inlineStr">
        <is>
          <t>7500</t>
        </is>
      </c>
      <c r="E2" s="5" t="inlineStr">
        <is>
          <t>3000</t>
        </is>
      </c>
      <c r="F2" s="5" t="inlineStr">
        <is>
          <t>7</t>
        </is>
      </c>
    </row>
    <row r="3" ht="22" customHeight="1">
      <c r="A3" s="5" t="inlineStr">
        <is>
          <t>401k - Fidelity</t>
        </is>
      </c>
      <c r="B3" s="5" t="inlineStr"/>
      <c r="C3" s="5" t="inlineStr">
        <is>
          <t>85000</t>
        </is>
      </c>
      <c r="D3" s="5" t="inlineStr">
        <is>
          <t>7500</t>
        </is>
      </c>
      <c r="E3" s="5" t="inlineStr">
        <is>
          <t>3000</t>
        </is>
      </c>
      <c r="F3" s="5" t="inlineStr">
        <is>
          <t>7</t>
        </is>
      </c>
    </row>
    <row r="4" ht="22" customHeight="1">
      <c r="A4" s="5" t="inlineStr">
        <is>
          <t>401k - Fidelity</t>
        </is>
      </c>
      <c r="B4" s="5" t="inlineStr"/>
      <c r="C4" s="5" t="inlineStr">
        <is>
          <t>85000</t>
        </is>
      </c>
      <c r="D4" s="5" t="inlineStr">
        <is>
          <t>7500</t>
        </is>
      </c>
      <c r="E4" s="5" t="inlineStr">
        <is>
          <t>3000</t>
        </is>
      </c>
      <c r="F4" s="5" t="inlineStr">
        <is>
          <t>7</t>
        </is>
      </c>
    </row>
    <row r="5" ht="22" customHeight="1">
      <c r="A5" s="5" t="inlineStr">
        <is>
          <t>401k - Fidelity</t>
        </is>
      </c>
      <c r="B5" s="5" t="inlineStr"/>
      <c r="C5" s="5" t="inlineStr">
        <is>
          <t>85000</t>
        </is>
      </c>
      <c r="D5" s="5" t="inlineStr">
        <is>
          <t>7500</t>
        </is>
      </c>
      <c r="E5" s="5" t="inlineStr">
        <is>
          <t>3000</t>
        </is>
      </c>
      <c r="F5" s="5" t="inlineStr">
        <is>
          <t>7</t>
        </is>
      </c>
    </row>
    <row r="6" ht="22" customHeight="1">
      <c r="A6" s="5" t="inlineStr">
        <is>
          <t>401k - Fidelity</t>
        </is>
      </c>
      <c r="B6" s="5" t="inlineStr"/>
      <c r="C6" s="5" t="inlineStr">
        <is>
          <t>85000</t>
        </is>
      </c>
      <c r="D6" s="5" t="inlineStr">
        <is>
          <t>7500</t>
        </is>
      </c>
      <c r="E6" s="5" t="inlineStr">
        <is>
          <t>3000</t>
        </is>
      </c>
      <c r="F6" s="5" t="inlineStr">
        <is>
          <t>7</t>
        </is>
      </c>
    </row>
    <row r="7" ht="22" customHeight="1">
      <c r="A7" s="5" t="inlineStr">
        <is>
          <t>401k - Fidelity</t>
        </is>
      </c>
      <c r="B7" s="5" t="inlineStr"/>
      <c r="C7" s="5" t="inlineStr">
        <is>
          <t>85000</t>
        </is>
      </c>
      <c r="D7" s="5" t="inlineStr">
        <is>
          <t>7500</t>
        </is>
      </c>
      <c r="E7" s="5" t="inlineStr">
        <is>
          <t>3000</t>
        </is>
      </c>
      <c r="F7" s="5" t="inlineStr">
        <is>
          <t>7</t>
        </is>
      </c>
    </row>
  </sheetData>
  <dataValidations count="1">
    <dataValidation sqref="B2 B3 B4 B5 B6 B7" showDropDown="0" showInputMessage="0" showErrorMessage="0" allowBlank="1" type="list">
      <formula1>"401k","Roth 401k","IRA","Roth IRA","Brokerage","Pension","HSA","Other"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59669"/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2" customWidth="1" min="4" max="4"/>
    <col width="14" customWidth="1" min="5" max="5"/>
    <col width="16" customWidth="1" min="6" max="6"/>
  </cols>
  <sheetData>
    <row r="1">
      <c r="A1" s="4" t="inlineStr">
        <is>
          <t>Year</t>
        </is>
      </c>
      <c r="B1" s="4" t="inlineStr">
        <is>
          <t>Age</t>
        </is>
      </c>
      <c r="C1" s="4" t="inlineStr">
        <is>
          <t>Portfolio $</t>
        </is>
      </c>
      <c r="D1" s="4" t="inlineStr">
        <is>
          <t>Annual Contribution</t>
        </is>
      </c>
      <c r="E1" s="4" t="inlineStr">
        <is>
          <t>Growth $</t>
        </is>
      </c>
      <c r="F1" s="4" t="inlineStr">
        <is>
          <t>End Balance $</t>
        </is>
      </c>
    </row>
    <row r="2" ht="22" customHeight="1">
      <c r="A2" s="5" t="inlineStr">
        <is>
          <t>2024</t>
        </is>
      </c>
      <c r="B2" s="5" t="inlineStr">
        <is>
          <t>35</t>
        </is>
      </c>
      <c r="C2" s="5" t="inlineStr">
        <is>
          <t>125000</t>
        </is>
      </c>
      <c r="D2" s="5" t="inlineStr">
        <is>
          <t>15000</t>
        </is>
      </c>
      <c r="E2" s="5" t="inlineStr">
        <is>
          <t>8750</t>
        </is>
      </c>
      <c r="F2" s="6">
        <f>C2+D2+E2</f>
        <v/>
      </c>
    </row>
    <row r="3" ht="22" customHeight="1">
      <c r="A3" s="5" t="inlineStr">
        <is>
          <t>2024</t>
        </is>
      </c>
      <c r="B3" s="5" t="inlineStr">
        <is>
          <t>35</t>
        </is>
      </c>
      <c r="C3" s="5" t="inlineStr">
        <is>
          <t>125000</t>
        </is>
      </c>
      <c r="D3" s="5" t="inlineStr">
        <is>
          <t>15000</t>
        </is>
      </c>
      <c r="E3" s="5" t="inlineStr">
        <is>
          <t>8750</t>
        </is>
      </c>
      <c r="F3" s="6">
        <f>C3+D3+E3</f>
        <v/>
      </c>
    </row>
    <row r="4" ht="22" customHeight="1">
      <c r="A4" s="5" t="inlineStr">
        <is>
          <t>2024</t>
        </is>
      </c>
      <c r="B4" s="5" t="inlineStr">
        <is>
          <t>35</t>
        </is>
      </c>
      <c r="C4" s="5" t="inlineStr">
        <is>
          <t>125000</t>
        </is>
      </c>
      <c r="D4" s="5" t="inlineStr">
        <is>
          <t>15000</t>
        </is>
      </c>
      <c r="E4" s="5" t="inlineStr">
        <is>
          <t>8750</t>
        </is>
      </c>
      <c r="F4" s="6">
        <f>C4+D4+E4</f>
        <v/>
      </c>
    </row>
    <row r="5" ht="22" customHeight="1">
      <c r="A5" s="5" t="inlineStr">
        <is>
          <t>2024</t>
        </is>
      </c>
      <c r="B5" s="5" t="inlineStr">
        <is>
          <t>35</t>
        </is>
      </c>
      <c r="C5" s="5" t="inlineStr">
        <is>
          <t>125000</t>
        </is>
      </c>
      <c r="D5" s="5" t="inlineStr">
        <is>
          <t>15000</t>
        </is>
      </c>
      <c r="E5" s="5" t="inlineStr">
        <is>
          <t>8750</t>
        </is>
      </c>
      <c r="F5" s="6">
        <f>C5+D5+E5</f>
        <v/>
      </c>
    </row>
    <row r="6" ht="22" customHeight="1">
      <c r="A6" s="5" t="inlineStr">
        <is>
          <t>2024</t>
        </is>
      </c>
      <c r="B6" s="5" t="inlineStr">
        <is>
          <t>35</t>
        </is>
      </c>
      <c r="C6" s="5" t="inlineStr">
        <is>
          <t>125000</t>
        </is>
      </c>
      <c r="D6" s="5" t="inlineStr">
        <is>
          <t>15000</t>
        </is>
      </c>
      <c r="E6" s="5" t="inlineStr">
        <is>
          <t>8750</t>
        </is>
      </c>
      <c r="F6" s="6">
        <f>C6+D6+E6</f>
        <v/>
      </c>
    </row>
    <row r="7" ht="22" customHeight="1">
      <c r="A7" s="5" t="inlineStr">
        <is>
          <t>2024</t>
        </is>
      </c>
      <c r="B7" s="5" t="inlineStr">
        <is>
          <t>35</t>
        </is>
      </c>
      <c r="C7" s="5" t="inlineStr">
        <is>
          <t>125000</t>
        </is>
      </c>
      <c r="D7" s="5" t="inlineStr">
        <is>
          <t>15000</t>
        </is>
      </c>
      <c r="E7" s="5" t="inlineStr">
        <is>
          <t>8750</t>
        </is>
      </c>
      <c r="F7" s="6">
        <f>C7+D7+E7</f>
        <v/>
      </c>
    </row>
    <row r="8" ht="22" customHeight="1">
      <c r="A8" s="5" t="inlineStr">
        <is>
          <t>2024</t>
        </is>
      </c>
      <c r="B8" s="5" t="inlineStr">
        <is>
          <t>35</t>
        </is>
      </c>
      <c r="C8" s="5" t="inlineStr">
        <is>
          <t>125000</t>
        </is>
      </c>
      <c r="D8" s="5" t="inlineStr">
        <is>
          <t>15000</t>
        </is>
      </c>
      <c r="E8" s="5" t="inlineStr">
        <is>
          <t>8750</t>
        </is>
      </c>
      <c r="F8" s="6">
        <f>C8+D8+E8</f>
        <v/>
      </c>
    </row>
    <row r="9" ht="22" customHeight="1">
      <c r="A9" s="5" t="inlineStr">
        <is>
          <t>2024</t>
        </is>
      </c>
      <c r="B9" s="5" t="inlineStr">
        <is>
          <t>35</t>
        </is>
      </c>
      <c r="C9" s="5" t="inlineStr">
        <is>
          <t>125000</t>
        </is>
      </c>
      <c r="D9" s="5" t="inlineStr">
        <is>
          <t>15000</t>
        </is>
      </c>
      <c r="E9" s="5" t="inlineStr">
        <is>
          <t>8750</t>
        </is>
      </c>
      <c r="F9" s="6">
        <f>C9+D9+E9</f>
        <v/>
      </c>
    </row>
    <row r="10" ht="22" customHeight="1">
      <c r="A10" s="5" t="inlineStr">
        <is>
          <t>2024</t>
        </is>
      </c>
      <c r="B10" s="5" t="inlineStr">
        <is>
          <t>35</t>
        </is>
      </c>
      <c r="C10" s="5" t="inlineStr">
        <is>
          <t>125000</t>
        </is>
      </c>
      <c r="D10" s="5" t="inlineStr">
        <is>
          <t>15000</t>
        </is>
      </c>
      <c r="E10" s="5" t="inlineStr">
        <is>
          <t>8750</t>
        </is>
      </c>
      <c r="F10" s="6">
        <f>C10+D10+E10</f>
        <v/>
      </c>
    </row>
    <row r="11" ht="22" customHeight="1">
      <c r="A11" s="5" t="inlineStr">
        <is>
          <t>2024</t>
        </is>
      </c>
      <c r="B11" s="5" t="inlineStr">
        <is>
          <t>35</t>
        </is>
      </c>
      <c r="C11" s="5" t="inlineStr">
        <is>
          <t>125000</t>
        </is>
      </c>
      <c r="D11" s="5" t="inlineStr">
        <is>
          <t>15000</t>
        </is>
      </c>
      <c r="E11" s="5" t="inlineStr">
        <is>
          <t>8750</t>
        </is>
      </c>
      <c r="F11" s="6">
        <f>C11+D11+E11</f>
        <v/>
      </c>
    </row>
    <row r="12" ht="22" customHeight="1">
      <c r="A12" s="5" t="inlineStr">
        <is>
          <t>2024</t>
        </is>
      </c>
      <c r="B12" s="5" t="inlineStr">
        <is>
          <t>35</t>
        </is>
      </c>
      <c r="C12" s="5" t="inlineStr">
        <is>
          <t>125000</t>
        </is>
      </c>
      <c r="D12" s="5" t="inlineStr">
        <is>
          <t>15000</t>
        </is>
      </c>
      <c r="E12" s="5" t="inlineStr">
        <is>
          <t>8750</t>
        </is>
      </c>
      <c r="F12" s="6">
        <f>C12+D12+E12</f>
        <v/>
      </c>
    </row>
    <row r="13" ht="22" customHeight="1">
      <c r="A13" s="5" t="inlineStr">
        <is>
          <t>2024</t>
        </is>
      </c>
      <c r="B13" s="5" t="inlineStr">
        <is>
          <t>35</t>
        </is>
      </c>
      <c r="C13" s="5" t="inlineStr">
        <is>
          <t>125000</t>
        </is>
      </c>
      <c r="D13" s="5" t="inlineStr">
        <is>
          <t>15000</t>
        </is>
      </c>
      <c r="E13" s="5" t="inlineStr">
        <is>
          <t>8750</t>
        </is>
      </c>
      <c r="F13" s="6">
        <f>C13+D13+E13</f>
        <v/>
      </c>
    </row>
    <row r="14" ht="22" customHeight="1">
      <c r="A14" s="5" t="inlineStr">
        <is>
          <t>2024</t>
        </is>
      </c>
      <c r="B14" s="5" t="inlineStr">
        <is>
          <t>35</t>
        </is>
      </c>
      <c r="C14" s="5" t="inlineStr">
        <is>
          <t>125000</t>
        </is>
      </c>
      <c r="D14" s="5" t="inlineStr">
        <is>
          <t>15000</t>
        </is>
      </c>
      <c r="E14" s="5" t="inlineStr">
        <is>
          <t>8750</t>
        </is>
      </c>
      <c r="F14" s="6">
        <f>C14+D14+E14</f>
        <v/>
      </c>
    </row>
    <row r="15" ht="22" customHeight="1">
      <c r="A15" s="5" t="inlineStr">
        <is>
          <t>2024</t>
        </is>
      </c>
      <c r="B15" s="5" t="inlineStr">
        <is>
          <t>35</t>
        </is>
      </c>
      <c r="C15" s="5" t="inlineStr">
        <is>
          <t>125000</t>
        </is>
      </c>
      <c r="D15" s="5" t="inlineStr">
        <is>
          <t>15000</t>
        </is>
      </c>
      <c r="E15" s="5" t="inlineStr">
        <is>
          <t>8750</t>
        </is>
      </c>
      <c r="F15" s="6">
        <f>C15+D15+E15</f>
        <v/>
      </c>
    </row>
    <row r="16" ht="22" customHeight="1">
      <c r="A16" s="5" t="inlineStr">
        <is>
          <t>2024</t>
        </is>
      </c>
      <c r="B16" s="5" t="inlineStr">
        <is>
          <t>35</t>
        </is>
      </c>
      <c r="C16" s="5" t="inlineStr">
        <is>
          <t>125000</t>
        </is>
      </c>
      <c r="D16" s="5" t="inlineStr">
        <is>
          <t>15000</t>
        </is>
      </c>
      <c r="E16" s="5" t="inlineStr">
        <is>
          <t>8750</t>
        </is>
      </c>
      <c r="F16" s="6">
        <f>C16+D16+E16</f>
        <v/>
      </c>
    </row>
    <row r="17" ht="22" customHeight="1">
      <c r="A17" s="5" t="inlineStr">
        <is>
          <t>2024</t>
        </is>
      </c>
      <c r="B17" s="5" t="inlineStr">
        <is>
          <t>35</t>
        </is>
      </c>
      <c r="C17" s="5" t="inlineStr">
        <is>
          <t>125000</t>
        </is>
      </c>
      <c r="D17" s="5" t="inlineStr">
        <is>
          <t>15000</t>
        </is>
      </c>
      <c r="E17" s="5" t="inlineStr">
        <is>
          <t>8750</t>
        </is>
      </c>
      <c r="F17" s="6">
        <f>C17+D17+E17</f>
        <v/>
      </c>
    </row>
    <row r="18" ht="22" customHeight="1">
      <c r="A18" s="5" t="inlineStr">
        <is>
          <t>2024</t>
        </is>
      </c>
      <c r="B18" s="5" t="inlineStr">
        <is>
          <t>35</t>
        </is>
      </c>
      <c r="C18" s="5" t="inlineStr">
        <is>
          <t>125000</t>
        </is>
      </c>
      <c r="D18" s="5" t="inlineStr">
        <is>
          <t>15000</t>
        </is>
      </c>
      <c r="E18" s="5" t="inlineStr">
        <is>
          <t>8750</t>
        </is>
      </c>
      <c r="F18" s="6">
        <f>C18+D18+E18</f>
        <v/>
      </c>
    </row>
    <row r="19" ht="22" customHeight="1">
      <c r="A19" s="5" t="inlineStr">
        <is>
          <t>2024</t>
        </is>
      </c>
      <c r="B19" s="5" t="inlineStr">
        <is>
          <t>35</t>
        </is>
      </c>
      <c r="C19" s="5" t="inlineStr">
        <is>
          <t>125000</t>
        </is>
      </c>
      <c r="D19" s="5" t="inlineStr">
        <is>
          <t>15000</t>
        </is>
      </c>
      <c r="E19" s="5" t="inlineStr">
        <is>
          <t>8750</t>
        </is>
      </c>
      <c r="F19" s="6">
        <f>C19+D19+E19</f>
        <v/>
      </c>
    </row>
    <row r="20" ht="22" customHeight="1">
      <c r="A20" s="5" t="inlineStr">
        <is>
          <t>2024</t>
        </is>
      </c>
      <c r="B20" s="5" t="inlineStr">
        <is>
          <t>35</t>
        </is>
      </c>
      <c r="C20" s="5" t="inlineStr">
        <is>
          <t>125000</t>
        </is>
      </c>
      <c r="D20" s="5" t="inlineStr">
        <is>
          <t>15000</t>
        </is>
      </c>
      <c r="E20" s="5" t="inlineStr">
        <is>
          <t>8750</t>
        </is>
      </c>
      <c r="F20" s="6">
        <f>C20+D20+E20</f>
        <v/>
      </c>
    </row>
    <row r="21" ht="22" customHeight="1">
      <c r="A21" s="5" t="inlineStr">
        <is>
          <t>2024</t>
        </is>
      </c>
      <c r="B21" s="5" t="inlineStr">
        <is>
          <t>35</t>
        </is>
      </c>
      <c r="C21" s="5" t="inlineStr">
        <is>
          <t>125000</t>
        </is>
      </c>
      <c r="D21" s="5" t="inlineStr">
        <is>
          <t>15000</t>
        </is>
      </c>
      <c r="E21" s="5" t="inlineStr">
        <is>
          <t>8750</t>
        </is>
      </c>
      <c r="F21" s="6">
        <f>C21+D21+E21</f>
        <v/>
      </c>
    </row>
    <row r="22" ht="22" customHeight="1">
      <c r="A22" s="5" t="inlineStr">
        <is>
          <t>2024</t>
        </is>
      </c>
      <c r="B22" s="5" t="inlineStr">
        <is>
          <t>35</t>
        </is>
      </c>
      <c r="C22" s="5" t="inlineStr">
        <is>
          <t>125000</t>
        </is>
      </c>
      <c r="D22" s="5" t="inlineStr">
        <is>
          <t>15000</t>
        </is>
      </c>
      <c r="E22" s="5" t="inlineStr">
        <is>
          <t>8750</t>
        </is>
      </c>
      <c r="F22" s="6">
        <f>C22+D22+E22</f>
        <v/>
      </c>
    </row>
    <row r="23" ht="22" customHeight="1">
      <c r="A23" s="5" t="inlineStr">
        <is>
          <t>2024</t>
        </is>
      </c>
      <c r="B23" s="5" t="inlineStr">
        <is>
          <t>35</t>
        </is>
      </c>
      <c r="C23" s="5" t="inlineStr">
        <is>
          <t>125000</t>
        </is>
      </c>
      <c r="D23" s="5" t="inlineStr">
        <is>
          <t>15000</t>
        </is>
      </c>
      <c r="E23" s="5" t="inlineStr">
        <is>
          <t>8750</t>
        </is>
      </c>
      <c r="F23" s="6">
        <f>C23+D23+E23</f>
        <v/>
      </c>
    </row>
    <row r="24" ht="22" customHeight="1">
      <c r="A24" s="5" t="inlineStr">
        <is>
          <t>2024</t>
        </is>
      </c>
      <c r="B24" s="5" t="inlineStr">
        <is>
          <t>35</t>
        </is>
      </c>
      <c r="C24" s="5" t="inlineStr">
        <is>
          <t>125000</t>
        </is>
      </c>
      <c r="D24" s="5" t="inlineStr">
        <is>
          <t>15000</t>
        </is>
      </c>
      <c r="E24" s="5" t="inlineStr">
        <is>
          <t>8750</t>
        </is>
      </c>
      <c r="F24" s="6">
        <f>C24+D24+E24</f>
        <v/>
      </c>
    </row>
    <row r="25" ht="22" customHeight="1">
      <c r="A25" s="5" t="inlineStr">
        <is>
          <t>2024</t>
        </is>
      </c>
      <c r="B25" s="5" t="inlineStr">
        <is>
          <t>35</t>
        </is>
      </c>
      <c r="C25" s="5" t="inlineStr">
        <is>
          <t>125000</t>
        </is>
      </c>
      <c r="D25" s="5" t="inlineStr">
        <is>
          <t>15000</t>
        </is>
      </c>
      <c r="E25" s="5" t="inlineStr">
        <is>
          <t>8750</t>
        </is>
      </c>
      <c r="F25" s="6">
        <f>C25+D25+E25</f>
        <v/>
      </c>
    </row>
    <row r="26" ht="22" customHeight="1">
      <c r="A26" s="5" t="inlineStr">
        <is>
          <t>2024</t>
        </is>
      </c>
      <c r="B26" s="5" t="inlineStr">
        <is>
          <t>35</t>
        </is>
      </c>
      <c r="C26" s="5" t="inlineStr">
        <is>
          <t>125000</t>
        </is>
      </c>
      <c r="D26" s="5" t="inlineStr">
        <is>
          <t>15000</t>
        </is>
      </c>
      <c r="E26" s="5" t="inlineStr">
        <is>
          <t>8750</t>
        </is>
      </c>
      <c r="F26" s="6">
        <f>C26+D26+E26</f>
        <v/>
      </c>
    </row>
    <row r="27" ht="22" customHeight="1">
      <c r="A27" s="5" t="inlineStr">
        <is>
          <t>2024</t>
        </is>
      </c>
      <c r="B27" s="5" t="inlineStr">
        <is>
          <t>35</t>
        </is>
      </c>
      <c r="C27" s="5" t="inlineStr">
        <is>
          <t>125000</t>
        </is>
      </c>
      <c r="D27" s="5" t="inlineStr">
        <is>
          <t>15000</t>
        </is>
      </c>
      <c r="E27" s="5" t="inlineStr">
        <is>
          <t>8750</t>
        </is>
      </c>
      <c r="F27" s="6">
        <f>C27+D27+E27</f>
        <v/>
      </c>
    </row>
    <row r="28" ht="22" customHeight="1">
      <c r="A28" s="5" t="inlineStr">
        <is>
          <t>2024</t>
        </is>
      </c>
      <c r="B28" s="5" t="inlineStr">
        <is>
          <t>35</t>
        </is>
      </c>
      <c r="C28" s="5" t="inlineStr">
        <is>
          <t>125000</t>
        </is>
      </c>
      <c r="D28" s="5" t="inlineStr">
        <is>
          <t>15000</t>
        </is>
      </c>
      <c r="E28" s="5" t="inlineStr">
        <is>
          <t>8750</t>
        </is>
      </c>
      <c r="F28" s="6">
        <f>C28+D28+E28</f>
        <v/>
      </c>
    </row>
    <row r="29" ht="22" customHeight="1">
      <c r="A29" s="5" t="inlineStr">
        <is>
          <t>2024</t>
        </is>
      </c>
      <c r="B29" s="5" t="inlineStr">
        <is>
          <t>35</t>
        </is>
      </c>
      <c r="C29" s="5" t="inlineStr">
        <is>
          <t>125000</t>
        </is>
      </c>
      <c r="D29" s="5" t="inlineStr">
        <is>
          <t>15000</t>
        </is>
      </c>
      <c r="E29" s="5" t="inlineStr">
        <is>
          <t>8750</t>
        </is>
      </c>
      <c r="F29" s="6">
        <f>C29+D29+E29</f>
        <v/>
      </c>
    </row>
    <row r="30" ht="22" customHeight="1">
      <c r="A30" s="5" t="inlineStr">
        <is>
          <t>2024</t>
        </is>
      </c>
      <c r="B30" s="5" t="inlineStr">
        <is>
          <t>35</t>
        </is>
      </c>
      <c r="C30" s="5" t="inlineStr">
        <is>
          <t>125000</t>
        </is>
      </c>
      <c r="D30" s="5" t="inlineStr">
        <is>
          <t>15000</t>
        </is>
      </c>
      <c r="E30" s="5" t="inlineStr">
        <is>
          <t>8750</t>
        </is>
      </c>
      <c r="F30" s="6">
        <f>C30+D30+E30</f>
        <v/>
      </c>
    </row>
    <row r="31" ht="22" customHeight="1">
      <c r="A31" s="5" t="inlineStr">
        <is>
          <t>2024</t>
        </is>
      </c>
      <c r="B31" s="5" t="inlineStr">
        <is>
          <t>35</t>
        </is>
      </c>
      <c r="C31" s="5" t="inlineStr">
        <is>
          <t>125000</t>
        </is>
      </c>
      <c r="D31" s="5" t="inlineStr">
        <is>
          <t>15000</t>
        </is>
      </c>
      <c r="E31" s="5" t="inlineStr">
        <is>
          <t>8750</t>
        </is>
      </c>
      <c r="F31" s="6">
        <f>C31+D31+E31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7706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8" customWidth="1" min="4" max="4"/>
  </cols>
  <sheetData>
    <row r="1">
      <c r="A1" s="4" t="inlineStr">
        <is>
          <t>Expense</t>
        </is>
      </c>
      <c r="B1" s="4" t="inlineStr">
        <is>
          <t>Monthly $</t>
        </is>
      </c>
      <c r="C1" s="4" t="inlineStr">
        <is>
          <t>Annual $</t>
        </is>
      </c>
      <c r="D1" s="4" t="inlineStr">
        <is>
          <t>Notes</t>
        </is>
      </c>
    </row>
    <row r="2" ht="22" customHeight="1">
      <c r="A2" s="5" t="inlineStr">
        <is>
          <t>Housing</t>
        </is>
      </c>
      <c r="B2" s="5" t="inlineStr">
        <is>
          <t>2000</t>
        </is>
      </c>
      <c r="C2" s="6">
        <f>C2*12</f>
        <v/>
      </c>
      <c r="D2" s="5" t="inlineStr">
        <is>
          <t>Paid off mortgage by then</t>
        </is>
      </c>
    </row>
    <row r="3" ht="22" customHeight="1">
      <c r="A3" s="5" t="inlineStr">
        <is>
          <t>Housing</t>
        </is>
      </c>
      <c r="B3" s="5" t="inlineStr">
        <is>
          <t>2000</t>
        </is>
      </c>
      <c r="C3" s="6">
        <f>C3*12</f>
        <v/>
      </c>
      <c r="D3" s="5" t="inlineStr">
        <is>
          <t>Paid off mortgage by then</t>
        </is>
      </c>
    </row>
    <row r="4" ht="22" customHeight="1">
      <c r="A4" s="5" t="inlineStr">
        <is>
          <t>Housing</t>
        </is>
      </c>
      <c r="B4" s="5" t="inlineStr">
        <is>
          <t>2000</t>
        </is>
      </c>
      <c r="C4" s="6">
        <f>C4*12</f>
        <v/>
      </c>
      <c r="D4" s="5" t="inlineStr">
        <is>
          <t>Paid off mortgage by then</t>
        </is>
      </c>
    </row>
    <row r="5" ht="22" customHeight="1">
      <c r="A5" s="5" t="inlineStr">
        <is>
          <t>Housing</t>
        </is>
      </c>
      <c r="B5" s="5" t="inlineStr">
        <is>
          <t>2000</t>
        </is>
      </c>
      <c r="C5" s="6">
        <f>C5*12</f>
        <v/>
      </c>
      <c r="D5" s="5" t="inlineStr">
        <is>
          <t>Paid off mortgage by then</t>
        </is>
      </c>
    </row>
    <row r="6" ht="22" customHeight="1">
      <c r="A6" s="5" t="inlineStr">
        <is>
          <t>Housing</t>
        </is>
      </c>
      <c r="B6" s="5" t="inlineStr">
        <is>
          <t>2000</t>
        </is>
      </c>
      <c r="C6" s="6">
        <f>C6*12</f>
        <v/>
      </c>
      <c r="D6" s="5" t="inlineStr">
        <is>
          <t>Paid off mortgage by then</t>
        </is>
      </c>
    </row>
    <row r="7" ht="22" customHeight="1">
      <c r="A7" s="5" t="inlineStr">
        <is>
          <t>Housing</t>
        </is>
      </c>
      <c r="B7" s="5" t="inlineStr">
        <is>
          <t>2000</t>
        </is>
      </c>
      <c r="C7" s="6">
        <f>C7*12</f>
        <v/>
      </c>
      <c r="D7" s="5" t="inlineStr">
        <is>
          <t>Paid off mortgage by then</t>
        </is>
      </c>
    </row>
    <row r="8" ht="22" customHeight="1">
      <c r="A8" s="5" t="inlineStr">
        <is>
          <t>Housing</t>
        </is>
      </c>
      <c r="B8" s="5" t="inlineStr">
        <is>
          <t>2000</t>
        </is>
      </c>
      <c r="C8" s="6">
        <f>C8*12</f>
        <v/>
      </c>
      <c r="D8" s="5" t="inlineStr">
        <is>
          <t>Paid off mortgage by then</t>
        </is>
      </c>
    </row>
    <row r="9" ht="22" customHeight="1">
      <c r="A9" s="5" t="inlineStr">
        <is>
          <t>Housing</t>
        </is>
      </c>
      <c r="B9" s="5" t="inlineStr">
        <is>
          <t>2000</t>
        </is>
      </c>
      <c r="C9" s="6">
        <f>C9*12</f>
        <v/>
      </c>
      <c r="D9" s="5" t="inlineStr">
        <is>
          <t>Paid off mortgage by then</t>
        </is>
      </c>
    </row>
    <row r="10" ht="22" customHeight="1">
      <c r="A10" s="5" t="inlineStr">
        <is>
          <t>Housing</t>
        </is>
      </c>
      <c r="B10" s="5" t="inlineStr">
        <is>
          <t>2000</t>
        </is>
      </c>
      <c r="C10" s="6">
        <f>C10*12</f>
        <v/>
      </c>
      <c r="D10" s="5" t="inlineStr">
        <is>
          <t>Paid off mortgage by then</t>
        </is>
      </c>
    </row>
    <row r="11" ht="22" customHeight="1">
      <c r="A11" s="5" t="inlineStr">
        <is>
          <t>Housing</t>
        </is>
      </c>
      <c r="B11" s="5" t="inlineStr">
        <is>
          <t>2000</t>
        </is>
      </c>
      <c r="C11" s="6">
        <f>C11*12</f>
        <v/>
      </c>
      <c r="D11" s="5" t="inlineStr">
        <is>
          <t>Paid off mortgage by then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DC2626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Reports — Auto-Generated</t>
        </is>
      </c>
    </row>
    <row r="3">
      <c r="A3" s="8" t="inlineStr">
        <is>
          <t>Retirement Summary</t>
        </is>
      </c>
    </row>
    <row r="4">
      <c r="A4" s="9" t="inlineStr">
        <is>
          <t>FIRE Number (25x)</t>
        </is>
      </c>
      <c r="B4" s="6">
        <f>Settings!B4*25</f>
        <v/>
      </c>
    </row>
    <row r="5">
      <c r="A5" s="9" t="inlineStr">
        <is>
          <t>Total Saved</t>
        </is>
      </c>
      <c r="B5" s="6">
        <f>SUM(Accounts!C:C)</f>
        <v/>
      </c>
    </row>
    <row r="6">
      <c r="A6" s="9" t="inlineStr">
        <is>
          <t>Annual Contribution</t>
        </is>
      </c>
      <c r="B6" s="6">
        <f>SUM(Accounts!D:D)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2026-06-16T07:19:25Z</dcterms:created>
  <dcterms:modified xsi:type="dcterms:W3CDTF">2026-06-16T07:19:25Z</dcterms:modified>
</cp:coreProperties>
</file>