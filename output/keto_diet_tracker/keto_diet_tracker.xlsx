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FoodLog" sheetId="2" state="visible" r:id="rId2"/>
    <sheet name="Dashboard" sheetId="3" state="visible" r:id="rId3"/>
    <sheet name="DailySummary" sheetId="4" state="visible" r:id="rId4"/>
    <sheet name="FoodLibrary" sheetId="5" state="visible" r:id="rId5"/>
    <sheet name="Progres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&quot;€&quot;#,##0.00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222222"/>
      <sz val="10"/>
    </font>
    <font>
      <name val="Arial"/>
      <b val="1"/>
      <color rgb="00FFFFFF"/>
      <sz val="15"/>
    </font>
    <font>
      <name val="Arial"/>
      <b val="1"/>
      <color rgb="00FFFFFF"/>
      <sz val="16"/>
    </font>
    <font>
      <name val="Arial"/>
      <b val="1"/>
      <color rgb="001A2E05"/>
      <sz val="12"/>
    </font>
    <font>
      <name val="Arial"/>
      <color rgb="00444444"/>
      <sz val="10"/>
    </font>
    <font>
      <name val="Arial"/>
      <i val="1"/>
      <color rgb="00777777"/>
      <sz val="10"/>
    </font>
    <font>
      <name val="Arial"/>
      <b val="1"/>
      <color rgb="00FFFFFF"/>
      <sz val="20"/>
    </font>
    <font>
      <name val="Arial"/>
      <color rgb="00DDDDDD"/>
      <sz val="11"/>
    </font>
    <font>
      <name val="Arial"/>
      <b val="1"/>
      <color rgb="0084CC16"/>
      <sz val="12"/>
    </font>
    <font>
      <name val="Arial"/>
      <color rgb="00333333"/>
      <sz val="11"/>
    </font>
  </fonts>
  <fills count="7">
    <fill>
      <patternFill/>
    </fill>
    <fill>
      <patternFill patternType="gray125"/>
    </fill>
    <fill>
      <patternFill patternType="solid">
        <fgColor rgb="001A2E05"/>
      </patternFill>
    </fill>
    <fill>
      <patternFill patternType="solid">
        <fgColor rgb="00FFF7F0"/>
      </patternFill>
    </fill>
    <fill>
      <patternFill patternType="solid">
        <fgColor rgb="0084CC16"/>
      </patternFill>
    </fill>
    <fill>
      <patternFill patternType="solid">
        <fgColor rgb="0086EFAC"/>
      </patternFill>
    </fill>
    <fill>
      <patternFill patternType="solid">
        <fgColor rgb="006366F1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8" fillId="2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10" fillId="0" borderId="0" pivotButton="0" quotePrefix="0" xfId="0"/>
    <xf numFmtId="0" fontId="11" fillId="0" borderId="0" applyAlignment="1" pivotButton="0" quotePrefix="0" xfId="0">
      <alignment horizontal="left" vertical="center" wrapText="1"/>
    </xf>
    <xf numFmtId="0" fontId="7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3" borderId="1" pivotButton="0" quotePrefix="0" xfId="0"/>
    <xf numFmtId="0" fontId="2" fillId="3" borderId="1" pivotButton="0" quotePrefix="0" xfId="0"/>
    <xf numFmtId="165" fontId="2" fillId="3" borderId="1" pivotButton="0" quotePrefix="0" xfId="0"/>
    <xf numFmtId="164" fontId="2" fillId="0" borderId="1" pivotButton="0" quotePrefix="0" xfId="0"/>
    <xf numFmtId="0" fontId="2" fillId="0" borderId="1" pivotButton="0" quotePrefix="0" xfId="0"/>
    <xf numFmtId="165" fontId="2" fillId="0" borderId="1" pivotButton="0" quotePrefix="0" xfId="0"/>
    <xf numFmtId="0" fontId="3" fillId="2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30" customWidth="1" min="3" max="3"/>
    <col width="30" customWidth="1" min="4" max="4"/>
    <col width="30" customWidth="1" min="5" max="5"/>
    <col width="16" customWidth="1" min="6" max="6"/>
  </cols>
  <sheetData>
    <row r="2">
      <c r="B2" s="1" t="inlineStr">
        <is>
          <t>🥑  KETO DIET TRACKER</t>
        </is>
      </c>
    </row>
    <row r="3"/>
    <row r="4">
      <c r="B4" s="2" t="inlineStr">
        <is>
          <t>Net Carbs &amp; Macros Daily Log Google Sheets</t>
        </is>
      </c>
    </row>
    <row r="6">
      <c r="B6" s="3" t="inlineStr">
        <is>
          <t>STEP 1 — Fill in “FoodLog”</t>
        </is>
      </c>
    </row>
    <row r="7" ht="28" customHeight="1">
      <c r="B7" s="4" t="inlineStr">
        <is>
          <t>Every meal logged with macros and net carbs.</t>
        </is>
      </c>
    </row>
    <row r="9">
      <c r="B9" s="3" t="inlineStr">
        <is>
          <t>STEP 2 — Fill in “DailySummary”</t>
        </is>
      </c>
    </row>
    <row r="10" ht="28" customHeight="1">
      <c r="B10" s="4" t="inlineStr">
        <is>
          <t>Daily macro totals and keto status.</t>
        </is>
      </c>
    </row>
    <row r="12">
      <c r="B12" s="3" t="inlineStr">
        <is>
          <t>STEP 3 — Fill in “FoodLibrary”</t>
        </is>
      </c>
    </row>
    <row r="13" ht="28" customHeight="1">
      <c r="B13" s="4" t="inlineStr">
        <is>
          <t>Keto-approved food library with macro reference.</t>
        </is>
      </c>
    </row>
    <row r="15">
      <c r="B15" s="3" t="inlineStr">
        <is>
          <t>STEP 4 — Fill in “Progress”</t>
        </is>
      </c>
    </row>
    <row r="16" ht="28" customHeight="1">
      <c r="B16" s="4" t="inlineStr">
        <is>
          <t>Weekly weight and measurement progress.</t>
        </is>
      </c>
    </row>
    <row r="18">
      <c r="B18" s="3" t="inlineStr">
        <is>
          <t>Then open the Dashboard — everything calculates automatically.</t>
        </is>
      </c>
    </row>
    <row r="20">
      <c r="B20" s="5" t="inlineStr">
        <is>
          <t>TIP: Delete the sample rows once you've seen how it works.</t>
        </is>
      </c>
    </row>
    <row r="22">
      <c r="B22" s="5" t="inlineStr">
        <is>
          <t>TIP: On Google Sheets? File → Make a copy first, then edit your copy.</t>
        </is>
      </c>
    </row>
    <row r="24">
      <c r="B24" s="5" t="inlineStr">
        <is>
          <t>TIP: Columns with dropdowns keep your data clean — use them.</t>
        </is>
      </c>
    </row>
    <row r="26">
      <c r="B26" s="5" t="inlineStr">
        <is>
          <t>Need help? Message NasriTools on Etsy — I reply fast. 🧡</t>
        </is>
      </c>
    </row>
  </sheetData>
  <mergeCells count="15">
    <mergeCell ref="B4:F4"/>
    <mergeCell ref="B12:F12"/>
    <mergeCell ref="B7:F7"/>
    <mergeCell ref="B6:F6"/>
    <mergeCell ref="B24:F24"/>
    <mergeCell ref="B16:F16"/>
    <mergeCell ref="B20:F20"/>
    <mergeCell ref="B15:F15"/>
    <mergeCell ref="B2:F3"/>
    <mergeCell ref="B10:F10"/>
    <mergeCell ref="B18:F18"/>
    <mergeCell ref="B22:F22"/>
    <mergeCell ref="B26:F26"/>
    <mergeCell ref="B9:F9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6" customWidth="1" min="3" max="3"/>
    <col width="14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</cols>
  <sheetData>
    <row r="1">
      <c r="A1" s="6" t="inlineStr">
        <is>
          <t>Date</t>
        </is>
      </c>
      <c r="B1" s="6" t="inlineStr">
        <is>
          <t>Meal</t>
        </is>
      </c>
      <c r="C1" s="6" t="inlineStr">
        <is>
          <t>Food</t>
        </is>
      </c>
      <c r="D1" s="6" t="inlineStr">
        <is>
          <t>Protein (g)</t>
        </is>
      </c>
      <c r="E1" s="6" t="inlineStr">
        <is>
          <t>Fat (g)</t>
        </is>
      </c>
      <c r="F1" s="6" t="inlineStr">
        <is>
          <t>Total Carbs</t>
        </is>
      </c>
      <c r="G1" s="6" t="inlineStr">
        <is>
          <t>Fiber (g)</t>
        </is>
      </c>
      <c r="H1" s="6" t="inlineStr">
        <is>
          <t>Net Carbs</t>
        </is>
      </c>
      <c r="I1" s="6" t="inlineStr">
        <is>
          <t>Calories</t>
        </is>
      </c>
    </row>
    <row r="2">
      <c r="A2" s="7" t="n">
        <v>46174</v>
      </c>
      <c r="B2" s="8" t="inlineStr">
        <is>
          <t>Breakfast</t>
        </is>
      </c>
      <c r="C2" s="8" t="inlineStr">
        <is>
          <t>Avocado</t>
        </is>
      </c>
      <c r="D2" s="8" t="n">
        <v>2</v>
      </c>
      <c r="E2" s="8" t="n">
        <v>15</v>
      </c>
      <c r="F2" s="9" t="n">
        <v>9</v>
      </c>
      <c r="G2" s="8" t="n">
        <v>7</v>
      </c>
      <c r="H2" s="8">
        <f>F2-G2</f>
        <v/>
      </c>
      <c r="I2" s="8" t="n">
        <v>160</v>
      </c>
    </row>
    <row r="3">
      <c r="A3" s="10" t="n">
        <v>46180</v>
      </c>
      <c r="B3" s="11" t="inlineStr">
        <is>
          <t>Lunch</t>
        </is>
      </c>
      <c r="C3" s="11" t="inlineStr">
        <is>
          <t>Avocado</t>
        </is>
      </c>
      <c r="D3" s="11" t="n">
        <v>1.4</v>
      </c>
      <c r="E3" s="11" t="n">
        <v>10.5</v>
      </c>
      <c r="F3" s="12" t="n">
        <v>6.3</v>
      </c>
      <c r="G3" s="11" t="n">
        <v>4.9</v>
      </c>
      <c r="H3" s="11">
        <f>F3-G3</f>
        <v/>
      </c>
      <c r="I3" s="11" t="n">
        <v>112</v>
      </c>
    </row>
    <row r="4">
      <c r="A4" s="7" t="n">
        <v>46186</v>
      </c>
      <c r="B4" s="8" t="inlineStr">
        <is>
          <t>Dinner</t>
        </is>
      </c>
      <c r="C4" s="8" t="inlineStr"/>
      <c r="D4" s="8" t="n">
        <v>2.6</v>
      </c>
      <c r="E4" s="8" t="n">
        <v>19.5</v>
      </c>
      <c r="F4" s="9" t="n">
        <v>11.7</v>
      </c>
      <c r="G4" s="8" t="n">
        <v>9.1</v>
      </c>
      <c r="H4" s="8">
        <f>F4-G4</f>
        <v/>
      </c>
      <c r="I4" s="8" t="n">
        <v>208</v>
      </c>
    </row>
    <row r="5">
      <c r="A5" s="10" t="n">
        <v>46189</v>
      </c>
      <c r="B5" s="11" t="inlineStr">
        <is>
          <t>Snack</t>
        </is>
      </c>
      <c r="C5" s="11" t="inlineStr">
        <is>
          <t>Avocado</t>
        </is>
      </c>
      <c r="D5" s="11" t="n">
        <v>1.7</v>
      </c>
      <c r="E5" s="11" t="n">
        <v>12.75</v>
      </c>
      <c r="F5" s="12" t="n">
        <v>7.65</v>
      </c>
      <c r="G5" s="11" t="n">
        <v>5.95</v>
      </c>
      <c r="H5" s="11">
        <f>F5-G5</f>
        <v/>
      </c>
      <c r="I5" s="11" t="n">
        <v>136</v>
      </c>
    </row>
    <row r="6">
      <c r="A6" s="7" t="n">
        <v>46195</v>
      </c>
      <c r="B6" s="8" t="inlineStr">
        <is>
          <t>Breakfast</t>
        </is>
      </c>
      <c r="C6" s="8" t="inlineStr">
        <is>
          <t>Avocado</t>
        </is>
      </c>
      <c r="D6" s="8" t="n">
        <v>2.3</v>
      </c>
      <c r="E6" s="8" t="n">
        <v>17.25</v>
      </c>
      <c r="F6" s="9" t="n">
        <v>10.35</v>
      </c>
      <c r="G6" s="8" t="n">
        <v>8.050000000000001</v>
      </c>
      <c r="H6" s="8">
        <f>F6-G6</f>
        <v/>
      </c>
      <c r="I6" s="8" t="n">
        <v>184</v>
      </c>
    </row>
    <row r="7">
      <c r="A7" s="10" t="n">
        <v>46201</v>
      </c>
      <c r="B7" s="11" t="inlineStr">
        <is>
          <t>Lunch</t>
        </is>
      </c>
      <c r="C7" s="11" t="inlineStr"/>
      <c r="D7" s="11" t="n">
        <v>1.2</v>
      </c>
      <c r="E7" s="11" t="n">
        <v>9</v>
      </c>
      <c r="F7" s="12" t="n">
        <v>5.4</v>
      </c>
      <c r="G7" s="11" t="n">
        <v>4.2</v>
      </c>
      <c r="H7" s="11">
        <f>F7-G7</f>
        <v/>
      </c>
      <c r="I7" s="11" t="n">
        <v>96</v>
      </c>
    </row>
    <row r="8">
      <c r="A8" s="7" t="n">
        <v>46176</v>
      </c>
      <c r="B8" s="8" t="inlineStr">
        <is>
          <t>Dinner</t>
        </is>
      </c>
      <c r="C8" s="8" t="inlineStr">
        <is>
          <t>Avocado</t>
        </is>
      </c>
      <c r="D8" s="8" t="n">
        <v>2.9</v>
      </c>
      <c r="E8" s="8" t="n">
        <v>21.75</v>
      </c>
      <c r="F8" s="9" t="n">
        <v>13.05</v>
      </c>
      <c r="G8" s="8" t="n">
        <v>10.15</v>
      </c>
      <c r="H8" s="8">
        <f>F8-G8</f>
        <v/>
      </c>
      <c r="I8" s="8" t="n">
        <v>232</v>
      </c>
    </row>
    <row r="9">
      <c r="A9" s="10" t="n">
        <v>46182</v>
      </c>
      <c r="B9" s="11" t="inlineStr">
        <is>
          <t>Snack</t>
        </is>
      </c>
      <c r="C9" s="11" t="inlineStr">
        <is>
          <t>Avocado</t>
        </is>
      </c>
      <c r="D9" s="11" t="n">
        <v>1.9</v>
      </c>
      <c r="E9" s="11" t="n">
        <v>14.25</v>
      </c>
      <c r="F9" s="12" t="n">
        <v>8.550000000000001</v>
      </c>
      <c r="G9" s="11" t="n">
        <v>6.65</v>
      </c>
      <c r="H9" s="11">
        <f>F9-G9</f>
        <v/>
      </c>
      <c r="I9" s="11" t="n">
        <v>152</v>
      </c>
    </row>
    <row r="10">
      <c r="A10" s="7" t="n">
        <v>46188</v>
      </c>
      <c r="B10" s="8" t="inlineStr">
        <is>
          <t>Breakfast</t>
        </is>
      </c>
      <c r="C10" s="8" t="inlineStr"/>
      <c r="D10" s="8" t="n">
        <v>2.5</v>
      </c>
      <c r="E10" s="8" t="n">
        <v>18.75</v>
      </c>
      <c r="F10" s="9" t="n">
        <v>11.25</v>
      </c>
      <c r="G10" s="8" t="n">
        <v>8.75</v>
      </c>
      <c r="H10" s="8">
        <f>F10-G10</f>
        <v/>
      </c>
      <c r="I10" s="8" t="n">
        <v>200</v>
      </c>
    </row>
    <row r="11">
      <c r="A11" s="10" t="n">
        <v>46191</v>
      </c>
      <c r="B11" s="11" t="inlineStr">
        <is>
          <t>Lunch</t>
        </is>
      </c>
      <c r="C11" s="11" t="inlineStr">
        <is>
          <t>Avocado</t>
        </is>
      </c>
      <c r="D11" s="11" t="n">
        <v>1.6</v>
      </c>
      <c r="E11" s="11" t="n">
        <v>12</v>
      </c>
      <c r="F11" s="12" t="n">
        <v>7.2</v>
      </c>
      <c r="G11" s="11" t="n">
        <v>5.6</v>
      </c>
      <c r="H11" s="11">
        <f>F11-G11</f>
        <v/>
      </c>
      <c r="I11" s="11" t="n">
        <v>128</v>
      </c>
    </row>
    <row r="12">
      <c r="A12" s="7" t="n">
        <v>46197</v>
      </c>
      <c r="B12" s="8" t="inlineStr">
        <is>
          <t>Dinner</t>
        </is>
      </c>
      <c r="C12" s="8" t="inlineStr">
        <is>
          <t>Avocado</t>
        </is>
      </c>
      <c r="D12" s="8" t="n">
        <v>2.2</v>
      </c>
      <c r="E12" s="8" t="n">
        <v>16.5</v>
      </c>
      <c r="F12" s="9" t="n">
        <v>9.9</v>
      </c>
      <c r="G12" s="8" t="n">
        <v>7.7</v>
      </c>
      <c r="H12" s="8">
        <f>F12-G12</f>
        <v/>
      </c>
      <c r="I12" s="8" t="n">
        <v>176</v>
      </c>
    </row>
    <row r="13">
      <c r="A13" s="10" t="n">
        <v>46175</v>
      </c>
      <c r="B13" s="11" t="inlineStr">
        <is>
          <t>Snack</t>
        </is>
      </c>
      <c r="C13" s="11" t="inlineStr"/>
      <c r="D13" s="11" t="n">
        <v>1.5</v>
      </c>
      <c r="E13" s="11" t="n">
        <v>11.25</v>
      </c>
      <c r="F13" s="12" t="n">
        <v>6.75</v>
      </c>
      <c r="G13" s="11" t="n">
        <v>5.25</v>
      </c>
      <c r="H13" s="11">
        <f>F13-G13</f>
        <v/>
      </c>
      <c r="I13" s="11" t="n">
        <v>120</v>
      </c>
    </row>
  </sheetData>
  <dataValidations count="1">
    <dataValidation sqref="B2:B500" showDropDown="0" showInputMessage="0" showErrorMessage="0" allowBlank="1" type="list">
      <formula1>"Breakfast,Lunch,Dinner,Snack"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2" ht="28" customHeight="1">
      <c r="B2" s="13" t="inlineStr">
        <is>
          <t>📊  KETO DIET TRACKER — DASHBOARD</t>
        </is>
      </c>
    </row>
    <row r="4">
      <c r="B4" s="14" t="inlineStr">
        <is>
          <t>TODAY NET CARBS</t>
        </is>
      </c>
      <c r="D4" s="15" t="inlineStr">
        <is>
          <t>TODAY PROTEIN (G)</t>
        </is>
      </c>
      <c r="F4" s="16" t="inlineStr">
        <is>
          <t>TODAY FAT (G)</t>
        </is>
      </c>
      <c r="H4" s="17" t="inlineStr">
        <is>
          <t>AVG NET CARBS</t>
        </is>
      </c>
    </row>
    <row r="5" ht="26" customHeight="1">
      <c r="B5" s="18">
        <f>SUMIF(FoodLog!A:A,TODAY(),FoodLog!G:G)</f>
        <v/>
      </c>
      <c r="D5" s="19">
        <f>SUMIF(FoodLog!A:A,TODAY(),FoodLog!D:D)</f>
        <v/>
      </c>
      <c r="F5" s="20">
        <f>SUMIF(FoodLog!A:A,TODAY(),FoodLog!E:E)</f>
        <v/>
      </c>
      <c r="H5" s="21">
        <f>AVERAGE(DailySummary!D:D)</f>
        <v/>
      </c>
    </row>
    <row r="8">
      <c r="B8" s="22" t="inlineStr">
        <is>
          <t>WHAT'S INSIDE</t>
        </is>
      </c>
    </row>
    <row r="9">
      <c r="B9" s="23" t="inlineStr">
        <is>
          <t>🍽️  FoodLog — Every meal logged with macros and net carbs.</t>
        </is>
      </c>
    </row>
    <row r="10">
      <c r="B10" s="23" t="inlineStr">
        <is>
          <t>📊  DailySummary — Daily macro totals and keto status.</t>
        </is>
      </c>
    </row>
    <row r="11">
      <c r="B11" s="23" t="inlineStr">
        <is>
          <t>📚  FoodLibrary — Keto-approved food library with macro reference.</t>
        </is>
      </c>
    </row>
    <row r="12">
      <c r="B12" s="23" t="inlineStr">
        <is>
          <t>📈  Progress — Weekly weight and measurement progress.</t>
        </is>
      </c>
    </row>
    <row r="14">
      <c r="B14" s="5" t="inlineStr">
        <is>
          <t>Numbers update automatically as you fill the other tabs. Start with sample data deleted.</t>
        </is>
      </c>
    </row>
  </sheetData>
  <mergeCells count="14">
    <mergeCell ref="B9:I9"/>
    <mergeCell ref="F4:G4"/>
    <mergeCell ref="B12:I12"/>
    <mergeCell ref="B11:I11"/>
    <mergeCell ref="B5:C5"/>
    <mergeCell ref="B2:I2"/>
    <mergeCell ref="F5:G5"/>
    <mergeCell ref="D5:E5"/>
    <mergeCell ref="B10:I10"/>
    <mergeCell ref="H5:I5"/>
    <mergeCell ref="D4:E4"/>
    <mergeCell ref="B14:I14"/>
    <mergeCell ref="H4:I4"/>
    <mergeCell ref="B4:C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4" customWidth="1" min="4" max="4"/>
    <col width="12" customWidth="1" min="5" max="5"/>
    <col width="16" customWidth="1" min="6" max="6"/>
    <col width="14" customWidth="1" min="7" max="7"/>
  </cols>
  <sheetData>
    <row r="1">
      <c r="A1" s="6" t="inlineStr">
        <is>
          <t>Date</t>
        </is>
      </c>
      <c r="B1" s="6" t="inlineStr">
        <is>
          <t>Protein (g)</t>
        </is>
      </c>
      <c r="C1" s="6" t="inlineStr">
        <is>
          <t>Fat (g)</t>
        </is>
      </c>
      <c r="D1" s="6" t="inlineStr">
        <is>
          <t>Net Carbs</t>
        </is>
      </c>
      <c r="E1" s="6" t="inlineStr">
        <is>
          <t>Calories</t>
        </is>
      </c>
      <c r="F1" s="6" t="inlineStr">
        <is>
          <t>Keto Status</t>
        </is>
      </c>
      <c r="G1" s="6" t="inlineStr">
        <is>
          <t>Weight (lbs)</t>
        </is>
      </c>
    </row>
    <row r="2">
      <c r="A2" s="7" t="n">
        <v>46174</v>
      </c>
      <c r="B2" s="8" t="n">
        <v>95</v>
      </c>
      <c r="C2" s="8" t="n">
        <v>140</v>
      </c>
      <c r="D2" s="8" t="n">
        <v>18</v>
      </c>
      <c r="E2" s="8" t="n">
        <v>1820</v>
      </c>
      <c r="F2" s="8" t="inlineStr">
        <is>
          <t>In Ketosis</t>
        </is>
      </c>
      <c r="G2" s="8" t="n">
        <v>185</v>
      </c>
    </row>
    <row r="3">
      <c r="A3" s="10" t="n">
        <v>46180</v>
      </c>
      <c r="B3" s="11" t="n">
        <v>66.5</v>
      </c>
      <c r="C3" s="11" t="n">
        <v>98</v>
      </c>
      <c r="D3" s="11" t="n">
        <v>12.6</v>
      </c>
      <c r="E3" s="11" t="n">
        <v>1274</v>
      </c>
      <c r="F3" s="11" t="inlineStr">
        <is>
          <t>Borderline</t>
        </is>
      </c>
      <c r="G3" s="11" t="n">
        <v>130</v>
      </c>
    </row>
    <row r="4">
      <c r="A4" s="7" t="n">
        <v>46186</v>
      </c>
      <c r="B4" s="8" t="n">
        <v>123.5</v>
      </c>
      <c r="C4" s="8" t="n">
        <v>182</v>
      </c>
      <c r="D4" s="8" t="n">
        <v>23.4</v>
      </c>
      <c r="E4" s="8" t="n">
        <v>2366</v>
      </c>
      <c r="F4" s="8" t="inlineStr">
        <is>
          <t>Out of Keto</t>
        </is>
      </c>
      <c r="G4" s="8" t="n">
        <v>240</v>
      </c>
    </row>
    <row r="5">
      <c r="A5" s="10" t="n">
        <v>46189</v>
      </c>
      <c r="B5" s="11" t="n">
        <v>80.75</v>
      </c>
      <c r="C5" s="11" t="n">
        <v>119</v>
      </c>
      <c r="D5" s="11" t="n">
        <v>15.3</v>
      </c>
      <c r="E5" s="11" t="n">
        <v>1547</v>
      </c>
      <c r="F5" s="11" t="inlineStr">
        <is>
          <t>In Ketosis</t>
        </is>
      </c>
      <c r="G5" s="11" t="n">
        <v>157</v>
      </c>
    </row>
    <row r="6">
      <c r="A6" s="7" t="n">
        <v>46195</v>
      </c>
      <c r="B6" s="8" t="n">
        <v>109.25</v>
      </c>
      <c r="C6" s="8" t="n">
        <v>161</v>
      </c>
      <c r="D6" s="8" t="n">
        <v>20.7</v>
      </c>
      <c r="E6" s="8" t="n">
        <v>2093</v>
      </c>
      <c r="F6" s="8" t="inlineStr">
        <is>
          <t>Borderline</t>
        </is>
      </c>
      <c r="G6" s="8" t="n">
        <v>213</v>
      </c>
    </row>
    <row r="7">
      <c r="A7" s="10" t="n">
        <v>46201</v>
      </c>
      <c r="B7" s="11" t="n">
        <v>57</v>
      </c>
      <c r="C7" s="11" t="n">
        <v>84</v>
      </c>
      <c r="D7" s="11" t="n">
        <v>10.8</v>
      </c>
      <c r="E7" s="11" t="n">
        <v>1092</v>
      </c>
      <c r="F7" s="11" t="inlineStr">
        <is>
          <t>Out of Keto</t>
        </is>
      </c>
      <c r="G7" s="11" t="n">
        <v>111</v>
      </c>
    </row>
    <row r="8">
      <c r="A8" s="7" t="n">
        <v>46176</v>
      </c>
      <c r="B8" s="8" t="n">
        <v>137.75</v>
      </c>
      <c r="C8" s="8" t="n">
        <v>203</v>
      </c>
      <c r="D8" s="8" t="n">
        <v>26.1</v>
      </c>
      <c r="E8" s="8" t="n">
        <v>2639</v>
      </c>
      <c r="F8" s="8" t="inlineStr">
        <is>
          <t>In Ketosis</t>
        </is>
      </c>
      <c r="G8" s="8" t="n">
        <v>268</v>
      </c>
    </row>
    <row r="9">
      <c r="A9" s="10" t="n">
        <v>46182</v>
      </c>
      <c r="B9" s="11" t="n">
        <v>90.25</v>
      </c>
      <c r="C9" s="11" t="n">
        <v>133</v>
      </c>
      <c r="D9" s="11" t="n">
        <v>17.1</v>
      </c>
      <c r="E9" s="11" t="n">
        <v>1729</v>
      </c>
      <c r="F9" s="11" t="inlineStr">
        <is>
          <t>Borderline</t>
        </is>
      </c>
      <c r="G9" s="11" t="n">
        <v>176</v>
      </c>
    </row>
    <row r="10">
      <c r="A10" s="7" t="n">
        <v>46188</v>
      </c>
      <c r="B10" s="8" t="n">
        <v>118.75</v>
      </c>
      <c r="C10" s="8" t="n">
        <v>175</v>
      </c>
      <c r="D10" s="8" t="n">
        <v>22.5</v>
      </c>
      <c r="E10" s="8" t="n">
        <v>2275</v>
      </c>
      <c r="F10" s="8" t="inlineStr">
        <is>
          <t>Out of Keto</t>
        </is>
      </c>
      <c r="G10" s="8" t="n">
        <v>231</v>
      </c>
    </row>
    <row r="11">
      <c r="A11" s="10" t="n">
        <v>46191</v>
      </c>
      <c r="B11" s="11" t="n">
        <v>76</v>
      </c>
      <c r="C11" s="11" t="n">
        <v>112</v>
      </c>
      <c r="D11" s="11" t="n">
        <v>14.4</v>
      </c>
      <c r="E11" s="11" t="n">
        <v>1456</v>
      </c>
      <c r="F11" s="11" t="inlineStr">
        <is>
          <t>In Ketosis</t>
        </is>
      </c>
      <c r="G11" s="11" t="n">
        <v>148</v>
      </c>
    </row>
    <row r="12">
      <c r="A12" s="7" t="n">
        <v>46197</v>
      </c>
      <c r="B12" s="8" t="n">
        <v>104.5</v>
      </c>
      <c r="C12" s="8" t="n">
        <v>154</v>
      </c>
      <c r="D12" s="8" t="n">
        <v>19.8</v>
      </c>
      <c r="E12" s="8" t="n">
        <v>2002</v>
      </c>
      <c r="F12" s="8" t="inlineStr">
        <is>
          <t>Borderline</t>
        </is>
      </c>
      <c r="G12" s="8" t="n">
        <v>204</v>
      </c>
    </row>
    <row r="13">
      <c r="A13" s="10" t="n">
        <v>46175</v>
      </c>
      <c r="B13" s="11" t="n">
        <v>71.25</v>
      </c>
      <c r="C13" s="11" t="n">
        <v>105</v>
      </c>
      <c r="D13" s="11" t="n">
        <v>13.5</v>
      </c>
      <c r="E13" s="11" t="n">
        <v>1365</v>
      </c>
      <c r="F13" s="11" t="inlineStr">
        <is>
          <t>Out of Keto</t>
        </is>
      </c>
      <c r="G13" s="11" t="n">
        <v>139</v>
      </c>
    </row>
  </sheetData>
  <dataValidations count="1">
    <dataValidation sqref="F2:F500" showDropDown="0" showInputMessage="0" showErrorMessage="0" allowBlank="1" type="list">
      <formula1>"In Ketosis,Borderline,Out of Keto"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2" customWidth="1" min="3" max="3"/>
    <col width="14" customWidth="1" min="4" max="4"/>
    <col width="12" customWidth="1" min="5" max="5"/>
    <col width="20" customWidth="1" min="6" max="6"/>
  </cols>
  <sheetData>
    <row r="1">
      <c r="A1" s="6" t="inlineStr">
        <is>
          <t>Food</t>
        </is>
      </c>
      <c r="B1" s="6" t="inlineStr">
        <is>
          <t>Protein (g)</t>
        </is>
      </c>
      <c r="C1" s="6" t="inlineStr">
        <is>
          <t>Fat (g)</t>
        </is>
      </c>
      <c r="D1" s="6" t="inlineStr">
        <is>
          <t>Net Carbs</t>
        </is>
      </c>
      <c r="E1" s="6" t="inlineStr">
        <is>
          <t>Calories</t>
        </is>
      </c>
      <c r="F1" s="6" t="inlineStr">
        <is>
          <t>Category</t>
        </is>
      </c>
    </row>
    <row r="2">
      <c r="A2" s="8" t="inlineStr">
        <is>
          <t>Chicken Breast (100g)</t>
        </is>
      </c>
      <c r="B2" s="8" t="n">
        <v>31</v>
      </c>
      <c r="C2" s="8" t="n">
        <v>3.6</v>
      </c>
      <c r="D2" s="8" t="n">
        <v>0</v>
      </c>
      <c r="E2" s="8" t="n">
        <v>165</v>
      </c>
      <c r="F2" s="8" t="inlineStr">
        <is>
          <t>Meat</t>
        </is>
      </c>
    </row>
    <row r="3">
      <c r="A3" s="11" t="inlineStr">
        <is>
          <t>Chicken Breast (100g)</t>
        </is>
      </c>
      <c r="B3" s="11" t="n">
        <v>21.7</v>
      </c>
      <c r="C3" s="11" t="n">
        <v>2.52</v>
      </c>
      <c r="D3" s="11" t="n">
        <v>0</v>
      </c>
      <c r="E3" s="11" t="n">
        <v>115</v>
      </c>
      <c r="F3" s="11" t="inlineStr">
        <is>
          <t>Fish</t>
        </is>
      </c>
    </row>
    <row r="4">
      <c r="A4" s="8" t="inlineStr"/>
      <c r="B4" s="8" t="n">
        <v>40.3</v>
      </c>
      <c r="C4" s="8" t="n">
        <v>4.68</v>
      </c>
      <c r="D4" s="8" t="n">
        <v>0</v>
      </c>
      <c r="E4" s="8" t="n">
        <v>214</v>
      </c>
      <c r="F4" s="8" t="inlineStr">
        <is>
          <t>Dairy</t>
        </is>
      </c>
    </row>
    <row r="5">
      <c r="A5" s="11" t="inlineStr">
        <is>
          <t>Chicken Breast (100g)</t>
        </is>
      </c>
      <c r="B5" s="11" t="n">
        <v>26.35</v>
      </c>
      <c r="C5" s="11" t="n">
        <v>3.06</v>
      </c>
      <c r="D5" s="11" t="n">
        <v>0</v>
      </c>
      <c r="E5" s="11" t="n">
        <v>140</v>
      </c>
      <c r="F5" s="11" t="inlineStr">
        <is>
          <t>Vegetables</t>
        </is>
      </c>
    </row>
    <row r="6">
      <c r="A6" s="8" t="inlineStr">
        <is>
          <t>Chicken Breast (100g)</t>
        </is>
      </c>
      <c r="B6" s="8" t="n">
        <v>35.65</v>
      </c>
      <c r="C6" s="8" t="n">
        <v>4.14</v>
      </c>
      <c r="D6" s="8" t="n">
        <v>0</v>
      </c>
      <c r="E6" s="8" t="n">
        <v>190</v>
      </c>
      <c r="F6" s="8" t="inlineStr">
        <is>
          <t>Nuts</t>
        </is>
      </c>
    </row>
    <row r="7">
      <c r="A7" s="11" t="inlineStr"/>
      <c r="B7" s="11" t="n">
        <v>18.6</v>
      </c>
      <c r="C7" s="11" t="n">
        <v>2.16</v>
      </c>
      <c r="D7" s="11" t="n">
        <v>0</v>
      </c>
      <c r="E7" s="11" t="n">
        <v>99</v>
      </c>
      <c r="F7" s="11" t="inlineStr">
        <is>
          <t>Fats</t>
        </is>
      </c>
    </row>
    <row r="8">
      <c r="A8" s="8" t="inlineStr">
        <is>
          <t>Chicken Breast (100g)</t>
        </is>
      </c>
      <c r="B8" s="8" t="n">
        <v>44.95</v>
      </c>
      <c r="C8" s="8" t="n">
        <v>5.22</v>
      </c>
      <c r="D8" s="8" t="n">
        <v>0</v>
      </c>
      <c r="E8" s="8" t="n">
        <v>239</v>
      </c>
      <c r="F8" s="8" t="inlineStr">
        <is>
          <t>Other</t>
        </is>
      </c>
    </row>
    <row r="9">
      <c r="A9" s="11" t="inlineStr">
        <is>
          <t>Chicken Breast (100g)</t>
        </is>
      </c>
      <c r="B9" s="11" t="n">
        <v>29.45</v>
      </c>
      <c r="C9" s="11" t="n">
        <v>3.42</v>
      </c>
      <c r="D9" s="11" t="n">
        <v>0</v>
      </c>
      <c r="E9" s="11" t="n">
        <v>157</v>
      </c>
      <c r="F9" s="11" t="inlineStr">
        <is>
          <t>Meat</t>
        </is>
      </c>
    </row>
    <row r="10">
      <c r="A10" s="8" t="inlineStr"/>
      <c r="B10" s="8" t="n">
        <v>38.75</v>
      </c>
      <c r="C10" s="8" t="n">
        <v>4.5</v>
      </c>
      <c r="D10" s="8" t="n">
        <v>0</v>
      </c>
      <c r="E10" s="8" t="n">
        <v>206</v>
      </c>
      <c r="F10" s="8" t="inlineStr">
        <is>
          <t>Fish</t>
        </is>
      </c>
    </row>
    <row r="11">
      <c r="A11" s="11" t="inlineStr">
        <is>
          <t>Chicken Breast (100g)</t>
        </is>
      </c>
      <c r="B11" s="11" t="n">
        <v>24.8</v>
      </c>
      <c r="C11" s="11" t="n">
        <v>2.88</v>
      </c>
      <c r="D11" s="11" t="n">
        <v>0</v>
      </c>
      <c r="E11" s="11" t="n">
        <v>132</v>
      </c>
      <c r="F11" s="11" t="inlineStr">
        <is>
          <t>Dairy</t>
        </is>
      </c>
    </row>
    <row r="12">
      <c r="A12" s="8" t="inlineStr">
        <is>
          <t>Chicken Breast (100g)</t>
        </is>
      </c>
      <c r="B12" s="8" t="n">
        <v>34.1</v>
      </c>
      <c r="C12" s="8" t="n">
        <v>3.96</v>
      </c>
      <c r="D12" s="8" t="n">
        <v>0</v>
      </c>
      <c r="E12" s="8" t="n">
        <v>182</v>
      </c>
      <c r="F12" s="8" t="inlineStr">
        <is>
          <t>Vegetables</t>
        </is>
      </c>
    </row>
    <row r="13">
      <c r="A13" s="11" t="inlineStr"/>
      <c r="B13" s="11" t="n">
        <v>23.25</v>
      </c>
      <c r="C13" s="11" t="n">
        <v>2.7</v>
      </c>
      <c r="D13" s="11" t="n">
        <v>0</v>
      </c>
      <c r="E13" s="11" t="n">
        <v>124</v>
      </c>
      <c r="F13" s="11" t="inlineStr">
        <is>
          <t>Nuts</t>
        </is>
      </c>
    </row>
  </sheetData>
  <dataValidations count="1">
    <dataValidation sqref="F2:F500" showDropDown="0" showInputMessage="0" showErrorMessage="0" allowBlank="1" type="list">
      <formula1>"Meat,Fish,Dairy,Vegetables,Nuts,Fats,Other"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  <col width="12" customWidth="1" min="5" max="5"/>
    <col width="14" customWidth="1" min="6" max="6"/>
    <col width="26" customWidth="1" min="7" max="7"/>
  </cols>
  <sheetData>
    <row r="1">
      <c r="A1" s="6" t="inlineStr">
        <is>
          <t>Date</t>
        </is>
      </c>
      <c r="B1" s="6" t="inlineStr">
        <is>
          <t>Weight (lbs)</t>
        </is>
      </c>
      <c r="C1" s="6" t="inlineStr">
        <is>
          <t>Waist (in)</t>
        </is>
      </c>
      <c r="D1" s="6" t="inlineStr">
        <is>
          <t>Body Fat %</t>
        </is>
      </c>
      <c r="E1" s="6" t="inlineStr">
        <is>
          <t>Keto Days</t>
        </is>
      </c>
      <c r="F1" s="6" t="inlineStr">
        <is>
          <t>Net Change</t>
        </is>
      </c>
      <c r="G1" s="6" t="inlineStr">
        <is>
          <t>Notes</t>
        </is>
      </c>
    </row>
    <row r="2">
      <c r="A2" s="7" t="n">
        <v>46174</v>
      </c>
      <c r="B2" s="8" t="n">
        <v>185</v>
      </c>
      <c r="C2" s="8" t="n">
        <v>36</v>
      </c>
      <c r="D2" s="8" t="inlineStr">
        <is>
          <t>22%</t>
        </is>
      </c>
      <c r="E2" s="8" t="n">
        <v>14</v>
      </c>
      <c r="F2" s="8">
        <f>B2-B2</f>
        <v/>
      </c>
      <c r="G2" s="8" t="inlineStr"/>
    </row>
    <row r="3">
      <c r="A3" s="10" t="n">
        <v>46180</v>
      </c>
      <c r="B3" s="11" t="n">
        <v>130</v>
      </c>
      <c r="C3" s="11" t="n">
        <v>25.2</v>
      </c>
      <c r="D3" s="11" t="inlineStr">
        <is>
          <t>22%</t>
        </is>
      </c>
      <c r="E3" s="11" t="n">
        <v>9.800000000000001</v>
      </c>
      <c r="F3" s="11">
        <f>B3-B2</f>
        <v/>
      </c>
      <c r="G3" s="11" t="inlineStr">
        <is>
          <t>Paid</t>
        </is>
      </c>
    </row>
    <row r="4">
      <c r="A4" s="7" t="n">
        <v>46186</v>
      </c>
      <c r="B4" s="8" t="n">
        <v>240</v>
      </c>
      <c r="C4" s="8" t="n">
        <v>46.8</v>
      </c>
      <c r="D4" s="8" t="inlineStr"/>
      <c r="E4" s="8" t="n">
        <v>18.2</v>
      </c>
      <c r="F4" s="8">
        <f>B4-B2</f>
        <v/>
      </c>
      <c r="G4" s="8" t="inlineStr">
        <is>
          <t>Urgent</t>
        </is>
      </c>
    </row>
    <row r="5">
      <c r="A5" s="10" t="n">
        <v>46189</v>
      </c>
      <c r="B5" s="11" t="n">
        <v>157</v>
      </c>
      <c r="C5" s="11" t="n">
        <v>30.6</v>
      </c>
      <c r="D5" s="11" t="inlineStr">
        <is>
          <t>22%</t>
        </is>
      </c>
      <c r="E5" s="11" t="n">
        <v>11.9</v>
      </c>
      <c r="F5" s="11">
        <f>B5-B2</f>
        <v/>
      </c>
      <c r="G5" s="11" t="inlineStr">
        <is>
          <t>Follow up Friday</t>
        </is>
      </c>
    </row>
    <row r="6">
      <c r="A6" s="7" t="n">
        <v>46195</v>
      </c>
      <c r="B6" s="8" t="n">
        <v>213</v>
      </c>
      <c r="C6" s="8" t="n">
        <v>41.4</v>
      </c>
      <c r="D6" s="8" t="inlineStr">
        <is>
          <t>22%</t>
        </is>
      </c>
      <c r="E6" s="8" t="n">
        <v>16.1</v>
      </c>
      <c r="F6" s="8">
        <f>B6-B2</f>
        <v/>
      </c>
      <c r="G6" s="8" t="inlineStr"/>
    </row>
    <row r="7">
      <c r="A7" s="10" t="n">
        <v>46201</v>
      </c>
      <c r="B7" s="11" t="n">
        <v>111</v>
      </c>
      <c r="C7" s="11" t="n">
        <v>21.6</v>
      </c>
      <c r="D7" s="11" t="inlineStr"/>
      <c r="E7" s="11" t="n">
        <v>8.4</v>
      </c>
      <c r="F7" s="11">
        <f>B7-B2</f>
        <v/>
      </c>
      <c r="G7" s="11" t="inlineStr">
        <is>
          <t>Monthly</t>
        </is>
      </c>
    </row>
    <row r="8">
      <c r="A8" s="7" t="n">
        <v>46176</v>
      </c>
      <c r="B8" s="8" t="n">
        <v>268</v>
      </c>
      <c r="C8" s="8" t="n">
        <v>52.2</v>
      </c>
      <c r="D8" s="8" t="inlineStr">
        <is>
          <t>22%</t>
        </is>
      </c>
      <c r="E8" s="8" t="n">
        <v>20.3</v>
      </c>
      <c r="F8" s="8">
        <f>B8-B2</f>
        <v/>
      </c>
      <c r="G8" s="8" t="inlineStr">
        <is>
          <t>Confirmed</t>
        </is>
      </c>
    </row>
    <row r="9">
      <c r="A9" s="10" t="n">
        <v>46182</v>
      </c>
      <c r="B9" s="11" t="n">
        <v>176</v>
      </c>
      <c r="C9" s="11" t="n">
        <v>34.2</v>
      </c>
      <c r="D9" s="11" t="inlineStr">
        <is>
          <t>22%</t>
        </is>
      </c>
      <c r="E9" s="11" t="n">
        <v>13.3</v>
      </c>
      <c r="F9" s="11">
        <f>B9-B2</f>
        <v/>
      </c>
      <c r="G9" s="11" t="inlineStr"/>
    </row>
    <row r="10">
      <c r="A10" s="7" t="n">
        <v>46188</v>
      </c>
      <c r="B10" s="8" t="n">
        <v>231</v>
      </c>
      <c r="C10" s="8" t="n">
        <v>45</v>
      </c>
      <c r="D10" s="8" t="inlineStr"/>
      <c r="E10" s="8" t="n">
        <v>17.5</v>
      </c>
      <c r="F10" s="8">
        <f>B10-B2</f>
        <v/>
      </c>
      <c r="G10" s="8" t="inlineStr">
        <is>
          <t>Waiting reply</t>
        </is>
      </c>
    </row>
    <row r="11">
      <c r="A11" s="10" t="n">
        <v>46191</v>
      </c>
      <c r="B11" s="11" t="n">
        <v>148</v>
      </c>
      <c r="C11" s="11" t="n">
        <v>28.8</v>
      </c>
      <c r="D11" s="11" t="inlineStr">
        <is>
          <t>22%</t>
        </is>
      </c>
      <c r="E11" s="11" t="n">
        <v>11.2</v>
      </c>
      <c r="F11" s="11">
        <f>B11-B2</f>
        <v/>
      </c>
      <c r="G11" s="11" t="inlineStr">
        <is>
          <t>Done early</t>
        </is>
      </c>
    </row>
    <row r="12">
      <c r="A12" s="7" t="n">
        <v>46197</v>
      </c>
      <c r="B12" s="8" t="n">
        <v>204</v>
      </c>
      <c r="C12" s="8" t="n">
        <v>39.6</v>
      </c>
      <c r="D12" s="8" t="inlineStr">
        <is>
          <t>22%</t>
        </is>
      </c>
      <c r="E12" s="8" t="n">
        <v>15.4</v>
      </c>
      <c r="F12" s="8">
        <f>B12-B2</f>
        <v/>
      </c>
      <c r="G12" s="8" t="inlineStr"/>
    </row>
    <row r="13">
      <c r="A13" s="10" t="n">
        <v>46175</v>
      </c>
      <c r="B13" s="11" t="n">
        <v>139</v>
      </c>
      <c r="C13" s="11" t="n">
        <v>27</v>
      </c>
      <c r="D13" s="11" t="inlineStr"/>
      <c r="E13" s="11" t="n">
        <v>10.5</v>
      </c>
      <c r="F13" s="11">
        <f>B13-B2</f>
        <v/>
      </c>
      <c r="G13" s="11" t="inlineStr">
        <is>
          <t>Recheck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2026-07-16T21:44:39Z</dcterms:created>
  <dcterms:modified xsi:type="dcterms:W3CDTF">2026-07-16T21:44:39Z</dcterms:modified>
</cp:coreProperties>
</file>